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aine/"/>
    </mc:Choice>
  </mc:AlternateContent>
  <xr:revisionPtr revIDLastSave="0" documentId="13_ncr:1_{B116FDA6-797A-914C-8668-168FB3ABDFFC}" xr6:coauthVersionLast="47" xr6:coauthVersionMax="47" xr10:uidLastSave="{00000000-0000-0000-0000-000000000000}"/>
  <bookViews>
    <workbookView xWindow="-3900" yWindow="-21100" windowWidth="15660" windowHeight="20480" xr2:uid="{33D2E3CA-2236-1244-8070-00D509909889}"/>
  </bookViews>
  <sheets>
    <sheet name="Summary" sheetId="9" r:id="rId1"/>
    <sheet name="GASB Data --&gt;" sheetId="12" r:id="rId2"/>
    <sheet name="2015" sheetId="1" r:id="rId3"/>
    <sheet name="2016" sheetId="2" r:id="rId4"/>
    <sheet name="2017" sheetId="3" r:id="rId5"/>
    <sheet name="2018" sheetId="4" r:id="rId6"/>
    <sheet name="2019" sheetId="5" r:id="rId7"/>
    <sheet name="2020" sheetId="6" r:id="rId8"/>
    <sheet name="2021" sheetId="7" r:id="rId9"/>
    <sheet name="2022" sheetId="8" r:id="rId10"/>
    <sheet name="NCES Data --&gt;" sheetId="11" r:id="rId11"/>
    <sheet name="LEAID Match" sheetId="10" r:id="rId12"/>
  </sheets>
  <definedNames>
    <definedName name="_xlnm._FilterDatabase" localSheetId="11" hidden="1">'LEAID Match'!$A$1:$C$1</definedName>
    <definedName name="_xlnm._FilterDatabase" localSheetId="0" hidden="1">Summary!$B$1:$J$1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9" l="1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001" i="9"/>
  <c r="A1002" i="9"/>
  <c r="A1003" i="9"/>
  <c r="A1004" i="9"/>
  <c r="A1005" i="9"/>
  <c r="A1006" i="9"/>
  <c r="A1007" i="9"/>
  <c r="A1008" i="9"/>
  <c r="A1009" i="9"/>
  <c r="A1010" i="9"/>
  <c r="A1011" i="9"/>
  <c r="A1012" i="9"/>
  <c r="A1013" i="9"/>
  <c r="A1014" i="9"/>
  <c r="A1015" i="9"/>
  <c r="A1016" i="9"/>
  <c r="A1017" i="9"/>
  <c r="A1018" i="9"/>
  <c r="A1019" i="9"/>
  <c r="A1020" i="9"/>
  <c r="A1021" i="9"/>
  <c r="A1022" i="9"/>
  <c r="A1023" i="9"/>
  <c r="A1024" i="9"/>
  <c r="A1025" i="9"/>
  <c r="A1026" i="9"/>
  <c r="A1027" i="9"/>
  <c r="A1028" i="9"/>
  <c r="A1029" i="9"/>
  <c r="A1030" i="9"/>
  <c r="A1031" i="9"/>
  <c r="A1032" i="9"/>
  <c r="A1033" i="9"/>
  <c r="A1034" i="9"/>
  <c r="A1035" i="9"/>
  <c r="A1036" i="9"/>
  <c r="A1037" i="9"/>
  <c r="A1038" i="9"/>
  <c r="A1039" i="9"/>
  <c r="A1040" i="9"/>
  <c r="A1041" i="9"/>
  <c r="A1042" i="9"/>
  <c r="A1043" i="9"/>
  <c r="A1044" i="9"/>
  <c r="A1045" i="9"/>
  <c r="A1046" i="9"/>
  <c r="A1047" i="9"/>
  <c r="A1048" i="9"/>
  <c r="A1049" i="9"/>
  <c r="A1050" i="9"/>
  <c r="A1051" i="9"/>
  <c r="A1052" i="9"/>
  <c r="A1053" i="9"/>
  <c r="A1054" i="9"/>
  <c r="A1055" i="9"/>
  <c r="A1056" i="9"/>
  <c r="A1057" i="9"/>
  <c r="A1058" i="9"/>
  <c r="A1059" i="9"/>
  <c r="A1060" i="9"/>
  <c r="A1061" i="9"/>
  <c r="A1062" i="9"/>
  <c r="A1063" i="9"/>
  <c r="A1064" i="9"/>
  <c r="A1065" i="9"/>
  <c r="A1066" i="9"/>
  <c r="A1067" i="9"/>
  <c r="A1068" i="9"/>
  <c r="A1069" i="9"/>
  <c r="A1070" i="9"/>
  <c r="A1071" i="9"/>
  <c r="A1072" i="9"/>
  <c r="A1073" i="9"/>
  <c r="A1074" i="9"/>
  <c r="A1075" i="9"/>
  <c r="A1076" i="9"/>
  <c r="A1077" i="9"/>
  <c r="A1078" i="9"/>
  <c r="A1079" i="9"/>
  <c r="A1080" i="9"/>
  <c r="A1081" i="9"/>
  <c r="A1082" i="9"/>
  <c r="A1083" i="9"/>
  <c r="A1084" i="9"/>
  <c r="A1085" i="9"/>
  <c r="A1086" i="9"/>
  <c r="A1087" i="9"/>
  <c r="A1088" i="9"/>
  <c r="A1089" i="9"/>
  <c r="A1090" i="9"/>
  <c r="A1091" i="9"/>
  <c r="A1092" i="9"/>
  <c r="A1093" i="9"/>
  <c r="A1094" i="9"/>
  <c r="A1095" i="9"/>
  <c r="A1096" i="9"/>
  <c r="A1097" i="9"/>
  <c r="A1098" i="9"/>
  <c r="A1099" i="9"/>
  <c r="A1100" i="9"/>
  <c r="A1101" i="9"/>
  <c r="A1102" i="9"/>
  <c r="A1103" i="9"/>
  <c r="A1104" i="9"/>
  <c r="A1105" i="9"/>
  <c r="A1106" i="9"/>
  <c r="A1107" i="9"/>
  <c r="A1108" i="9"/>
  <c r="A1109" i="9"/>
  <c r="A1110" i="9"/>
  <c r="A1111" i="9"/>
  <c r="A1112" i="9"/>
  <c r="A1113" i="9"/>
  <c r="A1114" i="9"/>
  <c r="A1115" i="9"/>
  <c r="A1116" i="9"/>
  <c r="A1117" i="9"/>
  <c r="A1118" i="9"/>
  <c r="A1119" i="9"/>
  <c r="A1120" i="9"/>
  <c r="A1121" i="9"/>
  <c r="A1122" i="9"/>
  <c r="A1123" i="9"/>
  <c r="A1124" i="9"/>
  <c r="A1125" i="9"/>
  <c r="A1126" i="9"/>
  <c r="A1127" i="9"/>
  <c r="A1128" i="9"/>
  <c r="A1129" i="9"/>
  <c r="A1130" i="9"/>
  <c r="A1131" i="9"/>
  <c r="A1132" i="9"/>
  <c r="A1133" i="9"/>
  <c r="A1134" i="9"/>
  <c r="A1135" i="9"/>
  <c r="A1136" i="9"/>
  <c r="A1137" i="9"/>
  <c r="A1138" i="9"/>
  <c r="A1139" i="9"/>
  <c r="A1140" i="9"/>
  <c r="A1141" i="9"/>
  <c r="A1142" i="9"/>
  <c r="A1143" i="9"/>
  <c r="A1144" i="9"/>
  <c r="A1145" i="9"/>
  <c r="A1146" i="9"/>
  <c r="A1147" i="9"/>
  <c r="A1148" i="9"/>
  <c r="A1149" i="9"/>
  <c r="A1150" i="9"/>
  <c r="A1151" i="9"/>
  <c r="A1152" i="9"/>
  <c r="A1153" i="9"/>
  <c r="A1154" i="9"/>
  <c r="A1155" i="9"/>
  <c r="A1156" i="9"/>
  <c r="A1157" i="9"/>
  <c r="A1158" i="9"/>
  <c r="A1159" i="9"/>
  <c r="A1160" i="9"/>
  <c r="A1161" i="9"/>
  <c r="A1162" i="9"/>
  <c r="A1163" i="9"/>
  <c r="A1164" i="9"/>
  <c r="A1165" i="9"/>
  <c r="A1166" i="9"/>
  <c r="A1167" i="9"/>
  <c r="A1168" i="9"/>
  <c r="A1169" i="9"/>
  <c r="A1170" i="9"/>
  <c r="A1171" i="9"/>
  <c r="A1172" i="9"/>
  <c r="A1173" i="9"/>
  <c r="A1174" i="9"/>
  <c r="A1175" i="9"/>
  <c r="A1176" i="9"/>
  <c r="A1177" i="9"/>
  <c r="A1178" i="9"/>
  <c r="A1179" i="9"/>
  <c r="A1180" i="9"/>
  <c r="A1181" i="9"/>
  <c r="A1182" i="9"/>
  <c r="A1183" i="9"/>
  <c r="A1184" i="9"/>
  <c r="A1185" i="9"/>
  <c r="A1186" i="9"/>
  <c r="A1187" i="9"/>
  <c r="A1188" i="9"/>
  <c r="A1189" i="9"/>
  <c r="A1190" i="9"/>
  <c r="A1191" i="9"/>
  <c r="A1192" i="9"/>
  <c r="A1193" i="9"/>
  <c r="A1194" i="9"/>
  <c r="A1195" i="9"/>
  <c r="A1196" i="9"/>
  <c r="A1197" i="9"/>
  <c r="A1198" i="9"/>
  <c r="A1199" i="9"/>
  <c r="A1200" i="9"/>
  <c r="A1201" i="9"/>
  <c r="A1202" i="9"/>
  <c r="A1203" i="9"/>
  <c r="A1204" i="9"/>
  <c r="A1205" i="9"/>
  <c r="A1206" i="9"/>
  <c r="A1207" i="9"/>
  <c r="A1208" i="9"/>
  <c r="A1209" i="9"/>
  <c r="A1210" i="9"/>
  <c r="A1211" i="9"/>
  <c r="A1212" i="9"/>
  <c r="A1213" i="9"/>
  <c r="A1214" i="9"/>
  <c r="A1215" i="9"/>
  <c r="A1216" i="9"/>
  <c r="A1217" i="9"/>
  <c r="A1218" i="9"/>
  <c r="A1219" i="9"/>
  <c r="A1220" i="9"/>
  <c r="A1221" i="9"/>
  <c r="A1222" i="9"/>
  <c r="A1223" i="9"/>
  <c r="A1224" i="9"/>
  <c r="A1225" i="9"/>
  <c r="A1226" i="9"/>
  <c r="A1227" i="9"/>
  <c r="A1228" i="9"/>
  <c r="A1229" i="9"/>
  <c r="A1230" i="9"/>
  <c r="A1231" i="9"/>
  <c r="A1232" i="9"/>
  <c r="A1233" i="9"/>
  <c r="A1234" i="9"/>
  <c r="A1235" i="9"/>
  <c r="A1236" i="9"/>
  <c r="A1237" i="9"/>
  <c r="A1238" i="9"/>
  <c r="A1239" i="9"/>
  <c r="A1240" i="9"/>
  <c r="A1241" i="9"/>
  <c r="A1242" i="9"/>
  <c r="A1243" i="9"/>
  <c r="A1244" i="9"/>
  <c r="A1245" i="9"/>
  <c r="A1246" i="9"/>
  <c r="A1247" i="9"/>
  <c r="A1248" i="9"/>
  <c r="A1249" i="9"/>
  <c r="A1250" i="9"/>
  <c r="A1251" i="9"/>
  <c r="A1252" i="9"/>
  <c r="A1253" i="9"/>
  <c r="A1254" i="9"/>
  <c r="A1255" i="9"/>
  <c r="A1256" i="9"/>
  <c r="A1257" i="9"/>
  <c r="A1258" i="9"/>
  <c r="A1259" i="9"/>
  <c r="A1260" i="9"/>
  <c r="A1261" i="9"/>
  <c r="A1262" i="9"/>
  <c r="A1263" i="9"/>
  <c r="A1264" i="9"/>
  <c r="A1265" i="9"/>
  <c r="A1266" i="9"/>
  <c r="A1267" i="9"/>
  <c r="A1268" i="9"/>
  <c r="A1269" i="9"/>
  <c r="A1270" i="9"/>
  <c r="A1271" i="9"/>
  <c r="A1272" i="9"/>
  <c r="A1273" i="9"/>
  <c r="A1274" i="9"/>
  <c r="A1275" i="9"/>
  <c r="A1276" i="9"/>
  <c r="A1277" i="9"/>
  <c r="A1278" i="9"/>
  <c r="A1279" i="9"/>
  <c r="A1280" i="9"/>
  <c r="A1281" i="9"/>
  <c r="A1282" i="9"/>
  <c r="A1283" i="9"/>
  <c r="A1284" i="9"/>
  <c r="A1285" i="9"/>
  <c r="A1286" i="9"/>
  <c r="A1287" i="9"/>
  <c r="A1288" i="9"/>
  <c r="A1289" i="9"/>
  <c r="A1290" i="9"/>
  <c r="A1291" i="9"/>
  <c r="A1292" i="9"/>
  <c r="A1293" i="9"/>
  <c r="A1294" i="9"/>
  <c r="A1295" i="9"/>
  <c r="A1296" i="9"/>
  <c r="A1297" i="9"/>
  <c r="A1298" i="9"/>
  <c r="A1299" i="9"/>
  <c r="A1300" i="9"/>
  <c r="A1301" i="9"/>
  <c r="A1302" i="9"/>
  <c r="A1303" i="9"/>
  <c r="A1304" i="9"/>
  <c r="A1305" i="9"/>
  <c r="A1306" i="9"/>
  <c r="A1307" i="9"/>
  <c r="A1308" i="9"/>
  <c r="A1309" i="9"/>
  <c r="A1310" i="9"/>
  <c r="A1311" i="9"/>
  <c r="A1312" i="9"/>
  <c r="A1313" i="9"/>
  <c r="A1314" i="9"/>
  <c r="A1315" i="9"/>
  <c r="A1316" i="9"/>
  <c r="A1317" i="9"/>
  <c r="A1318" i="9"/>
  <c r="A1319" i="9"/>
  <c r="A1320" i="9"/>
  <c r="A1321" i="9"/>
  <c r="A1322" i="9"/>
  <c r="A1323" i="9"/>
  <c r="A1324" i="9"/>
  <c r="A1325" i="9"/>
  <c r="A1326" i="9"/>
  <c r="A1327" i="9"/>
  <c r="A1328" i="9"/>
  <c r="A1329" i="9"/>
  <c r="A1330" i="9"/>
  <c r="A1331" i="9"/>
  <c r="A1332" i="9"/>
  <c r="A1333" i="9"/>
  <c r="A1334" i="9"/>
  <c r="A1335" i="9"/>
  <c r="A1336" i="9"/>
  <c r="A1337" i="9"/>
  <c r="A1338" i="9"/>
  <c r="A1339" i="9"/>
  <c r="A1340" i="9"/>
  <c r="A1341" i="9"/>
  <c r="A1342" i="9"/>
  <c r="A1343" i="9"/>
  <c r="A1344" i="9"/>
  <c r="A1345" i="9"/>
  <c r="A1346" i="9"/>
  <c r="A1347" i="9"/>
  <c r="A1348" i="9"/>
  <c r="A1349" i="9"/>
  <c r="A1350" i="9"/>
  <c r="A1351" i="9"/>
  <c r="A1352" i="9"/>
  <c r="A1353" i="9"/>
  <c r="A1354" i="9"/>
  <c r="A1355" i="9"/>
  <c r="A1356" i="9"/>
  <c r="A1357" i="9"/>
  <c r="A1358" i="9"/>
  <c r="A1359" i="9"/>
  <c r="A1360" i="9"/>
  <c r="A1361" i="9"/>
  <c r="A1362" i="9"/>
  <c r="A1363" i="9"/>
  <c r="A1364" i="9"/>
  <c r="A1365" i="9"/>
  <c r="A1366" i="9"/>
  <c r="A1367" i="9"/>
  <c r="A1368" i="9"/>
  <c r="A1369" i="9"/>
  <c r="A1370" i="9"/>
  <c r="A1371" i="9"/>
  <c r="A1372" i="9"/>
  <c r="A1373" i="9"/>
  <c r="A1374" i="9"/>
  <c r="A1375" i="9"/>
  <c r="A1376" i="9"/>
  <c r="A1377" i="9"/>
  <c r="A1378" i="9"/>
  <c r="A1379" i="9"/>
  <c r="A1380" i="9"/>
  <c r="A1381" i="9"/>
  <c r="A1382" i="9"/>
  <c r="A1383" i="9"/>
  <c r="A1384" i="9"/>
  <c r="A1385" i="9"/>
  <c r="A1386" i="9"/>
  <c r="A1387" i="9"/>
  <c r="A1388" i="9"/>
  <c r="A1389" i="9"/>
  <c r="A1390" i="9"/>
  <c r="A1391" i="9"/>
  <c r="A1392" i="9"/>
  <c r="A1393" i="9"/>
  <c r="A1394" i="9"/>
  <c r="A1395" i="9"/>
  <c r="A1396" i="9"/>
  <c r="A1397" i="9"/>
  <c r="A1398" i="9"/>
  <c r="A1399" i="9"/>
  <c r="A1400" i="9"/>
  <c r="A1401" i="9"/>
  <c r="A1402" i="9"/>
  <c r="A1403" i="9"/>
  <c r="A1404" i="9"/>
  <c r="A1405" i="9"/>
  <c r="A1406" i="9"/>
  <c r="A1407" i="9"/>
  <c r="A1408" i="9"/>
  <c r="A1409" i="9"/>
  <c r="A1410" i="9"/>
  <c r="A1411" i="9"/>
  <c r="A1412" i="9"/>
  <c r="A1413" i="9"/>
  <c r="A1414" i="9"/>
  <c r="A1415" i="9"/>
  <c r="A1416" i="9"/>
  <c r="A1417" i="9"/>
  <c r="A1418" i="9"/>
  <c r="A1419" i="9"/>
  <c r="A1420" i="9"/>
  <c r="A1421" i="9"/>
  <c r="A1422" i="9"/>
  <c r="A1423" i="9"/>
  <c r="A1424" i="9"/>
  <c r="A1425" i="9"/>
  <c r="A1426" i="9"/>
  <c r="A1427" i="9"/>
  <c r="A1428" i="9"/>
  <c r="A1429" i="9"/>
  <c r="A1430" i="9"/>
  <c r="A1431" i="9"/>
  <c r="A1432" i="9"/>
  <c r="A1433" i="9"/>
  <c r="A1434" i="9"/>
  <c r="A1435" i="9"/>
  <c r="A1436" i="9"/>
  <c r="A1437" i="9"/>
  <c r="A1438" i="9"/>
  <c r="A1439" i="9"/>
  <c r="A1440" i="9"/>
  <c r="A1441" i="9"/>
  <c r="A1442" i="9"/>
  <c r="A1443" i="9"/>
  <c r="A1444" i="9"/>
  <c r="A1445" i="9"/>
  <c r="A1446" i="9"/>
  <c r="A1447" i="9"/>
  <c r="A1448" i="9"/>
  <c r="A1449" i="9"/>
  <c r="A1450" i="9"/>
  <c r="A1451" i="9"/>
  <c r="A1452" i="9"/>
  <c r="A1453" i="9"/>
  <c r="A1454" i="9"/>
  <c r="A1455" i="9"/>
  <c r="A1456" i="9"/>
  <c r="A1457" i="9"/>
  <c r="A1458" i="9"/>
  <c r="A1459" i="9"/>
  <c r="A1460" i="9"/>
  <c r="A1461" i="9"/>
  <c r="A1462" i="9"/>
  <c r="A1463" i="9"/>
  <c r="A1464" i="9"/>
  <c r="A1465" i="9"/>
  <c r="A1466" i="9"/>
  <c r="A1467" i="9"/>
  <c r="A1468" i="9"/>
  <c r="A1469" i="9"/>
  <c r="A1470" i="9"/>
  <c r="A1471" i="9"/>
  <c r="A1472" i="9"/>
  <c r="A1473" i="9"/>
  <c r="A1474" i="9"/>
  <c r="A1475" i="9"/>
  <c r="A1476" i="9"/>
  <c r="A1477" i="9"/>
  <c r="A1478" i="9"/>
  <c r="A1479" i="9"/>
  <c r="A1480" i="9"/>
  <c r="A1481" i="9"/>
  <c r="A1482" i="9"/>
  <c r="A1483" i="9"/>
  <c r="A1484" i="9"/>
  <c r="A1485" i="9"/>
  <c r="A1486" i="9"/>
  <c r="A1487" i="9"/>
  <c r="A1488" i="9"/>
  <c r="A1489" i="9"/>
  <c r="A1490" i="9"/>
  <c r="A1491" i="9"/>
  <c r="A1492" i="9"/>
  <c r="A1493" i="9"/>
  <c r="A1494" i="9"/>
  <c r="A1495" i="9"/>
  <c r="A1496" i="9"/>
  <c r="A1497" i="9"/>
  <c r="A1498" i="9"/>
  <c r="A1499" i="9"/>
  <c r="A1500" i="9"/>
  <c r="A1501" i="9"/>
  <c r="A1502" i="9"/>
  <c r="A1503" i="9"/>
  <c r="A1504" i="9"/>
  <c r="A1505" i="9"/>
  <c r="A1506" i="9"/>
  <c r="A1507" i="9"/>
  <c r="A1508" i="9"/>
  <c r="A1509" i="9"/>
  <c r="A1510" i="9"/>
  <c r="A1511" i="9"/>
  <c r="A1512" i="9"/>
  <c r="A1513" i="9"/>
  <c r="A1514" i="9"/>
  <c r="A1515" i="9"/>
  <c r="A1516" i="9"/>
  <c r="A1517" i="9"/>
  <c r="A1518" i="9"/>
  <c r="A1519" i="9"/>
  <c r="A1520" i="9"/>
  <c r="A1521" i="9"/>
  <c r="A1522" i="9"/>
  <c r="A1523" i="9"/>
  <c r="A1524" i="9"/>
  <c r="A1525" i="9"/>
  <c r="A1526" i="9"/>
  <c r="A1527" i="9"/>
  <c r="A1528" i="9"/>
  <c r="A1529" i="9"/>
  <c r="A1530" i="9"/>
  <c r="A1531" i="9"/>
  <c r="A1532" i="9"/>
  <c r="A1533" i="9"/>
  <c r="A1534" i="9"/>
  <c r="A1535" i="9"/>
  <c r="A1536" i="9"/>
  <c r="A1537" i="9"/>
  <c r="A1538" i="9"/>
  <c r="A1539" i="9"/>
  <c r="A1540" i="9"/>
  <c r="A1541" i="9"/>
  <c r="A1542" i="9"/>
  <c r="A1543" i="9"/>
  <c r="A1544" i="9"/>
  <c r="A1545" i="9"/>
  <c r="A1546" i="9"/>
  <c r="A1547" i="9"/>
  <c r="A1548" i="9"/>
  <c r="A1549" i="9"/>
  <c r="A1550" i="9"/>
  <c r="A1551" i="9"/>
  <c r="A1552" i="9"/>
  <c r="A1553" i="9"/>
  <c r="A1554" i="9"/>
  <c r="A1555" i="9"/>
  <c r="A1556" i="9"/>
  <c r="A1557" i="9"/>
  <c r="A1558" i="9"/>
  <c r="A1559" i="9"/>
  <c r="A1560" i="9"/>
  <c r="A1561" i="9"/>
  <c r="A1562" i="9"/>
  <c r="A1563" i="9"/>
  <c r="A1564" i="9"/>
  <c r="A1565" i="9"/>
  <c r="A1566" i="9"/>
  <c r="A1567" i="9"/>
  <c r="A1568" i="9"/>
  <c r="A1569" i="9"/>
  <c r="A1570" i="9"/>
  <c r="A1571" i="9"/>
  <c r="A1572" i="9"/>
  <c r="A1573" i="9"/>
  <c r="A1574" i="9"/>
  <c r="A1575" i="9"/>
  <c r="A1576" i="9"/>
  <c r="A1577" i="9"/>
  <c r="A1578" i="9"/>
  <c r="A1579" i="9"/>
  <c r="A1580" i="9"/>
  <c r="A1581" i="9"/>
  <c r="A1582" i="9"/>
  <c r="A1583" i="9"/>
  <c r="A1584" i="9"/>
  <c r="A1585" i="9"/>
  <c r="A1586" i="9"/>
  <c r="A1587" i="9"/>
  <c r="A1588" i="9"/>
  <c r="A1589" i="9"/>
  <c r="A1590" i="9"/>
  <c r="A1591" i="9"/>
  <c r="A1592" i="9"/>
  <c r="A1593" i="9"/>
  <c r="A1594" i="9"/>
  <c r="A1595" i="9"/>
  <c r="A1596" i="9"/>
  <c r="A1597" i="9"/>
  <c r="A1598" i="9"/>
  <c r="A1599" i="9"/>
  <c r="A1600" i="9"/>
  <c r="A1601" i="9"/>
  <c r="A1602" i="9"/>
  <c r="A1603" i="9"/>
  <c r="A1604" i="9"/>
  <c r="A1605" i="9"/>
  <c r="A1606" i="9"/>
  <c r="A1607" i="9"/>
  <c r="A1608" i="9"/>
  <c r="A1609" i="9"/>
  <c r="A1610" i="9"/>
  <c r="A1611" i="9"/>
  <c r="A1612" i="9"/>
  <c r="A1613" i="9"/>
  <c r="A1614" i="9"/>
  <c r="A1615" i="9"/>
  <c r="A1616" i="9"/>
  <c r="A1617" i="9"/>
  <c r="A1618" i="9"/>
  <c r="A1619" i="9"/>
  <c r="A1620" i="9"/>
  <c r="A1621" i="9"/>
  <c r="A1622" i="9"/>
  <c r="A1623" i="9"/>
  <c r="A1624" i="9"/>
  <c r="A1625" i="9"/>
  <c r="A1626" i="9"/>
  <c r="A1627" i="9"/>
  <c r="A1628" i="9"/>
  <c r="A1629" i="9"/>
  <c r="A1630" i="9"/>
  <c r="A1631" i="9"/>
  <c r="A1632" i="9"/>
  <c r="A1633" i="9"/>
  <c r="A1634" i="9"/>
  <c r="A1635" i="9"/>
  <c r="A1636" i="9"/>
  <c r="A1637" i="9"/>
  <c r="A1638" i="9"/>
  <c r="A1639" i="9"/>
  <c r="A1640" i="9"/>
  <c r="A1641" i="9"/>
  <c r="A1642" i="9"/>
  <c r="A1643" i="9"/>
  <c r="A1644" i="9"/>
  <c r="A1645" i="9"/>
  <c r="A1646" i="9"/>
  <c r="A1647" i="9"/>
  <c r="A1648" i="9"/>
  <c r="A1649" i="9"/>
  <c r="A1650" i="9"/>
  <c r="A1651" i="9"/>
  <c r="A1652" i="9"/>
  <c r="A1653" i="9"/>
  <c r="A1654" i="9"/>
  <c r="A1655" i="9"/>
  <c r="A1656" i="9"/>
  <c r="A1657" i="9"/>
  <c r="A1658" i="9"/>
  <c r="A1659" i="9"/>
  <c r="A1660" i="9"/>
  <c r="A1661" i="9"/>
  <c r="A1662" i="9"/>
  <c r="A1663" i="9"/>
  <c r="A1664" i="9"/>
  <c r="A1665" i="9"/>
  <c r="A1666" i="9"/>
  <c r="A1667" i="9"/>
  <c r="A1668" i="9"/>
  <c r="A1669" i="9"/>
  <c r="A1670" i="9"/>
  <c r="A1671" i="9"/>
  <c r="A1672" i="9"/>
  <c r="A1673" i="9"/>
  <c r="A1674" i="9"/>
  <c r="A1675" i="9"/>
  <c r="A1676" i="9"/>
  <c r="A1677" i="9"/>
  <c r="A1678" i="9"/>
  <c r="A1679" i="9"/>
  <c r="A1680" i="9"/>
  <c r="A1681" i="9"/>
  <c r="A1682" i="9"/>
  <c r="A1683" i="9"/>
  <c r="A1684" i="9"/>
  <c r="A1685" i="9"/>
  <c r="A1686" i="9"/>
  <c r="A1687" i="9"/>
  <c r="A1688" i="9"/>
  <c r="A1689" i="9"/>
  <c r="A1690" i="9"/>
  <c r="A1691" i="9"/>
  <c r="A1692" i="9"/>
  <c r="A1693" i="9"/>
  <c r="A1694" i="9"/>
  <c r="A1695" i="9"/>
  <c r="A1696" i="9"/>
  <c r="A1697" i="9"/>
  <c r="A1698" i="9"/>
  <c r="A1699" i="9"/>
  <c r="A1700" i="9"/>
  <c r="A1701" i="9"/>
  <c r="A1702" i="9"/>
  <c r="A1703" i="9"/>
  <c r="A1704" i="9"/>
  <c r="A1705" i="9"/>
  <c r="A1706" i="9"/>
  <c r="A1707" i="9"/>
  <c r="A1708" i="9"/>
  <c r="A1709" i="9"/>
  <c r="A1710" i="9"/>
  <c r="A1711" i="9"/>
  <c r="A1712" i="9"/>
  <c r="A1713" i="9"/>
  <c r="A1714" i="9"/>
  <c r="A1715" i="9"/>
  <c r="A1716" i="9"/>
  <c r="A1717" i="9"/>
  <c r="A1718" i="9"/>
  <c r="A1719" i="9"/>
  <c r="A1720" i="9"/>
  <c r="A1721" i="9"/>
  <c r="A1722" i="9"/>
  <c r="A1723" i="9"/>
  <c r="A1724" i="9"/>
  <c r="A1725" i="9"/>
  <c r="A1726" i="9"/>
  <c r="A1727" i="9"/>
  <c r="A1728" i="9"/>
  <c r="A1729" i="9"/>
  <c r="A1730" i="9"/>
  <c r="A1731" i="9"/>
  <c r="A1732" i="9"/>
  <c r="A1733" i="9"/>
  <c r="A1734" i="9"/>
  <c r="A1735" i="9"/>
  <c r="A1736" i="9"/>
  <c r="A1737" i="9"/>
  <c r="A1738" i="9"/>
  <c r="A1739" i="9"/>
  <c r="A1740" i="9"/>
  <c r="A1741" i="9"/>
  <c r="A1742" i="9"/>
  <c r="A1743" i="9"/>
  <c r="A1744" i="9"/>
  <c r="A1745" i="9"/>
  <c r="A1746" i="9"/>
  <c r="A1747" i="9"/>
  <c r="A1748" i="9"/>
  <c r="A1749" i="9"/>
  <c r="A1750" i="9"/>
  <c r="A1751" i="9"/>
  <c r="A1752" i="9"/>
  <c r="A1753" i="9"/>
  <c r="A1754" i="9"/>
  <c r="A1755" i="9"/>
  <c r="A1756" i="9"/>
  <c r="A1757" i="9"/>
  <c r="A1758" i="9"/>
  <c r="A1759" i="9"/>
  <c r="A1760" i="9"/>
  <c r="A1761" i="9"/>
  <c r="A1762" i="9"/>
  <c r="A1763" i="9"/>
  <c r="A1764" i="9"/>
  <c r="A1765" i="9"/>
  <c r="A1766" i="9"/>
  <c r="A1767" i="9"/>
  <c r="A1768" i="9"/>
  <c r="A1769" i="9"/>
  <c r="A1770" i="9"/>
  <c r="A1771" i="9"/>
  <c r="A1772" i="9"/>
  <c r="A1773" i="9"/>
  <c r="A1774" i="9"/>
  <c r="A1775" i="9"/>
  <c r="A1776" i="9"/>
  <c r="A1777" i="9"/>
  <c r="A1778" i="9"/>
  <c r="A1779" i="9"/>
  <c r="A1780" i="9"/>
  <c r="A1781" i="9"/>
  <c r="A1782" i="9"/>
  <c r="A1783" i="9"/>
  <c r="A1784" i="9"/>
  <c r="A1785" i="9"/>
  <c r="A1786" i="9"/>
  <c r="A1787" i="9"/>
  <c r="A1788" i="9"/>
  <c r="A1789" i="9"/>
  <c r="A1790" i="9"/>
  <c r="A1791" i="9"/>
  <c r="A1792" i="9"/>
  <c r="A1793" i="9"/>
  <c r="A1794" i="9"/>
  <c r="A1795" i="9"/>
  <c r="A1796" i="9"/>
  <c r="A1797" i="9"/>
  <c r="A1798" i="9"/>
  <c r="A1799" i="9"/>
  <c r="A1800" i="9"/>
  <c r="A1801" i="9"/>
  <c r="A1802" i="9"/>
  <c r="A1803" i="9"/>
  <c r="A1804" i="9"/>
  <c r="A1805" i="9"/>
  <c r="A1806" i="9"/>
  <c r="A1807" i="9"/>
  <c r="A1808" i="9"/>
  <c r="A1809" i="9"/>
  <c r="A1810" i="9"/>
  <c r="A1811" i="9"/>
  <c r="A1812" i="9"/>
  <c r="A1813" i="9"/>
  <c r="A1814" i="9"/>
  <c r="A1815" i="9"/>
  <c r="A1816" i="9"/>
  <c r="A1817" i="9"/>
  <c r="A1818" i="9"/>
  <c r="A1819" i="9"/>
  <c r="A1820" i="9"/>
  <c r="A1821" i="9"/>
  <c r="A1822" i="9"/>
  <c r="A1823" i="9"/>
  <c r="A1824" i="9"/>
  <c r="A1825" i="9"/>
  <c r="A1826" i="9"/>
  <c r="A1827" i="9"/>
  <c r="A1828" i="9"/>
  <c r="A1829" i="9"/>
  <c r="A1830" i="9"/>
  <c r="A1831" i="9"/>
  <c r="A1832" i="9"/>
  <c r="A1833" i="9"/>
  <c r="A1834" i="9"/>
  <c r="A1835" i="9"/>
  <c r="A1836" i="9"/>
  <c r="A1837" i="9"/>
  <c r="A1838" i="9"/>
  <c r="A1839" i="9"/>
  <c r="A1840" i="9"/>
  <c r="A1841" i="9"/>
  <c r="A1842" i="9"/>
  <c r="A1843" i="9"/>
  <c r="A1844" i="9"/>
  <c r="A1845" i="9"/>
  <c r="A1846" i="9"/>
  <c r="A1847" i="9"/>
  <c r="A1848" i="9"/>
  <c r="A1849" i="9"/>
  <c r="A1850" i="9"/>
  <c r="A1851" i="9"/>
  <c r="A1852" i="9"/>
  <c r="A1853" i="9"/>
  <c r="A1854" i="9"/>
  <c r="A1855" i="9"/>
  <c r="A1856" i="9"/>
  <c r="A1857" i="9"/>
  <c r="A1858" i="9"/>
  <c r="A1859" i="9"/>
  <c r="A1860" i="9"/>
  <c r="A1861" i="9"/>
  <c r="A1862" i="9"/>
  <c r="A1863" i="9"/>
  <c r="A1864" i="9"/>
  <c r="A1865" i="9"/>
  <c r="A1866" i="9"/>
  <c r="A1867" i="9"/>
  <c r="A1868" i="9"/>
  <c r="A1869" i="9"/>
  <c r="A1870" i="9"/>
  <c r="A1871" i="9"/>
  <c r="A1872" i="9"/>
  <c r="A1873" i="9"/>
  <c r="A1874" i="9"/>
  <c r="A1875" i="9"/>
  <c r="A1876" i="9"/>
  <c r="A1877" i="9"/>
  <c r="A1878" i="9"/>
  <c r="A1879" i="9"/>
  <c r="A1880" i="9"/>
  <c r="A1881" i="9"/>
  <c r="A1882" i="9"/>
  <c r="A1883" i="9"/>
  <c r="A1884" i="9"/>
  <c r="A1885" i="9"/>
  <c r="A1886" i="9"/>
  <c r="A1887" i="9"/>
  <c r="A1888" i="9"/>
  <c r="A1889" i="9"/>
  <c r="A1890" i="9"/>
  <c r="A1891" i="9"/>
  <c r="A1892" i="9"/>
  <c r="A1893" i="9"/>
  <c r="A1894" i="9"/>
  <c r="A1895" i="9"/>
  <c r="A1896" i="9"/>
  <c r="A1897" i="9"/>
  <c r="A1898" i="9"/>
  <c r="A1899" i="9"/>
  <c r="A1900" i="9"/>
  <c r="A1901" i="9"/>
  <c r="A1902" i="9"/>
  <c r="A1903" i="9"/>
  <c r="A1904" i="9"/>
  <c r="A1905" i="9"/>
  <c r="A1906" i="9"/>
  <c r="A1907" i="9"/>
  <c r="A1908" i="9"/>
  <c r="A1909" i="9"/>
  <c r="A1910" i="9"/>
  <c r="A1911" i="9"/>
  <c r="A1912" i="9"/>
  <c r="A1913" i="9"/>
  <c r="A1914" i="9"/>
  <c r="A1915" i="9"/>
  <c r="A1916" i="9"/>
  <c r="A1917" i="9"/>
  <c r="A1918" i="9"/>
  <c r="A1919" i="9"/>
  <c r="A1920" i="9"/>
  <c r="A1921" i="9"/>
  <c r="A1922" i="9"/>
  <c r="A1923" i="9"/>
  <c r="A1924" i="9"/>
  <c r="A1925" i="9"/>
  <c r="A1926" i="9"/>
  <c r="A1927" i="9"/>
  <c r="A1928" i="9"/>
  <c r="A1929" i="9"/>
  <c r="A1930" i="9"/>
  <c r="A1931" i="9"/>
  <c r="A1932" i="9"/>
  <c r="A1933" i="9"/>
  <c r="A1934" i="9"/>
  <c r="A1935" i="9"/>
  <c r="A1936" i="9"/>
  <c r="A1937" i="9"/>
  <c r="A1938" i="9"/>
  <c r="A1939" i="9"/>
  <c r="A1940" i="9"/>
  <c r="A1941" i="9"/>
  <c r="A1942" i="9"/>
  <c r="A1943" i="9"/>
  <c r="A1944" i="9"/>
  <c r="A1945" i="9"/>
  <c r="A1946" i="9"/>
  <c r="A1947" i="9"/>
  <c r="A1948" i="9"/>
  <c r="A1949" i="9"/>
  <c r="A1950" i="9"/>
  <c r="A1951" i="9"/>
  <c r="A1952" i="9"/>
  <c r="A1953" i="9"/>
  <c r="A1954" i="9"/>
  <c r="A1955" i="9"/>
  <c r="A1956" i="9"/>
  <c r="A1957" i="9"/>
  <c r="A1958" i="9"/>
  <c r="A1959" i="9"/>
  <c r="A1960" i="9"/>
  <c r="A1961" i="9"/>
  <c r="A1962" i="9"/>
  <c r="A1963" i="9"/>
  <c r="A1964" i="9"/>
  <c r="A1965" i="9"/>
  <c r="A1966" i="9"/>
  <c r="A1967" i="9"/>
  <c r="A1968" i="9"/>
  <c r="A1969" i="9"/>
  <c r="A1970" i="9"/>
  <c r="A1971" i="9"/>
  <c r="A1972" i="9"/>
  <c r="A1973" i="9"/>
  <c r="A1974" i="9"/>
  <c r="A1975" i="9"/>
  <c r="A1976" i="9"/>
  <c r="A1977" i="9"/>
  <c r="A1978" i="9"/>
  <c r="A1979" i="9"/>
  <c r="A1980" i="9"/>
  <c r="A1981" i="9"/>
  <c r="A1982" i="9"/>
  <c r="A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1243" i="9"/>
  <c r="K1244" i="9"/>
  <c r="K1245" i="9"/>
  <c r="K1246" i="9"/>
  <c r="K1247" i="9"/>
  <c r="K1248" i="9"/>
  <c r="K1249" i="9"/>
  <c r="K1250" i="9"/>
  <c r="K1251" i="9"/>
  <c r="K1252" i="9"/>
  <c r="K1253" i="9"/>
  <c r="K1254" i="9"/>
  <c r="K1255" i="9"/>
  <c r="K1256" i="9"/>
  <c r="K1257" i="9"/>
  <c r="K1258" i="9"/>
  <c r="K1259" i="9"/>
  <c r="K1260" i="9"/>
  <c r="K1261" i="9"/>
  <c r="K1262" i="9"/>
  <c r="K1263" i="9"/>
  <c r="K1264" i="9"/>
  <c r="K1265" i="9"/>
  <c r="K1266" i="9"/>
  <c r="K1267" i="9"/>
  <c r="K1268" i="9"/>
  <c r="K1269" i="9"/>
  <c r="K1270" i="9"/>
  <c r="K1271" i="9"/>
  <c r="K1272" i="9"/>
  <c r="K1273" i="9"/>
  <c r="K1274" i="9"/>
  <c r="K1275" i="9"/>
  <c r="K1276" i="9"/>
  <c r="K1277" i="9"/>
  <c r="K1278" i="9"/>
  <c r="K1279" i="9"/>
  <c r="K1280" i="9"/>
  <c r="K1281" i="9"/>
  <c r="K1282" i="9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300" i="9"/>
  <c r="K1301" i="9"/>
  <c r="K1302" i="9"/>
  <c r="K1303" i="9"/>
  <c r="K1304" i="9"/>
  <c r="K1305" i="9"/>
  <c r="K1306" i="9"/>
  <c r="K1307" i="9"/>
  <c r="K1308" i="9"/>
  <c r="K1309" i="9"/>
  <c r="K1310" i="9"/>
  <c r="K1311" i="9"/>
  <c r="K1312" i="9"/>
  <c r="K1313" i="9"/>
  <c r="K1314" i="9"/>
  <c r="K1315" i="9"/>
  <c r="K1316" i="9"/>
  <c r="K1317" i="9"/>
  <c r="K1318" i="9"/>
  <c r="K1319" i="9"/>
  <c r="K1320" i="9"/>
  <c r="K1321" i="9"/>
  <c r="K1322" i="9"/>
  <c r="K1323" i="9"/>
  <c r="K1324" i="9"/>
  <c r="K1325" i="9"/>
  <c r="K1326" i="9"/>
  <c r="K1327" i="9"/>
  <c r="K1328" i="9"/>
  <c r="K1329" i="9"/>
  <c r="K1330" i="9"/>
  <c r="K1331" i="9"/>
  <c r="K1332" i="9"/>
  <c r="K1333" i="9"/>
  <c r="K1334" i="9"/>
  <c r="K1335" i="9"/>
  <c r="K1336" i="9"/>
  <c r="K1337" i="9"/>
  <c r="K1338" i="9"/>
  <c r="K1339" i="9"/>
  <c r="K1340" i="9"/>
  <c r="K1341" i="9"/>
  <c r="K1342" i="9"/>
  <c r="K1343" i="9"/>
  <c r="K1344" i="9"/>
  <c r="K1345" i="9"/>
  <c r="K1346" i="9"/>
  <c r="K1347" i="9"/>
  <c r="K1348" i="9"/>
  <c r="K1349" i="9"/>
  <c r="K1350" i="9"/>
  <c r="K1351" i="9"/>
  <c r="K1352" i="9"/>
  <c r="K1353" i="9"/>
  <c r="K1354" i="9"/>
  <c r="K1355" i="9"/>
  <c r="K1356" i="9"/>
  <c r="K1357" i="9"/>
  <c r="K1358" i="9"/>
  <c r="K1359" i="9"/>
  <c r="K1360" i="9"/>
  <c r="K1361" i="9"/>
  <c r="K1362" i="9"/>
  <c r="K1363" i="9"/>
  <c r="K1364" i="9"/>
  <c r="K1365" i="9"/>
  <c r="K1366" i="9"/>
  <c r="K1367" i="9"/>
  <c r="K1368" i="9"/>
  <c r="K1369" i="9"/>
  <c r="K1370" i="9"/>
  <c r="K1371" i="9"/>
  <c r="K1372" i="9"/>
  <c r="K1373" i="9"/>
  <c r="K1374" i="9"/>
  <c r="K1375" i="9"/>
  <c r="K1376" i="9"/>
  <c r="K1377" i="9"/>
  <c r="K1378" i="9"/>
  <c r="K1379" i="9"/>
  <c r="K1380" i="9"/>
  <c r="K1381" i="9"/>
  <c r="K1382" i="9"/>
  <c r="K1383" i="9"/>
  <c r="K1384" i="9"/>
  <c r="K1385" i="9"/>
  <c r="K1386" i="9"/>
  <c r="K1387" i="9"/>
  <c r="K1388" i="9"/>
  <c r="K1389" i="9"/>
  <c r="K1390" i="9"/>
  <c r="K1391" i="9"/>
  <c r="K1392" i="9"/>
  <c r="K1393" i="9"/>
  <c r="K1394" i="9"/>
  <c r="K1395" i="9"/>
  <c r="K1396" i="9"/>
  <c r="K1397" i="9"/>
  <c r="K1398" i="9"/>
  <c r="K1399" i="9"/>
  <c r="K1400" i="9"/>
  <c r="K1401" i="9"/>
  <c r="K1402" i="9"/>
  <c r="K1403" i="9"/>
  <c r="K1404" i="9"/>
  <c r="K1405" i="9"/>
  <c r="K1406" i="9"/>
  <c r="K1407" i="9"/>
  <c r="K1408" i="9"/>
  <c r="K1409" i="9"/>
  <c r="K1410" i="9"/>
  <c r="K1411" i="9"/>
  <c r="K1412" i="9"/>
  <c r="K1413" i="9"/>
  <c r="K1414" i="9"/>
  <c r="K1415" i="9"/>
  <c r="K1416" i="9"/>
  <c r="K1417" i="9"/>
  <c r="K1418" i="9"/>
  <c r="K1419" i="9"/>
  <c r="K1420" i="9"/>
  <c r="K1421" i="9"/>
  <c r="K1422" i="9"/>
  <c r="K1423" i="9"/>
  <c r="K1424" i="9"/>
  <c r="K1425" i="9"/>
  <c r="K1426" i="9"/>
  <c r="K1427" i="9"/>
  <c r="K1428" i="9"/>
  <c r="K1429" i="9"/>
  <c r="K1430" i="9"/>
  <c r="K1431" i="9"/>
  <c r="K1432" i="9"/>
  <c r="K1433" i="9"/>
  <c r="K1434" i="9"/>
  <c r="K1435" i="9"/>
  <c r="K1436" i="9"/>
  <c r="K1437" i="9"/>
  <c r="K1438" i="9"/>
  <c r="K1439" i="9"/>
  <c r="K1440" i="9"/>
  <c r="K1441" i="9"/>
  <c r="K1442" i="9"/>
  <c r="K1443" i="9"/>
  <c r="K1444" i="9"/>
  <c r="K1445" i="9"/>
  <c r="K1446" i="9"/>
  <c r="K1447" i="9"/>
  <c r="K1448" i="9"/>
  <c r="K1449" i="9"/>
  <c r="K1450" i="9"/>
  <c r="K1451" i="9"/>
  <c r="K1452" i="9"/>
  <c r="K1453" i="9"/>
  <c r="K1454" i="9"/>
  <c r="K1455" i="9"/>
  <c r="K1456" i="9"/>
  <c r="K1457" i="9"/>
  <c r="K1458" i="9"/>
  <c r="K1459" i="9"/>
  <c r="K1460" i="9"/>
  <c r="K1461" i="9"/>
  <c r="K1462" i="9"/>
  <c r="K1463" i="9"/>
  <c r="K1464" i="9"/>
  <c r="K1465" i="9"/>
  <c r="K1466" i="9"/>
  <c r="K1467" i="9"/>
  <c r="K1468" i="9"/>
  <c r="K1469" i="9"/>
  <c r="K1470" i="9"/>
  <c r="K1471" i="9"/>
  <c r="K1472" i="9"/>
  <c r="K1473" i="9"/>
  <c r="K1474" i="9"/>
  <c r="K1475" i="9"/>
  <c r="K1476" i="9"/>
  <c r="K1477" i="9"/>
  <c r="K1478" i="9"/>
  <c r="K1479" i="9"/>
  <c r="K1480" i="9"/>
  <c r="K1481" i="9"/>
  <c r="K1482" i="9"/>
  <c r="K1483" i="9"/>
  <c r="K1484" i="9"/>
  <c r="K1485" i="9"/>
  <c r="K1486" i="9"/>
  <c r="K1487" i="9"/>
  <c r="K1488" i="9"/>
  <c r="K1489" i="9"/>
  <c r="K1490" i="9"/>
  <c r="K1491" i="9"/>
  <c r="K1492" i="9"/>
  <c r="K1493" i="9"/>
  <c r="K1494" i="9"/>
  <c r="K1495" i="9"/>
  <c r="K1496" i="9"/>
  <c r="K1497" i="9"/>
  <c r="K1498" i="9"/>
  <c r="K1499" i="9"/>
  <c r="K1500" i="9"/>
  <c r="K1501" i="9"/>
  <c r="K1502" i="9"/>
  <c r="K1503" i="9"/>
  <c r="K1504" i="9"/>
  <c r="K1505" i="9"/>
  <c r="K1506" i="9"/>
  <c r="K1507" i="9"/>
  <c r="K1508" i="9"/>
  <c r="K1509" i="9"/>
  <c r="K1510" i="9"/>
  <c r="K1511" i="9"/>
  <c r="K1512" i="9"/>
  <c r="K1513" i="9"/>
  <c r="K1514" i="9"/>
  <c r="K1515" i="9"/>
  <c r="K1516" i="9"/>
  <c r="K1517" i="9"/>
  <c r="K1518" i="9"/>
  <c r="K1519" i="9"/>
  <c r="K1520" i="9"/>
  <c r="K1521" i="9"/>
  <c r="K1522" i="9"/>
  <c r="K1523" i="9"/>
  <c r="K1524" i="9"/>
  <c r="K1525" i="9"/>
  <c r="K1526" i="9"/>
  <c r="K1527" i="9"/>
  <c r="K1528" i="9"/>
  <c r="K1529" i="9"/>
  <c r="K1530" i="9"/>
  <c r="K1531" i="9"/>
  <c r="K1532" i="9"/>
  <c r="K1533" i="9"/>
  <c r="K1534" i="9"/>
  <c r="K1535" i="9"/>
  <c r="K1536" i="9"/>
  <c r="K1537" i="9"/>
  <c r="K1538" i="9"/>
  <c r="K1539" i="9"/>
  <c r="K1540" i="9"/>
  <c r="K1541" i="9"/>
  <c r="K1542" i="9"/>
  <c r="K1543" i="9"/>
  <c r="K1544" i="9"/>
  <c r="K1545" i="9"/>
  <c r="K1546" i="9"/>
  <c r="K1547" i="9"/>
  <c r="K1548" i="9"/>
  <c r="K1549" i="9"/>
  <c r="K1550" i="9"/>
  <c r="K1551" i="9"/>
  <c r="K1552" i="9"/>
  <c r="K1553" i="9"/>
  <c r="K1554" i="9"/>
  <c r="K1555" i="9"/>
  <c r="K1556" i="9"/>
  <c r="K1557" i="9"/>
  <c r="K1558" i="9"/>
  <c r="K1559" i="9"/>
  <c r="K1560" i="9"/>
  <c r="K1561" i="9"/>
  <c r="K1562" i="9"/>
  <c r="K1563" i="9"/>
  <c r="K1564" i="9"/>
  <c r="K1565" i="9"/>
  <c r="K1566" i="9"/>
  <c r="K1567" i="9"/>
  <c r="K1568" i="9"/>
  <c r="K1569" i="9"/>
  <c r="K1570" i="9"/>
  <c r="K1571" i="9"/>
  <c r="K1572" i="9"/>
  <c r="K1573" i="9"/>
  <c r="K1574" i="9"/>
  <c r="K1575" i="9"/>
  <c r="K1576" i="9"/>
  <c r="K1577" i="9"/>
  <c r="K1578" i="9"/>
  <c r="K1579" i="9"/>
  <c r="K1580" i="9"/>
  <c r="K1581" i="9"/>
  <c r="K1582" i="9"/>
  <c r="K1583" i="9"/>
  <c r="K1584" i="9"/>
  <c r="K1585" i="9"/>
  <c r="K1586" i="9"/>
  <c r="K1587" i="9"/>
  <c r="K1588" i="9"/>
  <c r="K1589" i="9"/>
  <c r="K1590" i="9"/>
  <c r="K1591" i="9"/>
  <c r="K1592" i="9"/>
  <c r="K1593" i="9"/>
  <c r="K1594" i="9"/>
  <c r="K1595" i="9"/>
  <c r="K1596" i="9"/>
  <c r="K1597" i="9"/>
  <c r="K1598" i="9"/>
  <c r="K1599" i="9"/>
  <c r="K1600" i="9"/>
  <c r="K1601" i="9"/>
  <c r="K1602" i="9"/>
  <c r="K1603" i="9"/>
  <c r="K1604" i="9"/>
  <c r="K1605" i="9"/>
  <c r="K1606" i="9"/>
  <c r="K1607" i="9"/>
  <c r="K1608" i="9"/>
  <c r="K1609" i="9"/>
  <c r="K1610" i="9"/>
  <c r="K1611" i="9"/>
  <c r="K1612" i="9"/>
  <c r="K1613" i="9"/>
  <c r="K1614" i="9"/>
  <c r="K1615" i="9"/>
  <c r="K1616" i="9"/>
  <c r="K1617" i="9"/>
  <c r="K1618" i="9"/>
  <c r="K1619" i="9"/>
  <c r="K1620" i="9"/>
  <c r="K1621" i="9"/>
  <c r="K1622" i="9"/>
  <c r="K1623" i="9"/>
  <c r="K1624" i="9"/>
  <c r="K1625" i="9"/>
  <c r="K1626" i="9"/>
  <c r="K1627" i="9"/>
  <c r="K1628" i="9"/>
  <c r="K1629" i="9"/>
  <c r="K1630" i="9"/>
  <c r="K1631" i="9"/>
  <c r="K1632" i="9"/>
  <c r="K1633" i="9"/>
  <c r="K1634" i="9"/>
  <c r="K1635" i="9"/>
  <c r="K1636" i="9"/>
  <c r="K1637" i="9"/>
  <c r="K1638" i="9"/>
  <c r="K1639" i="9"/>
  <c r="K1640" i="9"/>
  <c r="K1641" i="9"/>
  <c r="K1642" i="9"/>
  <c r="K1643" i="9"/>
  <c r="K1644" i="9"/>
  <c r="K1645" i="9"/>
  <c r="K1646" i="9"/>
  <c r="K1647" i="9"/>
  <c r="K1648" i="9"/>
  <c r="K1649" i="9"/>
  <c r="K1650" i="9"/>
  <c r="K1651" i="9"/>
  <c r="K1652" i="9"/>
  <c r="K1653" i="9"/>
  <c r="K1654" i="9"/>
  <c r="K1655" i="9"/>
  <c r="K1656" i="9"/>
  <c r="K1657" i="9"/>
  <c r="K1658" i="9"/>
  <c r="K1659" i="9"/>
  <c r="K1660" i="9"/>
  <c r="K1661" i="9"/>
  <c r="K1662" i="9"/>
  <c r="K1663" i="9"/>
  <c r="K1664" i="9"/>
  <c r="K1665" i="9"/>
  <c r="K1666" i="9"/>
  <c r="K1667" i="9"/>
  <c r="K1668" i="9"/>
  <c r="K1669" i="9"/>
  <c r="K1670" i="9"/>
  <c r="K1671" i="9"/>
  <c r="K1672" i="9"/>
  <c r="K1673" i="9"/>
  <c r="K1674" i="9"/>
  <c r="K1675" i="9"/>
  <c r="K1676" i="9"/>
  <c r="K1677" i="9"/>
  <c r="K1678" i="9"/>
  <c r="K1679" i="9"/>
  <c r="K1680" i="9"/>
  <c r="K1681" i="9"/>
  <c r="K1682" i="9"/>
  <c r="K1683" i="9"/>
  <c r="K1684" i="9"/>
  <c r="K1685" i="9"/>
  <c r="K1686" i="9"/>
  <c r="K1687" i="9"/>
  <c r="K1688" i="9"/>
  <c r="K1689" i="9"/>
  <c r="K1690" i="9"/>
  <c r="K1691" i="9"/>
  <c r="K1692" i="9"/>
  <c r="K1693" i="9"/>
  <c r="K1694" i="9"/>
  <c r="K1695" i="9"/>
  <c r="K1696" i="9"/>
  <c r="K1697" i="9"/>
  <c r="K1698" i="9"/>
  <c r="K1699" i="9"/>
  <c r="K1700" i="9"/>
  <c r="K1701" i="9"/>
  <c r="K1702" i="9"/>
  <c r="K1703" i="9"/>
  <c r="K1704" i="9"/>
  <c r="K1705" i="9"/>
  <c r="K1706" i="9"/>
  <c r="K1707" i="9"/>
  <c r="K1708" i="9"/>
  <c r="K1709" i="9"/>
  <c r="K1710" i="9"/>
  <c r="K1711" i="9"/>
  <c r="K1712" i="9"/>
  <c r="K1713" i="9"/>
  <c r="K1714" i="9"/>
  <c r="K1715" i="9"/>
  <c r="K1716" i="9"/>
  <c r="K1717" i="9"/>
  <c r="K1718" i="9"/>
  <c r="K1719" i="9"/>
  <c r="K1720" i="9"/>
  <c r="K1721" i="9"/>
  <c r="K1722" i="9"/>
  <c r="K1723" i="9"/>
  <c r="K1724" i="9"/>
  <c r="K1725" i="9"/>
  <c r="K1726" i="9"/>
  <c r="K1727" i="9"/>
  <c r="K1728" i="9"/>
  <c r="K1729" i="9"/>
  <c r="K1730" i="9"/>
  <c r="K1731" i="9"/>
  <c r="K1732" i="9"/>
  <c r="K1733" i="9"/>
  <c r="K1734" i="9"/>
  <c r="K1735" i="9"/>
  <c r="K1736" i="9"/>
  <c r="K1737" i="9"/>
  <c r="K1738" i="9"/>
  <c r="K1739" i="9"/>
  <c r="K1740" i="9"/>
  <c r="K1741" i="9"/>
  <c r="K1742" i="9"/>
  <c r="K1743" i="9"/>
  <c r="K1744" i="9"/>
  <c r="K1745" i="9"/>
  <c r="K1746" i="9"/>
  <c r="K1747" i="9"/>
  <c r="K1748" i="9"/>
  <c r="K1749" i="9"/>
  <c r="K1750" i="9"/>
  <c r="K1751" i="9"/>
  <c r="K1752" i="9"/>
  <c r="K1753" i="9"/>
  <c r="K1754" i="9"/>
  <c r="K1755" i="9"/>
  <c r="K1756" i="9"/>
  <c r="K1757" i="9"/>
  <c r="K1758" i="9"/>
  <c r="K1759" i="9"/>
  <c r="K1760" i="9"/>
  <c r="K1761" i="9"/>
  <c r="K1762" i="9"/>
  <c r="K1763" i="9"/>
  <c r="K1764" i="9"/>
  <c r="K1765" i="9"/>
  <c r="K1766" i="9"/>
  <c r="K1767" i="9"/>
  <c r="K1768" i="9"/>
  <c r="K1769" i="9"/>
  <c r="K1770" i="9"/>
  <c r="K1771" i="9"/>
  <c r="K1772" i="9"/>
  <c r="K1773" i="9"/>
  <c r="K1774" i="9"/>
  <c r="K1775" i="9"/>
  <c r="K1776" i="9"/>
  <c r="K1777" i="9"/>
  <c r="K1778" i="9"/>
  <c r="K1779" i="9"/>
  <c r="K1780" i="9"/>
  <c r="K1781" i="9"/>
  <c r="K1782" i="9"/>
  <c r="K1783" i="9"/>
  <c r="K1784" i="9"/>
  <c r="K1785" i="9"/>
  <c r="K1786" i="9"/>
  <c r="K1787" i="9"/>
  <c r="K1788" i="9"/>
  <c r="K1789" i="9"/>
  <c r="K1790" i="9"/>
  <c r="K1791" i="9"/>
  <c r="K1792" i="9"/>
  <c r="K1793" i="9"/>
  <c r="K1794" i="9"/>
  <c r="K1795" i="9"/>
  <c r="K1796" i="9"/>
  <c r="K1797" i="9"/>
  <c r="K1798" i="9"/>
  <c r="K1799" i="9"/>
  <c r="K1800" i="9"/>
  <c r="K1801" i="9"/>
  <c r="K1802" i="9"/>
  <c r="K1803" i="9"/>
  <c r="K1804" i="9"/>
  <c r="K1805" i="9"/>
  <c r="K1806" i="9"/>
  <c r="K1807" i="9"/>
  <c r="K1808" i="9"/>
  <c r="K1809" i="9"/>
  <c r="K1810" i="9"/>
  <c r="K1811" i="9"/>
  <c r="K1812" i="9"/>
  <c r="K1813" i="9"/>
  <c r="K1814" i="9"/>
  <c r="K1815" i="9"/>
  <c r="K1816" i="9"/>
  <c r="K1817" i="9"/>
  <c r="K1818" i="9"/>
  <c r="K1819" i="9"/>
  <c r="K1820" i="9"/>
  <c r="K1821" i="9"/>
  <c r="K1822" i="9"/>
  <c r="K1823" i="9"/>
  <c r="K1824" i="9"/>
  <c r="K1825" i="9"/>
  <c r="K1826" i="9"/>
  <c r="K1827" i="9"/>
  <c r="K1828" i="9"/>
  <c r="K1829" i="9"/>
  <c r="K1830" i="9"/>
  <c r="K1831" i="9"/>
  <c r="K1832" i="9"/>
  <c r="K1833" i="9"/>
  <c r="K1834" i="9"/>
  <c r="K1835" i="9"/>
  <c r="K1836" i="9"/>
  <c r="K1837" i="9"/>
  <c r="K1838" i="9"/>
  <c r="K1839" i="9"/>
  <c r="K1840" i="9"/>
  <c r="K1841" i="9"/>
  <c r="K1842" i="9"/>
  <c r="K1843" i="9"/>
  <c r="K1844" i="9"/>
  <c r="K1845" i="9"/>
  <c r="K1846" i="9"/>
  <c r="K1847" i="9"/>
  <c r="K1848" i="9"/>
  <c r="K1849" i="9"/>
  <c r="K1850" i="9"/>
  <c r="K1851" i="9"/>
  <c r="K1852" i="9"/>
  <c r="K1853" i="9"/>
  <c r="K1854" i="9"/>
  <c r="K1855" i="9"/>
  <c r="K1856" i="9"/>
  <c r="K1857" i="9"/>
  <c r="K1858" i="9"/>
  <c r="K1859" i="9"/>
  <c r="K1860" i="9"/>
  <c r="K1861" i="9"/>
  <c r="K1862" i="9"/>
  <c r="K1863" i="9"/>
  <c r="K1864" i="9"/>
  <c r="K1865" i="9"/>
  <c r="K1866" i="9"/>
  <c r="K1867" i="9"/>
  <c r="K1868" i="9"/>
  <c r="K1869" i="9"/>
  <c r="K1870" i="9"/>
  <c r="K1871" i="9"/>
  <c r="K1872" i="9"/>
  <c r="K1873" i="9"/>
  <c r="K1874" i="9"/>
  <c r="K1875" i="9"/>
  <c r="K1876" i="9"/>
  <c r="K1877" i="9"/>
  <c r="K1878" i="9"/>
  <c r="K1879" i="9"/>
  <c r="K1880" i="9"/>
  <c r="K1881" i="9"/>
  <c r="K1882" i="9"/>
  <c r="K1883" i="9"/>
  <c r="K1884" i="9"/>
  <c r="K1885" i="9"/>
  <c r="K1886" i="9"/>
  <c r="K1887" i="9"/>
  <c r="K1888" i="9"/>
  <c r="K1889" i="9"/>
  <c r="K1890" i="9"/>
  <c r="K1891" i="9"/>
  <c r="K1892" i="9"/>
  <c r="K1893" i="9"/>
  <c r="K1894" i="9"/>
  <c r="K1895" i="9"/>
  <c r="K1896" i="9"/>
  <c r="K1897" i="9"/>
  <c r="K1898" i="9"/>
  <c r="K1899" i="9"/>
  <c r="K1900" i="9"/>
  <c r="K1901" i="9"/>
  <c r="K1902" i="9"/>
  <c r="K1903" i="9"/>
  <c r="K1904" i="9"/>
  <c r="K1905" i="9"/>
  <c r="K1906" i="9"/>
  <c r="K1907" i="9"/>
  <c r="K1908" i="9"/>
  <c r="K1909" i="9"/>
  <c r="K1910" i="9"/>
  <c r="K1911" i="9"/>
  <c r="K1912" i="9"/>
  <c r="K1913" i="9"/>
  <c r="K1914" i="9"/>
  <c r="K1915" i="9"/>
  <c r="K1916" i="9"/>
  <c r="K1917" i="9"/>
  <c r="K1918" i="9"/>
  <c r="K1919" i="9"/>
  <c r="K1920" i="9"/>
  <c r="K1921" i="9"/>
  <c r="K1922" i="9"/>
  <c r="K1923" i="9"/>
  <c r="K1924" i="9"/>
  <c r="K1925" i="9"/>
  <c r="K1926" i="9"/>
  <c r="K1927" i="9"/>
  <c r="K1928" i="9"/>
  <c r="K1929" i="9"/>
  <c r="K1930" i="9"/>
  <c r="K1931" i="9"/>
  <c r="K1932" i="9"/>
  <c r="K1933" i="9"/>
  <c r="K1934" i="9"/>
  <c r="K1935" i="9"/>
  <c r="K1936" i="9"/>
  <c r="K1937" i="9"/>
  <c r="K1938" i="9"/>
  <c r="K1939" i="9"/>
  <c r="K1940" i="9"/>
  <c r="K1941" i="9"/>
  <c r="K1942" i="9"/>
  <c r="K1943" i="9"/>
  <c r="K1944" i="9"/>
  <c r="K1945" i="9"/>
  <c r="K1946" i="9"/>
  <c r="K1947" i="9"/>
  <c r="K1948" i="9"/>
  <c r="K1949" i="9"/>
  <c r="K1950" i="9"/>
  <c r="K1951" i="9"/>
  <c r="K1952" i="9"/>
  <c r="K1953" i="9"/>
  <c r="K1954" i="9"/>
  <c r="K1955" i="9"/>
  <c r="K1956" i="9"/>
  <c r="K1957" i="9"/>
  <c r="K1958" i="9"/>
  <c r="K1959" i="9"/>
  <c r="K1960" i="9"/>
  <c r="K1961" i="9"/>
  <c r="K1962" i="9"/>
  <c r="K1963" i="9"/>
  <c r="K1964" i="9"/>
  <c r="K1965" i="9"/>
  <c r="K1966" i="9"/>
  <c r="K1967" i="9"/>
  <c r="K1968" i="9"/>
  <c r="K1969" i="9"/>
  <c r="K1970" i="9"/>
  <c r="K1971" i="9"/>
  <c r="K1972" i="9"/>
  <c r="K1973" i="9"/>
  <c r="K1974" i="9"/>
  <c r="K1975" i="9"/>
  <c r="K1976" i="9"/>
  <c r="K1977" i="9"/>
  <c r="K1978" i="9"/>
  <c r="K1979" i="9"/>
  <c r="K1980" i="9"/>
  <c r="K1981" i="9"/>
  <c r="K1982" i="9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9" i="10"/>
  <c r="C198" i="10"/>
  <c r="K2" i="9"/>
  <c r="G244" i="8"/>
  <c r="F190" i="8"/>
  <c r="G190" i="8" s="1"/>
  <c r="F252" i="8"/>
  <c r="G252" i="8" s="1"/>
  <c r="E6" i="8"/>
  <c r="F6" i="8" s="1"/>
  <c r="G6" i="8" s="1"/>
  <c r="E10" i="8"/>
  <c r="F10" i="8" s="1"/>
  <c r="G10" i="8" s="1"/>
  <c r="E15" i="8"/>
  <c r="F15" i="8" s="1"/>
  <c r="G15" i="8" s="1"/>
  <c r="E19" i="8"/>
  <c r="F19" i="8" s="1"/>
  <c r="G19" i="8" s="1"/>
  <c r="E27" i="8"/>
  <c r="F27" i="8" s="1"/>
  <c r="G27" i="8" s="1"/>
  <c r="E28" i="8"/>
  <c r="F28" i="8" s="1"/>
  <c r="G28" i="8" s="1"/>
  <c r="E30" i="8"/>
  <c r="F30" i="8" s="1"/>
  <c r="G30" i="8" s="1"/>
  <c r="E39" i="8"/>
  <c r="F39" i="8" s="1"/>
  <c r="G39" i="8" s="1"/>
  <c r="E43" i="8"/>
  <c r="F43" i="8" s="1"/>
  <c r="G43" i="8" s="1"/>
  <c r="E48" i="8"/>
  <c r="F48" i="8" s="1"/>
  <c r="G48" i="8" s="1"/>
  <c r="E55" i="8"/>
  <c r="F55" i="8" s="1"/>
  <c r="G55" i="8" s="1"/>
  <c r="E56" i="8"/>
  <c r="F56" i="8" s="1"/>
  <c r="G56" i="8" s="1"/>
  <c r="E60" i="8"/>
  <c r="F60" i="8" s="1"/>
  <c r="G60" i="8" s="1"/>
  <c r="E70" i="8"/>
  <c r="F70" i="8" s="1"/>
  <c r="G70" i="8" s="1"/>
  <c r="E73" i="8"/>
  <c r="F73" i="8" s="1"/>
  <c r="G73" i="8" s="1"/>
  <c r="E74" i="8"/>
  <c r="F74" i="8" s="1"/>
  <c r="G74" i="8" s="1"/>
  <c r="E79" i="8"/>
  <c r="F79" i="8" s="1"/>
  <c r="G79" i="8" s="1"/>
  <c r="E84" i="8"/>
  <c r="F84" i="8" s="1"/>
  <c r="G84" i="8" s="1"/>
  <c r="E89" i="8"/>
  <c r="F89" i="8" s="1"/>
  <c r="G89" i="8" s="1"/>
  <c r="E98" i="8"/>
  <c r="F98" i="8" s="1"/>
  <c r="G98" i="8" s="1"/>
  <c r="E100" i="8"/>
  <c r="F100" i="8" s="1"/>
  <c r="G100" i="8" s="1"/>
  <c r="E102" i="8"/>
  <c r="F102" i="8" s="1"/>
  <c r="G102" i="8" s="1"/>
  <c r="E107" i="8"/>
  <c r="F107" i="8" s="1"/>
  <c r="G107" i="8" s="1"/>
  <c r="E115" i="8"/>
  <c r="F115" i="8" s="1"/>
  <c r="G115" i="8" s="1"/>
  <c r="E119" i="8"/>
  <c r="F119" i="8" s="1"/>
  <c r="G119" i="8" s="1"/>
  <c r="E121" i="8"/>
  <c r="F121" i="8" s="1"/>
  <c r="G121" i="8" s="1"/>
  <c r="E128" i="8"/>
  <c r="F128" i="8" s="1"/>
  <c r="G128" i="8" s="1"/>
  <c r="E130" i="8"/>
  <c r="F130" i="8" s="1"/>
  <c r="G130" i="8" s="1"/>
  <c r="E137" i="8"/>
  <c r="F137" i="8" s="1"/>
  <c r="G137" i="8" s="1"/>
  <c r="E144" i="8"/>
  <c r="F144" i="8" s="1"/>
  <c r="G144" i="8" s="1"/>
  <c r="E146" i="8"/>
  <c r="F146" i="8" s="1"/>
  <c r="G146" i="8" s="1"/>
  <c r="E147" i="8"/>
  <c r="F147" i="8" s="1"/>
  <c r="G147" i="8" s="1"/>
  <c r="E156" i="8"/>
  <c r="F156" i="8" s="1"/>
  <c r="G156" i="8" s="1"/>
  <c r="E161" i="8"/>
  <c r="F161" i="8" s="1"/>
  <c r="G161" i="8" s="1"/>
  <c r="E166" i="8"/>
  <c r="F166" i="8" s="1"/>
  <c r="G166" i="8" s="1"/>
  <c r="E171" i="8"/>
  <c r="F171" i="8" s="1"/>
  <c r="G171" i="8" s="1"/>
  <c r="E174" i="8"/>
  <c r="F174" i="8" s="1"/>
  <c r="G174" i="8" s="1"/>
  <c r="E176" i="8"/>
  <c r="F176" i="8" s="1"/>
  <c r="G176" i="8" s="1"/>
  <c r="E184" i="8"/>
  <c r="F184" i="8" s="1"/>
  <c r="G184" i="8" s="1"/>
  <c r="E188" i="8"/>
  <c r="F188" i="8" s="1"/>
  <c r="G188" i="8" s="1"/>
  <c r="E190" i="8"/>
  <c r="E192" i="8"/>
  <c r="F192" i="8" s="1"/>
  <c r="G192" i="8" s="1"/>
  <c r="E199" i="8"/>
  <c r="F199" i="8" s="1"/>
  <c r="G199" i="8" s="1"/>
  <c r="E203" i="8"/>
  <c r="F203" i="8" s="1"/>
  <c r="G203" i="8" s="1"/>
  <c r="E211" i="8"/>
  <c r="F211" i="8" s="1"/>
  <c r="G211" i="8" s="1"/>
  <c r="E212" i="8"/>
  <c r="F212" i="8" s="1"/>
  <c r="G212" i="8" s="1"/>
  <c r="E214" i="8"/>
  <c r="F214" i="8" s="1"/>
  <c r="G214" i="8" s="1"/>
  <c r="E219" i="8"/>
  <c r="F219" i="8" s="1"/>
  <c r="G219" i="8" s="1"/>
  <c r="E224" i="8"/>
  <c r="F224" i="8" s="1"/>
  <c r="G224" i="8" s="1"/>
  <c r="E228" i="8"/>
  <c r="F228" i="8" s="1"/>
  <c r="G228" i="8" s="1"/>
  <c r="E231" i="8"/>
  <c r="F231" i="8" s="1"/>
  <c r="G231" i="8" s="1"/>
  <c r="E236" i="8"/>
  <c r="F236" i="8" s="1"/>
  <c r="G236" i="8" s="1"/>
  <c r="E239" i="8"/>
  <c r="F239" i="8" s="1"/>
  <c r="G239" i="8" s="1"/>
  <c r="E244" i="8"/>
  <c r="F244" i="8" s="1"/>
  <c r="E251" i="8"/>
  <c r="F251" i="8" s="1"/>
  <c r="G251" i="8" s="1"/>
  <c r="E252" i="8"/>
  <c r="E2" i="8"/>
  <c r="F2" i="8" s="1"/>
  <c r="G2" i="8" s="1"/>
  <c r="D255" i="8"/>
  <c r="E25" i="8" s="1"/>
  <c r="F25" i="8" s="1"/>
  <c r="G25" i="8" s="1"/>
  <c r="E4" i="7"/>
  <c r="F4" i="7" s="1"/>
  <c r="G4" i="7" s="1"/>
  <c r="E5" i="7"/>
  <c r="F5" i="7" s="1"/>
  <c r="G5" i="7" s="1"/>
  <c r="E13" i="7"/>
  <c r="F13" i="7" s="1"/>
  <c r="G13" i="7" s="1"/>
  <c r="E26" i="7"/>
  <c r="F26" i="7" s="1"/>
  <c r="G26" i="7" s="1"/>
  <c r="E46" i="7"/>
  <c r="F46" i="7" s="1"/>
  <c r="G46" i="7" s="1"/>
  <c r="E53" i="7"/>
  <c r="F53" i="7" s="1"/>
  <c r="G53" i="7" s="1"/>
  <c r="E69" i="7"/>
  <c r="F69" i="7" s="1"/>
  <c r="G69" i="7" s="1"/>
  <c r="E77" i="7"/>
  <c r="F77" i="7" s="1"/>
  <c r="G77" i="7" s="1"/>
  <c r="E90" i="7"/>
  <c r="F90" i="7" s="1"/>
  <c r="G90" i="7" s="1"/>
  <c r="E99" i="7"/>
  <c r="F99" i="7" s="1"/>
  <c r="G99" i="7" s="1"/>
  <c r="E118" i="7"/>
  <c r="F118" i="7" s="1"/>
  <c r="G118" i="7" s="1"/>
  <c r="E121" i="7"/>
  <c r="F121" i="7" s="1"/>
  <c r="G121" i="7" s="1"/>
  <c r="E126" i="7"/>
  <c r="F126" i="7" s="1"/>
  <c r="G126" i="7" s="1"/>
  <c r="E146" i="7"/>
  <c r="F146" i="7" s="1"/>
  <c r="G146" i="7" s="1"/>
  <c r="E156" i="7"/>
  <c r="F156" i="7" s="1"/>
  <c r="G156" i="7" s="1"/>
  <c r="E169" i="7"/>
  <c r="F169" i="7" s="1"/>
  <c r="G169" i="7" s="1"/>
  <c r="E180" i="7"/>
  <c r="F180" i="7" s="1"/>
  <c r="G180" i="7" s="1"/>
  <c r="E182" i="7"/>
  <c r="F182" i="7" s="1"/>
  <c r="G182" i="7" s="1"/>
  <c r="E195" i="7"/>
  <c r="F195" i="7" s="1"/>
  <c r="G195" i="7" s="1"/>
  <c r="E217" i="7"/>
  <c r="F217" i="7" s="1"/>
  <c r="G217" i="7" s="1"/>
  <c r="E220" i="7"/>
  <c r="F220" i="7" s="1"/>
  <c r="G220" i="7" s="1"/>
  <c r="E222" i="7"/>
  <c r="F222" i="7" s="1"/>
  <c r="G222" i="7" s="1"/>
  <c r="E234" i="7"/>
  <c r="F234" i="7" s="1"/>
  <c r="G234" i="7" s="1"/>
  <c r="E244" i="7"/>
  <c r="F244" i="7" s="1"/>
  <c r="G244" i="7" s="1"/>
  <c r="E2" i="7"/>
  <c r="F2" i="7" s="1"/>
  <c r="G2" i="7" s="1"/>
  <c r="D254" i="7"/>
  <c r="E50" i="7" s="1"/>
  <c r="F50" i="7" s="1"/>
  <c r="G50" i="7" s="1"/>
  <c r="E60" i="6"/>
  <c r="F60" i="6" s="1"/>
  <c r="G60" i="6" s="1"/>
  <c r="D254" i="6"/>
  <c r="E22" i="6" s="1"/>
  <c r="F22" i="6" s="1"/>
  <c r="G22" i="6" s="1"/>
  <c r="E57" i="5"/>
  <c r="F57" i="5" s="1"/>
  <c r="G57" i="5" s="1"/>
  <c r="E107" i="5"/>
  <c r="F107" i="5" s="1"/>
  <c r="G107" i="5" s="1"/>
  <c r="E126" i="5"/>
  <c r="F126" i="5" s="1"/>
  <c r="G126" i="5" s="1"/>
  <c r="E150" i="5"/>
  <c r="F150" i="5" s="1"/>
  <c r="G150" i="5" s="1"/>
  <c r="E195" i="5"/>
  <c r="F195" i="5" s="1"/>
  <c r="G195" i="5" s="1"/>
  <c r="E240" i="5"/>
  <c r="F240" i="5" s="1"/>
  <c r="G240" i="5" s="1"/>
  <c r="D253" i="5"/>
  <c r="E15" i="5" s="1"/>
  <c r="F15" i="5" s="1"/>
  <c r="G15" i="5" s="1"/>
  <c r="G39" i="4"/>
  <c r="G207" i="4"/>
  <c r="F54" i="4"/>
  <c r="G54" i="4" s="1"/>
  <c r="E3" i="4"/>
  <c r="F3" i="4" s="1"/>
  <c r="G3" i="4" s="1"/>
  <c r="E8" i="4"/>
  <c r="F8" i="4" s="1"/>
  <c r="G8" i="4" s="1"/>
  <c r="E14" i="4"/>
  <c r="F14" i="4" s="1"/>
  <c r="G14" i="4" s="1"/>
  <c r="E19" i="4"/>
  <c r="F19" i="4" s="1"/>
  <c r="G19" i="4" s="1"/>
  <c r="E20" i="4"/>
  <c r="F20" i="4" s="1"/>
  <c r="G20" i="4" s="1"/>
  <c r="E27" i="4"/>
  <c r="F27" i="4" s="1"/>
  <c r="G27" i="4" s="1"/>
  <c r="E32" i="4"/>
  <c r="F32" i="4" s="1"/>
  <c r="G32" i="4" s="1"/>
  <c r="E37" i="4"/>
  <c r="F37" i="4" s="1"/>
  <c r="G37" i="4" s="1"/>
  <c r="E39" i="4"/>
  <c r="F39" i="4" s="1"/>
  <c r="E45" i="4"/>
  <c r="F45" i="4" s="1"/>
  <c r="G45" i="4" s="1"/>
  <c r="E48" i="4"/>
  <c r="F48" i="4" s="1"/>
  <c r="G48" i="4" s="1"/>
  <c r="E54" i="4"/>
  <c r="E61" i="4"/>
  <c r="F61" i="4" s="1"/>
  <c r="G61" i="4" s="1"/>
  <c r="E62" i="4"/>
  <c r="F62" i="4" s="1"/>
  <c r="G62" i="4" s="1"/>
  <c r="E63" i="4"/>
  <c r="F63" i="4" s="1"/>
  <c r="G63" i="4" s="1"/>
  <c r="E70" i="4"/>
  <c r="F70" i="4" s="1"/>
  <c r="G70" i="4" s="1"/>
  <c r="E74" i="4"/>
  <c r="F74" i="4" s="1"/>
  <c r="G74" i="4" s="1"/>
  <c r="E79" i="4"/>
  <c r="F79" i="4" s="1"/>
  <c r="G79" i="4" s="1"/>
  <c r="E82" i="4"/>
  <c r="F82" i="4" s="1"/>
  <c r="G82" i="4" s="1"/>
  <c r="E86" i="4"/>
  <c r="F86" i="4" s="1"/>
  <c r="G86" i="4" s="1"/>
  <c r="E88" i="4"/>
  <c r="F88" i="4" s="1"/>
  <c r="G88" i="4" s="1"/>
  <c r="E95" i="4"/>
  <c r="F95" i="4" s="1"/>
  <c r="G95" i="4" s="1"/>
  <c r="E101" i="4"/>
  <c r="F101" i="4" s="1"/>
  <c r="G101" i="4" s="1"/>
  <c r="E102" i="4"/>
  <c r="F102" i="4" s="1"/>
  <c r="G102" i="4" s="1"/>
  <c r="E104" i="4"/>
  <c r="F104" i="4" s="1"/>
  <c r="G104" i="4" s="1"/>
  <c r="E111" i="4"/>
  <c r="F111" i="4" s="1"/>
  <c r="G111" i="4" s="1"/>
  <c r="E114" i="4"/>
  <c r="F114" i="4" s="1"/>
  <c r="G114" i="4" s="1"/>
  <c r="E120" i="4"/>
  <c r="F120" i="4" s="1"/>
  <c r="G120" i="4" s="1"/>
  <c r="E125" i="4"/>
  <c r="F125" i="4" s="1"/>
  <c r="G125" i="4" s="1"/>
  <c r="E126" i="4"/>
  <c r="F126" i="4" s="1"/>
  <c r="G126" i="4" s="1"/>
  <c r="E130" i="4"/>
  <c r="F130" i="4" s="1"/>
  <c r="G130" i="4" s="1"/>
  <c r="E136" i="4"/>
  <c r="F136" i="4" s="1"/>
  <c r="G136" i="4" s="1"/>
  <c r="E141" i="4"/>
  <c r="F141" i="4" s="1"/>
  <c r="G141" i="4" s="1"/>
  <c r="E143" i="4"/>
  <c r="F143" i="4" s="1"/>
  <c r="G143" i="4" s="1"/>
  <c r="E146" i="4"/>
  <c r="F146" i="4" s="1"/>
  <c r="G146" i="4" s="1"/>
  <c r="E151" i="4"/>
  <c r="F151" i="4" s="1"/>
  <c r="G151" i="4" s="1"/>
  <c r="E157" i="4"/>
  <c r="F157" i="4" s="1"/>
  <c r="G157" i="4" s="1"/>
  <c r="E162" i="4"/>
  <c r="F162" i="4" s="1"/>
  <c r="G162" i="4" s="1"/>
  <c r="E165" i="4"/>
  <c r="F165" i="4" s="1"/>
  <c r="G165" i="4" s="1"/>
  <c r="E166" i="4"/>
  <c r="F166" i="4" s="1"/>
  <c r="G166" i="4" s="1"/>
  <c r="E173" i="4"/>
  <c r="F173" i="4" s="1"/>
  <c r="G173" i="4" s="1"/>
  <c r="E176" i="4"/>
  <c r="F176" i="4" s="1"/>
  <c r="G176" i="4" s="1"/>
  <c r="E182" i="4"/>
  <c r="F182" i="4" s="1"/>
  <c r="G182" i="4" s="1"/>
  <c r="E184" i="4"/>
  <c r="F184" i="4" s="1"/>
  <c r="G184" i="4" s="1"/>
  <c r="E189" i="4"/>
  <c r="F189" i="4" s="1"/>
  <c r="G189" i="4" s="1"/>
  <c r="E191" i="4"/>
  <c r="F191" i="4" s="1"/>
  <c r="G191" i="4" s="1"/>
  <c r="E198" i="4"/>
  <c r="F198" i="4" s="1"/>
  <c r="G198" i="4" s="1"/>
  <c r="E202" i="4"/>
  <c r="F202" i="4" s="1"/>
  <c r="G202" i="4" s="1"/>
  <c r="E205" i="4"/>
  <c r="F205" i="4" s="1"/>
  <c r="G205" i="4" s="1"/>
  <c r="E207" i="4"/>
  <c r="F207" i="4" s="1"/>
  <c r="E214" i="4"/>
  <c r="F214" i="4" s="1"/>
  <c r="G214" i="4" s="1"/>
  <c r="E216" i="4"/>
  <c r="F216" i="4" s="1"/>
  <c r="G216" i="4" s="1"/>
  <c r="E223" i="4"/>
  <c r="F223" i="4" s="1"/>
  <c r="G223" i="4" s="1"/>
  <c r="E226" i="4"/>
  <c r="F226" i="4" s="1"/>
  <c r="G226" i="4" s="1"/>
  <c r="E229" i="4"/>
  <c r="F229" i="4" s="1"/>
  <c r="G229" i="4" s="1"/>
  <c r="E232" i="4"/>
  <c r="F232" i="4" s="1"/>
  <c r="G232" i="4" s="1"/>
  <c r="E239" i="4"/>
  <c r="F239" i="4" s="1"/>
  <c r="G239" i="4" s="1"/>
  <c r="E242" i="4"/>
  <c r="F242" i="4" s="1"/>
  <c r="G242" i="4" s="1"/>
  <c r="E246" i="4"/>
  <c r="F246" i="4" s="1"/>
  <c r="G246" i="4" s="1"/>
  <c r="E248" i="4"/>
  <c r="F248" i="4" s="1"/>
  <c r="G248" i="4" s="1"/>
  <c r="D250" i="4"/>
  <c r="E9" i="4" s="1"/>
  <c r="F9" i="4" s="1"/>
  <c r="G9" i="4" s="1"/>
  <c r="E11" i="3"/>
  <c r="F11" i="3" s="1"/>
  <c r="G11" i="3" s="1"/>
  <c r="E33" i="3"/>
  <c r="F33" i="3" s="1"/>
  <c r="G33" i="3" s="1"/>
  <c r="E58" i="3"/>
  <c r="F58" i="3" s="1"/>
  <c r="G58" i="3" s="1"/>
  <c r="E106" i="3"/>
  <c r="F106" i="3" s="1"/>
  <c r="G106" i="3" s="1"/>
  <c r="E113" i="3"/>
  <c r="F113" i="3" s="1"/>
  <c r="G113" i="3" s="1"/>
  <c r="E155" i="3"/>
  <c r="F155" i="3" s="1"/>
  <c r="G155" i="3" s="1"/>
  <c r="E170" i="3"/>
  <c r="F170" i="3" s="1"/>
  <c r="G170" i="3" s="1"/>
  <c r="E203" i="3"/>
  <c r="F203" i="3" s="1"/>
  <c r="G203" i="3" s="1"/>
  <c r="E212" i="3"/>
  <c r="F212" i="3" s="1"/>
  <c r="G212" i="3" s="1"/>
  <c r="E8" i="2"/>
  <c r="F8" i="2" s="1"/>
  <c r="G8" i="2" s="1"/>
  <c r="E25" i="2"/>
  <c r="F25" i="2" s="1"/>
  <c r="G25" i="2" s="1"/>
  <c r="E54" i="2"/>
  <c r="F54" i="2" s="1"/>
  <c r="G54" i="2" s="1"/>
  <c r="E66" i="2"/>
  <c r="F66" i="2" s="1"/>
  <c r="G66" i="2" s="1"/>
  <c r="E111" i="2"/>
  <c r="F111" i="2" s="1"/>
  <c r="G111" i="2" s="1"/>
  <c r="E126" i="2"/>
  <c r="F126" i="2" s="1"/>
  <c r="G126" i="2" s="1"/>
  <c r="E167" i="2"/>
  <c r="F167" i="2" s="1"/>
  <c r="G167" i="2" s="1"/>
  <c r="E178" i="2"/>
  <c r="F178" i="2" s="1"/>
  <c r="G178" i="2" s="1"/>
  <c r="E202" i="2"/>
  <c r="F202" i="2" s="1"/>
  <c r="G202" i="2" s="1"/>
  <c r="E215" i="2"/>
  <c r="F215" i="2" s="1"/>
  <c r="G215" i="2" s="1"/>
  <c r="E228" i="2"/>
  <c r="F228" i="2" s="1"/>
  <c r="G228" i="2" s="1"/>
  <c r="D249" i="3"/>
  <c r="E36" i="3" s="1"/>
  <c r="F36" i="3" s="1"/>
  <c r="G36" i="3" s="1"/>
  <c r="D248" i="2"/>
  <c r="E14" i="2" s="1"/>
  <c r="F14" i="2" s="1"/>
  <c r="G14" i="2" s="1"/>
  <c r="E187" i="3" l="1"/>
  <c r="F187" i="3" s="1"/>
  <c r="G187" i="3" s="1"/>
  <c r="E138" i="3"/>
  <c r="F138" i="3" s="1"/>
  <c r="G138" i="3" s="1"/>
  <c r="E68" i="3"/>
  <c r="F68" i="3" s="1"/>
  <c r="G68" i="3" s="1"/>
  <c r="E240" i="2"/>
  <c r="F240" i="2" s="1"/>
  <c r="G240" i="2" s="1"/>
  <c r="E191" i="2"/>
  <c r="F191" i="2" s="1"/>
  <c r="G191" i="2" s="1"/>
  <c r="E142" i="2"/>
  <c r="F142" i="2" s="1"/>
  <c r="G142" i="2" s="1"/>
  <c r="E23" i="2"/>
  <c r="F23" i="2" s="1"/>
  <c r="G23" i="2" s="1"/>
  <c r="E227" i="3"/>
  <c r="F227" i="3" s="1"/>
  <c r="G227" i="3" s="1"/>
  <c r="E172" i="3"/>
  <c r="F172" i="3" s="1"/>
  <c r="G172" i="3" s="1"/>
  <c r="E137" i="3"/>
  <c r="F137" i="3" s="1"/>
  <c r="G137" i="3" s="1"/>
  <c r="E65" i="3"/>
  <c r="F65" i="3" s="1"/>
  <c r="G65" i="3" s="1"/>
  <c r="E229" i="6"/>
  <c r="F229" i="6" s="1"/>
  <c r="G229" i="6" s="1"/>
  <c r="E178" i="6"/>
  <c r="F178" i="6" s="1"/>
  <c r="G178" i="6" s="1"/>
  <c r="E62" i="6"/>
  <c r="F62" i="6" s="1"/>
  <c r="G62" i="6" s="1"/>
  <c r="E10" i="6"/>
  <c r="F10" i="6" s="1"/>
  <c r="G10" i="6" s="1"/>
  <c r="E230" i="2"/>
  <c r="F230" i="2" s="1"/>
  <c r="G230" i="2" s="1"/>
  <c r="E180" i="2"/>
  <c r="F180" i="2" s="1"/>
  <c r="G180" i="2" s="1"/>
  <c r="E128" i="2"/>
  <c r="F128" i="2" s="1"/>
  <c r="G128" i="2" s="1"/>
  <c r="E70" i="2"/>
  <c r="F70" i="2" s="1"/>
  <c r="G70" i="2" s="1"/>
  <c r="E9" i="2"/>
  <c r="F9" i="2" s="1"/>
  <c r="G9" i="2" s="1"/>
  <c r="E225" i="3"/>
  <c r="F225" i="3" s="1"/>
  <c r="G225" i="3" s="1"/>
  <c r="E171" i="3"/>
  <c r="F171" i="3" s="1"/>
  <c r="G171" i="3" s="1"/>
  <c r="E129" i="3"/>
  <c r="F129" i="3" s="1"/>
  <c r="G129" i="3" s="1"/>
  <c r="E59" i="3"/>
  <c r="F59" i="3" s="1"/>
  <c r="G59" i="3" s="1"/>
  <c r="E237" i="4"/>
  <c r="F237" i="4" s="1"/>
  <c r="G237" i="4" s="1"/>
  <c r="E215" i="4"/>
  <c r="F215" i="4" s="1"/>
  <c r="G215" i="4" s="1"/>
  <c r="E194" i="4"/>
  <c r="F194" i="4" s="1"/>
  <c r="G194" i="4" s="1"/>
  <c r="E175" i="4"/>
  <c r="F175" i="4" s="1"/>
  <c r="G175" i="4" s="1"/>
  <c r="E152" i="4"/>
  <c r="F152" i="4" s="1"/>
  <c r="G152" i="4" s="1"/>
  <c r="E134" i="4"/>
  <c r="F134" i="4" s="1"/>
  <c r="G134" i="4" s="1"/>
  <c r="E112" i="4"/>
  <c r="F112" i="4" s="1"/>
  <c r="G112" i="4" s="1"/>
  <c r="E93" i="4"/>
  <c r="F93" i="4" s="1"/>
  <c r="G93" i="4" s="1"/>
  <c r="E72" i="4"/>
  <c r="F72" i="4" s="1"/>
  <c r="G72" i="4" s="1"/>
  <c r="E50" i="4"/>
  <c r="F50" i="4" s="1"/>
  <c r="G50" i="4" s="1"/>
  <c r="E29" i="4"/>
  <c r="F29" i="4" s="1"/>
  <c r="G29" i="4" s="1"/>
  <c r="E5" i="4"/>
  <c r="F5" i="4" s="1"/>
  <c r="G5" i="4" s="1"/>
  <c r="E221" i="5"/>
  <c r="F221" i="5" s="1"/>
  <c r="G221" i="5" s="1"/>
  <c r="E29" i="5"/>
  <c r="F29" i="5" s="1"/>
  <c r="G29" i="5" s="1"/>
  <c r="E228" i="6"/>
  <c r="F228" i="6" s="1"/>
  <c r="G228" i="6" s="1"/>
  <c r="E170" i="6"/>
  <c r="F170" i="6" s="1"/>
  <c r="G170" i="6" s="1"/>
  <c r="E115" i="6"/>
  <c r="F115" i="6" s="1"/>
  <c r="G115" i="6" s="1"/>
  <c r="E61" i="6"/>
  <c r="F61" i="6" s="1"/>
  <c r="G61" i="6" s="1"/>
  <c r="E7" i="6"/>
  <c r="F7" i="6" s="1"/>
  <c r="G7" i="6" s="1"/>
  <c r="E252" i="7"/>
  <c r="F252" i="7" s="1"/>
  <c r="G252" i="7" s="1"/>
  <c r="E202" i="7"/>
  <c r="F202" i="7" s="1"/>
  <c r="G202" i="7" s="1"/>
  <c r="E155" i="7"/>
  <c r="F155" i="7" s="1"/>
  <c r="G155" i="7" s="1"/>
  <c r="E92" i="7"/>
  <c r="F92" i="7" s="1"/>
  <c r="G92" i="7" s="1"/>
  <c r="E44" i="7"/>
  <c r="F44" i="7" s="1"/>
  <c r="G44" i="7" s="1"/>
  <c r="E240" i="8"/>
  <c r="F240" i="8" s="1"/>
  <c r="G240" i="8" s="1"/>
  <c r="E223" i="8"/>
  <c r="F223" i="8" s="1"/>
  <c r="G223" i="8" s="1"/>
  <c r="E200" i="8"/>
  <c r="F200" i="8" s="1"/>
  <c r="G200" i="8" s="1"/>
  <c r="E180" i="8"/>
  <c r="F180" i="8" s="1"/>
  <c r="G180" i="8" s="1"/>
  <c r="E158" i="8"/>
  <c r="F158" i="8" s="1"/>
  <c r="G158" i="8" s="1"/>
  <c r="E134" i="8"/>
  <c r="F134" i="8" s="1"/>
  <c r="G134" i="8" s="1"/>
  <c r="E112" i="8"/>
  <c r="F112" i="8" s="1"/>
  <c r="G112" i="8" s="1"/>
  <c r="E88" i="8"/>
  <c r="F88" i="8" s="1"/>
  <c r="G88" i="8" s="1"/>
  <c r="E64" i="8"/>
  <c r="F64" i="8" s="1"/>
  <c r="G64" i="8" s="1"/>
  <c r="E42" i="8"/>
  <c r="F42" i="8" s="1"/>
  <c r="G42" i="8" s="1"/>
  <c r="E16" i="8"/>
  <c r="F16" i="8" s="1"/>
  <c r="G16" i="8" s="1"/>
  <c r="E114" i="6"/>
  <c r="F114" i="6" s="1"/>
  <c r="G114" i="6" s="1"/>
  <c r="E217" i="2"/>
  <c r="F217" i="2" s="1"/>
  <c r="G217" i="2" s="1"/>
  <c r="E168" i="2"/>
  <c r="F168" i="2" s="1"/>
  <c r="G168" i="2" s="1"/>
  <c r="E112" i="2"/>
  <c r="F112" i="2" s="1"/>
  <c r="G112" i="2" s="1"/>
  <c r="E55" i="2"/>
  <c r="F55" i="2" s="1"/>
  <c r="G55" i="2" s="1"/>
  <c r="E204" i="3"/>
  <c r="F204" i="3" s="1"/>
  <c r="G204" i="3" s="1"/>
  <c r="E169" i="3"/>
  <c r="F169" i="3" s="1"/>
  <c r="G169" i="3" s="1"/>
  <c r="E107" i="3"/>
  <c r="F107" i="3" s="1"/>
  <c r="G107" i="3" s="1"/>
  <c r="E42" i="3"/>
  <c r="F42" i="3" s="1"/>
  <c r="G42" i="3" s="1"/>
  <c r="E230" i="4"/>
  <c r="F230" i="4" s="1"/>
  <c r="G230" i="4" s="1"/>
  <c r="E210" i="4"/>
  <c r="F210" i="4" s="1"/>
  <c r="G210" i="4" s="1"/>
  <c r="E190" i="4"/>
  <c r="F190" i="4" s="1"/>
  <c r="G190" i="4" s="1"/>
  <c r="E168" i="4"/>
  <c r="F168" i="4" s="1"/>
  <c r="G168" i="4" s="1"/>
  <c r="E150" i="4"/>
  <c r="F150" i="4" s="1"/>
  <c r="G150" i="4" s="1"/>
  <c r="E127" i="4"/>
  <c r="F127" i="4" s="1"/>
  <c r="G127" i="4" s="1"/>
  <c r="E109" i="4"/>
  <c r="F109" i="4" s="1"/>
  <c r="G109" i="4" s="1"/>
  <c r="E87" i="4"/>
  <c r="F87" i="4" s="1"/>
  <c r="G87" i="4" s="1"/>
  <c r="E66" i="4"/>
  <c r="F66" i="4" s="1"/>
  <c r="G66" i="4" s="1"/>
  <c r="E47" i="4"/>
  <c r="F47" i="4" s="1"/>
  <c r="G47" i="4" s="1"/>
  <c r="E21" i="4"/>
  <c r="F21" i="4" s="1"/>
  <c r="G21" i="4" s="1"/>
  <c r="E172" i="5"/>
  <c r="F172" i="5" s="1"/>
  <c r="G172" i="5" s="1"/>
  <c r="E2" i="6"/>
  <c r="F2" i="6" s="1"/>
  <c r="G2" i="6" s="1"/>
  <c r="E204" i="6"/>
  <c r="F204" i="6" s="1"/>
  <c r="G204" i="6" s="1"/>
  <c r="E148" i="6"/>
  <c r="F148" i="6" s="1"/>
  <c r="G148" i="6" s="1"/>
  <c r="E94" i="6"/>
  <c r="F94" i="6" s="1"/>
  <c r="G94" i="6" s="1"/>
  <c r="E42" i="6"/>
  <c r="F42" i="6" s="1"/>
  <c r="G42" i="6" s="1"/>
  <c r="E242" i="7"/>
  <c r="F242" i="7" s="1"/>
  <c r="G242" i="7" s="1"/>
  <c r="E188" i="7"/>
  <c r="F188" i="7" s="1"/>
  <c r="G188" i="7" s="1"/>
  <c r="E138" i="7"/>
  <c r="F138" i="7" s="1"/>
  <c r="G138" i="7" s="1"/>
  <c r="E83" i="7"/>
  <c r="F83" i="7" s="1"/>
  <c r="G83" i="7" s="1"/>
  <c r="E19" i="7"/>
  <c r="F19" i="7" s="1"/>
  <c r="G19" i="7" s="1"/>
  <c r="E238" i="8"/>
  <c r="F238" i="8" s="1"/>
  <c r="G238" i="8" s="1"/>
  <c r="E215" i="8"/>
  <c r="F215" i="8" s="1"/>
  <c r="G215" i="8" s="1"/>
  <c r="E198" i="8"/>
  <c r="F198" i="8" s="1"/>
  <c r="G198" i="8" s="1"/>
  <c r="E175" i="8"/>
  <c r="F175" i="8" s="1"/>
  <c r="G175" i="8" s="1"/>
  <c r="E152" i="8"/>
  <c r="F152" i="8" s="1"/>
  <c r="G152" i="8" s="1"/>
  <c r="E129" i="8"/>
  <c r="F129" i="8" s="1"/>
  <c r="G129" i="8" s="1"/>
  <c r="E103" i="8"/>
  <c r="F103" i="8" s="1"/>
  <c r="G103" i="8" s="1"/>
  <c r="E83" i="8"/>
  <c r="F83" i="8" s="1"/>
  <c r="G83" i="8" s="1"/>
  <c r="E57" i="8"/>
  <c r="F57" i="8" s="1"/>
  <c r="G57" i="8" s="1"/>
  <c r="E34" i="8"/>
  <c r="F34" i="8" s="1"/>
  <c r="G34" i="8" s="1"/>
  <c r="E11" i="8"/>
  <c r="F11" i="8" s="1"/>
  <c r="G11" i="8" s="1"/>
  <c r="E147" i="6"/>
  <c r="F147" i="6" s="1"/>
  <c r="G147" i="6" s="1"/>
  <c r="E204" i="2"/>
  <c r="F204" i="2" s="1"/>
  <c r="G204" i="2" s="1"/>
  <c r="E156" i="2"/>
  <c r="F156" i="2" s="1"/>
  <c r="G156" i="2" s="1"/>
  <c r="E97" i="2"/>
  <c r="F97" i="2" s="1"/>
  <c r="G97" i="2" s="1"/>
  <c r="E40" i="2"/>
  <c r="F40" i="2" s="1"/>
  <c r="G40" i="2" s="1"/>
  <c r="E244" i="3"/>
  <c r="F244" i="3" s="1"/>
  <c r="G244" i="3" s="1"/>
  <c r="E195" i="3"/>
  <c r="F195" i="3" s="1"/>
  <c r="G195" i="3" s="1"/>
  <c r="E148" i="3"/>
  <c r="F148" i="3" s="1"/>
  <c r="G148" i="3" s="1"/>
  <c r="E91" i="3"/>
  <c r="F91" i="3" s="1"/>
  <c r="G91" i="3" s="1"/>
  <c r="E27" i="3"/>
  <c r="F27" i="3" s="1"/>
  <c r="G27" i="3" s="1"/>
  <c r="E245" i="6"/>
  <c r="F245" i="6" s="1"/>
  <c r="G245" i="6" s="1"/>
  <c r="E198" i="6"/>
  <c r="F198" i="6" s="1"/>
  <c r="G198" i="6" s="1"/>
  <c r="E146" i="6"/>
  <c r="F146" i="6" s="1"/>
  <c r="G146" i="6" s="1"/>
  <c r="E92" i="6"/>
  <c r="F92" i="6" s="1"/>
  <c r="G92" i="6" s="1"/>
  <c r="E34" i="6"/>
  <c r="F34" i="6" s="1"/>
  <c r="G34" i="6" s="1"/>
  <c r="E247" i="6"/>
  <c r="F247" i="6" s="1"/>
  <c r="G247" i="6" s="1"/>
  <c r="E199" i="6"/>
  <c r="F199" i="6" s="1"/>
  <c r="G199" i="6" s="1"/>
  <c r="E93" i="6"/>
  <c r="F93" i="6" s="1"/>
  <c r="G93" i="6" s="1"/>
  <c r="E39" i="6"/>
  <c r="F39" i="6" s="1"/>
  <c r="G39" i="6" s="1"/>
  <c r="E240" i="4"/>
  <c r="F240" i="4" s="1"/>
  <c r="G240" i="4" s="1"/>
  <c r="E221" i="4"/>
  <c r="F221" i="4" s="1"/>
  <c r="G221" i="4" s="1"/>
  <c r="E200" i="4"/>
  <c r="F200" i="4" s="1"/>
  <c r="G200" i="4" s="1"/>
  <c r="E178" i="4"/>
  <c r="F178" i="4" s="1"/>
  <c r="G178" i="4" s="1"/>
  <c r="E159" i="4"/>
  <c r="F159" i="4" s="1"/>
  <c r="G159" i="4" s="1"/>
  <c r="E138" i="4"/>
  <c r="F138" i="4" s="1"/>
  <c r="G138" i="4" s="1"/>
  <c r="E118" i="4"/>
  <c r="F118" i="4" s="1"/>
  <c r="G118" i="4" s="1"/>
  <c r="E98" i="4"/>
  <c r="F98" i="4" s="1"/>
  <c r="G98" i="4" s="1"/>
  <c r="E77" i="4"/>
  <c r="F77" i="4" s="1"/>
  <c r="G77" i="4" s="1"/>
  <c r="E56" i="4"/>
  <c r="F56" i="4" s="1"/>
  <c r="G56" i="4" s="1"/>
  <c r="E36" i="4"/>
  <c r="F36" i="4" s="1"/>
  <c r="G36" i="4" s="1"/>
  <c r="E11" i="4"/>
  <c r="F11" i="4" s="1"/>
  <c r="G11" i="4" s="1"/>
  <c r="E83" i="5"/>
  <c r="F83" i="5" s="1"/>
  <c r="G83" i="5" s="1"/>
  <c r="E230" i="6"/>
  <c r="F230" i="6" s="1"/>
  <c r="G230" i="6" s="1"/>
  <c r="E179" i="6"/>
  <c r="F179" i="6" s="1"/>
  <c r="G179" i="6" s="1"/>
  <c r="E125" i="6"/>
  <c r="F125" i="6" s="1"/>
  <c r="G125" i="6" s="1"/>
  <c r="E69" i="6"/>
  <c r="F69" i="6" s="1"/>
  <c r="G69" i="6" s="1"/>
  <c r="E12" i="6"/>
  <c r="F12" i="6" s="1"/>
  <c r="G12" i="6" s="1"/>
  <c r="E219" i="7"/>
  <c r="F219" i="7" s="1"/>
  <c r="G219" i="7" s="1"/>
  <c r="E158" i="7"/>
  <c r="F158" i="7" s="1"/>
  <c r="G158" i="7" s="1"/>
  <c r="E116" i="7"/>
  <c r="F116" i="7" s="1"/>
  <c r="G116" i="7" s="1"/>
  <c r="E248" i="8"/>
  <c r="F248" i="8" s="1"/>
  <c r="G248" i="8" s="1"/>
  <c r="E227" i="8"/>
  <c r="F227" i="8" s="1"/>
  <c r="G227" i="8" s="1"/>
  <c r="E206" i="8"/>
  <c r="F206" i="8" s="1"/>
  <c r="G206" i="8" s="1"/>
  <c r="E187" i="8"/>
  <c r="F187" i="8" s="1"/>
  <c r="G187" i="8" s="1"/>
  <c r="E162" i="8"/>
  <c r="F162" i="8" s="1"/>
  <c r="G162" i="8" s="1"/>
  <c r="E143" i="8"/>
  <c r="F143" i="8" s="1"/>
  <c r="G143" i="8" s="1"/>
  <c r="E116" i="8"/>
  <c r="F116" i="8" s="1"/>
  <c r="G116" i="8" s="1"/>
  <c r="E92" i="8"/>
  <c r="F92" i="8" s="1"/>
  <c r="G92" i="8" s="1"/>
  <c r="E71" i="8"/>
  <c r="F71" i="8" s="1"/>
  <c r="G71" i="8" s="1"/>
  <c r="E46" i="8"/>
  <c r="F46" i="8" s="1"/>
  <c r="G46" i="8" s="1"/>
  <c r="E221" i="6"/>
  <c r="F221" i="6" s="1"/>
  <c r="G221" i="6" s="1"/>
  <c r="E166" i="6"/>
  <c r="F166" i="6" s="1"/>
  <c r="G166" i="6" s="1"/>
  <c r="E6" i="6"/>
  <c r="F6" i="6" s="1"/>
  <c r="G6" i="6" s="1"/>
  <c r="E154" i="2"/>
  <c r="F154" i="2" s="1"/>
  <c r="G154" i="2" s="1"/>
  <c r="E96" i="2"/>
  <c r="F96" i="2" s="1"/>
  <c r="G96" i="2" s="1"/>
  <c r="E39" i="2"/>
  <c r="F39" i="2" s="1"/>
  <c r="G39" i="2" s="1"/>
  <c r="E233" i="3"/>
  <c r="F233" i="3" s="1"/>
  <c r="G233" i="3" s="1"/>
  <c r="E193" i="3"/>
  <c r="F193" i="3" s="1"/>
  <c r="G193" i="3" s="1"/>
  <c r="E139" i="3"/>
  <c r="F139" i="3" s="1"/>
  <c r="G139" i="3" s="1"/>
  <c r="E89" i="3"/>
  <c r="F89" i="3" s="1"/>
  <c r="G89" i="3" s="1"/>
  <c r="E17" i="3"/>
  <c r="F17" i="3" s="1"/>
  <c r="G17" i="3" s="1"/>
  <c r="E244" i="6"/>
  <c r="F244" i="6" s="1"/>
  <c r="G244" i="6" s="1"/>
  <c r="E197" i="6"/>
  <c r="F197" i="6" s="1"/>
  <c r="G197" i="6" s="1"/>
  <c r="E143" i="6"/>
  <c r="F143" i="6" s="1"/>
  <c r="G143" i="6" s="1"/>
  <c r="E84" i="6"/>
  <c r="F84" i="6" s="1"/>
  <c r="G84" i="6" s="1"/>
  <c r="E29" i="6"/>
  <c r="F29" i="6" s="1"/>
  <c r="G29" i="6" s="1"/>
  <c r="E241" i="2"/>
  <c r="F241" i="2" s="1"/>
  <c r="G241" i="2" s="1"/>
  <c r="E192" i="2"/>
  <c r="F192" i="2" s="1"/>
  <c r="G192" i="2" s="1"/>
  <c r="E143" i="2"/>
  <c r="F143" i="2" s="1"/>
  <c r="G143" i="2" s="1"/>
  <c r="E82" i="2"/>
  <c r="F82" i="2" s="1"/>
  <c r="G82" i="2" s="1"/>
  <c r="E228" i="3"/>
  <c r="F228" i="3" s="1"/>
  <c r="G228" i="3" s="1"/>
  <c r="E81" i="2"/>
  <c r="F81" i="2" s="1"/>
  <c r="G81" i="2" s="1"/>
  <c r="E9" i="3"/>
  <c r="F9" i="3" s="1"/>
  <c r="G9" i="3" s="1"/>
  <c r="E118" i="6"/>
  <c r="F118" i="6" s="1"/>
  <c r="G118" i="6" s="1"/>
  <c r="E224" i="2"/>
  <c r="F224" i="2" s="1"/>
  <c r="G224" i="2" s="1"/>
  <c r="E188" i="2"/>
  <c r="F188" i="2" s="1"/>
  <c r="G188" i="2" s="1"/>
  <c r="E151" i="2"/>
  <c r="F151" i="2" s="1"/>
  <c r="G151" i="2" s="1"/>
  <c r="E106" i="2"/>
  <c r="F106" i="2" s="1"/>
  <c r="G106" i="2" s="1"/>
  <c r="E33" i="2"/>
  <c r="F33" i="2" s="1"/>
  <c r="G33" i="2" s="1"/>
  <c r="E244" i="2"/>
  <c r="F244" i="2" s="1"/>
  <c r="G244" i="2" s="1"/>
  <c r="E220" i="2"/>
  <c r="F220" i="2" s="1"/>
  <c r="G220" i="2" s="1"/>
  <c r="E183" i="2"/>
  <c r="F183" i="2" s="1"/>
  <c r="G183" i="2" s="1"/>
  <c r="E170" i="2"/>
  <c r="F170" i="2" s="1"/>
  <c r="G170" i="2" s="1"/>
  <c r="E145" i="2"/>
  <c r="F145" i="2" s="1"/>
  <c r="G145" i="2" s="1"/>
  <c r="E118" i="2"/>
  <c r="F118" i="2" s="1"/>
  <c r="G118" i="2" s="1"/>
  <c r="E72" i="2"/>
  <c r="F72" i="2" s="1"/>
  <c r="G72" i="2" s="1"/>
  <c r="E42" i="2"/>
  <c r="F42" i="2" s="1"/>
  <c r="G42" i="2" s="1"/>
  <c r="E15" i="2"/>
  <c r="F15" i="2" s="1"/>
  <c r="G15" i="2" s="1"/>
  <c r="E225" i="2"/>
  <c r="F225" i="2" s="1"/>
  <c r="G225" i="2" s="1"/>
  <c r="E177" i="2"/>
  <c r="F177" i="2" s="1"/>
  <c r="G177" i="2" s="1"/>
  <c r="E137" i="2"/>
  <c r="F137" i="2" s="1"/>
  <c r="G137" i="2" s="1"/>
  <c r="E95" i="2"/>
  <c r="F95" i="2" s="1"/>
  <c r="G95" i="2" s="1"/>
  <c r="E50" i="2"/>
  <c r="F50" i="2" s="1"/>
  <c r="G50" i="2" s="1"/>
  <c r="E7" i="2"/>
  <c r="F7" i="2" s="1"/>
  <c r="G7" i="2" s="1"/>
  <c r="E236" i="2"/>
  <c r="F236" i="2" s="1"/>
  <c r="G236" i="2" s="1"/>
  <c r="E200" i="2"/>
  <c r="F200" i="2" s="1"/>
  <c r="G200" i="2" s="1"/>
  <c r="E164" i="2"/>
  <c r="F164" i="2" s="1"/>
  <c r="G164" i="2" s="1"/>
  <c r="E121" i="2"/>
  <c r="F121" i="2" s="1"/>
  <c r="G121" i="2" s="1"/>
  <c r="E79" i="2"/>
  <c r="F79" i="2" s="1"/>
  <c r="G79" i="2" s="1"/>
  <c r="E18" i="2"/>
  <c r="F18" i="2" s="1"/>
  <c r="G18" i="2" s="1"/>
  <c r="E232" i="2"/>
  <c r="F232" i="2" s="1"/>
  <c r="G232" i="2" s="1"/>
  <c r="E208" i="2"/>
  <c r="F208" i="2" s="1"/>
  <c r="G208" i="2" s="1"/>
  <c r="E196" i="2"/>
  <c r="F196" i="2" s="1"/>
  <c r="G196" i="2" s="1"/>
  <c r="E159" i="2"/>
  <c r="F159" i="2" s="1"/>
  <c r="G159" i="2" s="1"/>
  <c r="E130" i="2"/>
  <c r="F130" i="2" s="1"/>
  <c r="G130" i="2" s="1"/>
  <c r="E103" i="2"/>
  <c r="F103" i="2" s="1"/>
  <c r="G103" i="2" s="1"/>
  <c r="E87" i="2"/>
  <c r="F87" i="2" s="1"/>
  <c r="G87" i="2" s="1"/>
  <c r="E57" i="2"/>
  <c r="F57" i="2" s="1"/>
  <c r="G57" i="2" s="1"/>
  <c r="E30" i="2"/>
  <c r="F30" i="2" s="1"/>
  <c r="G30" i="2" s="1"/>
  <c r="E242" i="2"/>
  <c r="F242" i="2" s="1"/>
  <c r="G242" i="2" s="1"/>
  <c r="E231" i="2"/>
  <c r="F231" i="2" s="1"/>
  <c r="G231" i="2" s="1"/>
  <c r="E218" i="2"/>
  <c r="F218" i="2" s="1"/>
  <c r="G218" i="2" s="1"/>
  <c r="E207" i="2"/>
  <c r="F207" i="2" s="1"/>
  <c r="G207" i="2" s="1"/>
  <c r="E193" i="2"/>
  <c r="F193" i="2" s="1"/>
  <c r="G193" i="2" s="1"/>
  <c r="E182" i="2"/>
  <c r="F182" i="2" s="1"/>
  <c r="G182" i="2" s="1"/>
  <c r="E169" i="2"/>
  <c r="F169" i="2" s="1"/>
  <c r="G169" i="2" s="1"/>
  <c r="E158" i="2"/>
  <c r="F158" i="2" s="1"/>
  <c r="G158" i="2" s="1"/>
  <c r="E144" i="2"/>
  <c r="F144" i="2" s="1"/>
  <c r="G144" i="2" s="1"/>
  <c r="E129" i="2"/>
  <c r="F129" i="2" s="1"/>
  <c r="G129" i="2" s="1"/>
  <c r="E114" i="2"/>
  <c r="F114" i="2" s="1"/>
  <c r="G114" i="2" s="1"/>
  <c r="E98" i="2"/>
  <c r="F98" i="2" s="1"/>
  <c r="G98" i="2" s="1"/>
  <c r="E86" i="2"/>
  <c r="F86" i="2" s="1"/>
  <c r="G86" i="2" s="1"/>
  <c r="E71" i="2"/>
  <c r="F71" i="2" s="1"/>
  <c r="G71" i="2" s="1"/>
  <c r="E56" i="2"/>
  <c r="F56" i="2" s="1"/>
  <c r="G56" i="2" s="1"/>
  <c r="E41" i="2"/>
  <c r="F41" i="2" s="1"/>
  <c r="G41" i="2" s="1"/>
  <c r="E26" i="2"/>
  <c r="F26" i="2" s="1"/>
  <c r="G26" i="2" s="1"/>
  <c r="E5" i="2"/>
  <c r="F5" i="2" s="1"/>
  <c r="G5" i="2" s="1"/>
  <c r="E13" i="2"/>
  <c r="F13" i="2" s="1"/>
  <c r="G13" i="2" s="1"/>
  <c r="E21" i="2"/>
  <c r="F21" i="2" s="1"/>
  <c r="G21" i="2" s="1"/>
  <c r="E29" i="2"/>
  <c r="F29" i="2" s="1"/>
  <c r="G29" i="2" s="1"/>
  <c r="E37" i="2"/>
  <c r="F37" i="2" s="1"/>
  <c r="G37" i="2" s="1"/>
  <c r="E45" i="2"/>
  <c r="F45" i="2" s="1"/>
  <c r="G45" i="2" s="1"/>
  <c r="E53" i="2"/>
  <c r="F53" i="2" s="1"/>
  <c r="G53" i="2" s="1"/>
  <c r="E61" i="2"/>
  <c r="F61" i="2" s="1"/>
  <c r="G61" i="2" s="1"/>
  <c r="E69" i="2"/>
  <c r="F69" i="2" s="1"/>
  <c r="G69" i="2" s="1"/>
  <c r="E77" i="2"/>
  <c r="F77" i="2" s="1"/>
  <c r="G77" i="2" s="1"/>
  <c r="E85" i="2"/>
  <c r="F85" i="2" s="1"/>
  <c r="G85" i="2" s="1"/>
  <c r="E93" i="2"/>
  <c r="F93" i="2" s="1"/>
  <c r="G93" i="2" s="1"/>
  <c r="E101" i="2"/>
  <c r="F101" i="2" s="1"/>
  <c r="G101" i="2" s="1"/>
  <c r="E109" i="2"/>
  <c r="F109" i="2" s="1"/>
  <c r="G109" i="2" s="1"/>
  <c r="E117" i="2"/>
  <c r="F117" i="2" s="1"/>
  <c r="G117" i="2" s="1"/>
  <c r="E125" i="2"/>
  <c r="F125" i="2" s="1"/>
  <c r="G125" i="2" s="1"/>
  <c r="E133" i="2"/>
  <c r="F133" i="2" s="1"/>
  <c r="G133" i="2" s="1"/>
  <c r="E141" i="2"/>
  <c r="F141" i="2" s="1"/>
  <c r="G141" i="2" s="1"/>
  <c r="E149" i="2"/>
  <c r="F149" i="2" s="1"/>
  <c r="G149" i="2" s="1"/>
  <c r="E157" i="2"/>
  <c r="F157" i="2" s="1"/>
  <c r="G157" i="2" s="1"/>
  <c r="E165" i="2"/>
  <c r="F165" i="2" s="1"/>
  <c r="G165" i="2" s="1"/>
  <c r="E173" i="2"/>
  <c r="F173" i="2" s="1"/>
  <c r="G173" i="2" s="1"/>
  <c r="E181" i="2"/>
  <c r="F181" i="2" s="1"/>
  <c r="G181" i="2" s="1"/>
  <c r="E189" i="2"/>
  <c r="F189" i="2" s="1"/>
  <c r="G189" i="2" s="1"/>
  <c r="E197" i="2"/>
  <c r="F197" i="2" s="1"/>
  <c r="G197" i="2" s="1"/>
  <c r="E205" i="2"/>
  <c r="F205" i="2" s="1"/>
  <c r="G205" i="2" s="1"/>
  <c r="E213" i="2"/>
  <c r="F213" i="2" s="1"/>
  <c r="G213" i="2" s="1"/>
  <c r="E221" i="2"/>
  <c r="F221" i="2" s="1"/>
  <c r="G221" i="2" s="1"/>
  <c r="E229" i="2"/>
  <c r="F229" i="2" s="1"/>
  <c r="G229" i="2" s="1"/>
  <c r="E237" i="2"/>
  <c r="F237" i="2" s="1"/>
  <c r="G237" i="2" s="1"/>
  <c r="E245" i="2"/>
  <c r="F245" i="2" s="1"/>
  <c r="G245" i="2" s="1"/>
  <c r="E3" i="2"/>
  <c r="F3" i="2" s="1"/>
  <c r="G3" i="2" s="1"/>
  <c r="E11" i="2"/>
  <c r="F11" i="2" s="1"/>
  <c r="G11" i="2" s="1"/>
  <c r="E19" i="2"/>
  <c r="F19" i="2" s="1"/>
  <c r="G19" i="2" s="1"/>
  <c r="E27" i="2"/>
  <c r="F27" i="2" s="1"/>
  <c r="G27" i="2" s="1"/>
  <c r="E35" i="2"/>
  <c r="F35" i="2" s="1"/>
  <c r="G35" i="2" s="1"/>
  <c r="E43" i="2"/>
  <c r="F43" i="2" s="1"/>
  <c r="G43" i="2" s="1"/>
  <c r="E51" i="2"/>
  <c r="F51" i="2" s="1"/>
  <c r="G51" i="2" s="1"/>
  <c r="E59" i="2"/>
  <c r="F59" i="2" s="1"/>
  <c r="G59" i="2" s="1"/>
  <c r="E67" i="2"/>
  <c r="F67" i="2" s="1"/>
  <c r="G67" i="2" s="1"/>
  <c r="E75" i="2"/>
  <c r="F75" i="2" s="1"/>
  <c r="G75" i="2" s="1"/>
  <c r="E83" i="2"/>
  <c r="F83" i="2" s="1"/>
  <c r="G83" i="2" s="1"/>
  <c r="E91" i="2"/>
  <c r="F91" i="2" s="1"/>
  <c r="G91" i="2" s="1"/>
  <c r="E99" i="2"/>
  <c r="F99" i="2" s="1"/>
  <c r="G99" i="2" s="1"/>
  <c r="E107" i="2"/>
  <c r="F107" i="2" s="1"/>
  <c r="G107" i="2" s="1"/>
  <c r="E115" i="2"/>
  <c r="F115" i="2" s="1"/>
  <c r="G115" i="2" s="1"/>
  <c r="E123" i="2"/>
  <c r="F123" i="2" s="1"/>
  <c r="G123" i="2" s="1"/>
  <c r="E131" i="2"/>
  <c r="F131" i="2" s="1"/>
  <c r="G131" i="2" s="1"/>
  <c r="E139" i="2"/>
  <c r="F139" i="2" s="1"/>
  <c r="G139" i="2" s="1"/>
  <c r="E147" i="2"/>
  <c r="F147" i="2" s="1"/>
  <c r="G147" i="2" s="1"/>
  <c r="E155" i="2"/>
  <c r="F155" i="2" s="1"/>
  <c r="G155" i="2" s="1"/>
  <c r="E163" i="2"/>
  <c r="F163" i="2" s="1"/>
  <c r="G163" i="2" s="1"/>
  <c r="E171" i="2"/>
  <c r="F171" i="2" s="1"/>
  <c r="G171" i="2" s="1"/>
  <c r="E179" i="2"/>
  <c r="F179" i="2" s="1"/>
  <c r="G179" i="2" s="1"/>
  <c r="E187" i="2"/>
  <c r="F187" i="2" s="1"/>
  <c r="G187" i="2" s="1"/>
  <c r="E195" i="2"/>
  <c r="F195" i="2" s="1"/>
  <c r="G195" i="2" s="1"/>
  <c r="E203" i="2"/>
  <c r="F203" i="2" s="1"/>
  <c r="G203" i="2" s="1"/>
  <c r="E211" i="2"/>
  <c r="F211" i="2" s="1"/>
  <c r="G211" i="2" s="1"/>
  <c r="E219" i="2"/>
  <c r="F219" i="2" s="1"/>
  <c r="G219" i="2" s="1"/>
  <c r="E227" i="2"/>
  <c r="F227" i="2" s="1"/>
  <c r="G227" i="2" s="1"/>
  <c r="E235" i="2"/>
  <c r="F235" i="2" s="1"/>
  <c r="G235" i="2" s="1"/>
  <c r="E243" i="2"/>
  <c r="F243" i="2" s="1"/>
  <c r="G243" i="2" s="1"/>
  <c r="E12" i="2"/>
  <c r="F12" i="2" s="1"/>
  <c r="G12" i="2" s="1"/>
  <c r="E28" i="2"/>
  <c r="F28" i="2" s="1"/>
  <c r="G28" i="2" s="1"/>
  <c r="E52" i="2"/>
  <c r="F52" i="2" s="1"/>
  <c r="G52" i="2" s="1"/>
  <c r="E76" i="2"/>
  <c r="F76" i="2" s="1"/>
  <c r="G76" i="2" s="1"/>
  <c r="E92" i="2"/>
  <c r="F92" i="2" s="1"/>
  <c r="G92" i="2" s="1"/>
  <c r="E108" i="2"/>
  <c r="F108" i="2" s="1"/>
  <c r="G108" i="2" s="1"/>
  <c r="E132" i="2"/>
  <c r="F132" i="2" s="1"/>
  <c r="G132" i="2" s="1"/>
  <c r="E148" i="2"/>
  <c r="F148" i="2" s="1"/>
  <c r="G148" i="2" s="1"/>
  <c r="E4" i="2"/>
  <c r="F4" i="2" s="1"/>
  <c r="G4" i="2" s="1"/>
  <c r="E20" i="2"/>
  <c r="F20" i="2" s="1"/>
  <c r="G20" i="2" s="1"/>
  <c r="E36" i="2"/>
  <c r="F36" i="2" s="1"/>
  <c r="G36" i="2" s="1"/>
  <c r="E44" i="2"/>
  <c r="F44" i="2" s="1"/>
  <c r="G44" i="2" s="1"/>
  <c r="E60" i="2"/>
  <c r="F60" i="2" s="1"/>
  <c r="G60" i="2" s="1"/>
  <c r="E68" i="2"/>
  <c r="F68" i="2" s="1"/>
  <c r="G68" i="2" s="1"/>
  <c r="E84" i="2"/>
  <c r="F84" i="2" s="1"/>
  <c r="G84" i="2" s="1"/>
  <c r="E100" i="2"/>
  <c r="F100" i="2" s="1"/>
  <c r="G100" i="2" s="1"/>
  <c r="E116" i="2"/>
  <c r="F116" i="2" s="1"/>
  <c r="G116" i="2" s="1"/>
  <c r="E124" i="2"/>
  <c r="F124" i="2" s="1"/>
  <c r="G124" i="2" s="1"/>
  <c r="E140" i="2"/>
  <c r="F140" i="2" s="1"/>
  <c r="G140" i="2" s="1"/>
  <c r="E10" i="2"/>
  <c r="F10" i="2" s="1"/>
  <c r="G10" i="2" s="1"/>
  <c r="E24" i="2"/>
  <c r="F24" i="2" s="1"/>
  <c r="G24" i="2" s="1"/>
  <c r="E38" i="2"/>
  <c r="F38" i="2" s="1"/>
  <c r="G38" i="2" s="1"/>
  <c r="E49" i="2"/>
  <c r="F49" i="2" s="1"/>
  <c r="G49" i="2" s="1"/>
  <c r="E63" i="2"/>
  <c r="F63" i="2" s="1"/>
  <c r="G63" i="2" s="1"/>
  <c r="E74" i="2"/>
  <c r="F74" i="2" s="1"/>
  <c r="G74" i="2" s="1"/>
  <c r="E88" i="2"/>
  <c r="F88" i="2" s="1"/>
  <c r="G88" i="2" s="1"/>
  <c r="E102" i="2"/>
  <c r="F102" i="2" s="1"/>
  <c r="G102" i="2" s="1"/>
  <c r="E113" i="2"/>
  <c r="F113" i="2" s="1"/>
  <c r="G113" i="2" s="1"/>
  <c r="E127" i="2"/>
  <c r="F127" i="2" s="1"/>
  <c r="G127" i="2" s="1"/>
  <c r="E138" i="2"/>
  <c r="F138" i="2" s="1"/>
  <c r="G138" i="2" s="1"/>
  <c r="E152" i="2"/>
  <c r="F152" i="2" s="1"/>
  <c r="G152" i="2" s="1"/>
  <c r="E162" i="2"/>
  <c r="F162" i="2" s="1"/>
  <c r="G162" i="2" s="1"/>
  <c r="E174" i="2"/>
  <c r="F174" i="2" s="1"/>
  <c r="G174" i="2" s="1"/>
  <c r="E184" i="2"/>
  <c r="F184" i="2" s="1"/>
  <c r="G184" i="2" s="1"/>
  <c r="E194" i="2"/>
  <c r="F194" i="2" s="1"/>
  <c r="G194" i="2" s="1"/>
  <c r="E206" i="2"/>
  <c r="F206" i="2" s="1"/>
  <c r="G206" i="2" s="1"/>
  <c r="E216" i="2"/>
  <c r="F216" i="2" s="1"/>
  <c r="G216" i="2" s="1"/>
  <c r="E226" i="2"/>
  <c r="F226" i="2" s="1"/>
  <c r="G226" i="2" s="1"/>
  <c r="E238" i="2"/>
  <c r="F238" i="2" s="1"/>
  <c r="G238" i="2" s="1"/>
  <c r="E239" i="2"/>
  <c r="F239" i="2" s="1"/>
  <c r="G239" i="2" s="1"/>
  <c r="E201" i="2"/>
  <c r="F201" i="2" s="1"/>
  <c r="G201" i="2" s="1"/>
  <c r="E166" i="2"/>
  <c r="F166" i="2" s="1"/>
  <c r="G166" i="2" s="1"/>
  <c r="E122" i="2"/>
  <c r="F122" i="2" s="1"/>
  <c r="G122" i="2" s="1"/>
  <c r="E80" i="2"/>
  <c r="F80" i="2" s="1"/>
  <c r="G80" i="2" s="1"/>
  <c r="E34" i="2"/>
  <c r="F34" i="2" s="1"/>
  <c r="G34" i="2" s="1"/>
  <c r="E234" i="2"/>
  <c r="F234" i="2" s="1"/>
  <c r="G234" i="2" s="1"/>
  <c r="E199" i="2"/>
  <c r="F199" i="2" s="1"/>
  <c r="G199" i="2" s="1"/>
  <c r="E120" i="2"/>
  <c r="F120" i="2" s="1"/>
  <c r="G120" i="2" s="1"/>
  <c r="E32" i="2"/>
  <c r="F32" i="2" s="1"/>
  <c r="G32" i="2" s="1"/>
  <c r="E214" i="2"/>
  <c r="F214" i="2" s="1"/>
  <c r="G214" i="2" s="1"/>
  <c r="E190" i="2"/>
  <c r="F190" i="2" s="1"/>
  <c r="G190" i="2" s="1"/>
  <c r="E153" i="2"/>
  <c r="F153" i="2" s="1"/>
  <c r="G153" i="2" s="1"/>
  <c r="E110" i="2"/>
  <c r="F110" i="2" s="1"/>
  <c r="G110" i="2" s="1"/>
  <c r="E65" i="2"/>
  <c r="F65" i="2" s="1"/>
  <c r="G65" i="2" s="1"/>
  <c r="E22" i="2"/>
  <c r="F22" i="2" s="1"/>
  <c r="G22" i="2" s="1"/>
  <c r="E212" i="2"/>
  <c r="F212" i="2" s="1"/>
  <c r="G212" i="2" s="1"/>
  <c r="E176" i="2"/>
  <c r="F176" i="2" s="1"/>
  <c r="G176" i="2" s="1"/>
  <c r="E136" i="2"/>
  <c r="F136" i="2" s="1"/>
  <c r="G136" i="2" s="1"/>
  <c r="E94" i="2"/>
  <c r="F94" i="2" s="1"/>
  <c r="G94" i="2" s="1"/>
  <c r="E64" i="2"/>
  <c r="F64" i="2" s="1"/>
  <c r="G64" i="2" s="1"/>
  <c r="E48" i="2"/>
  <c r="F48" i="2" s="1"/>
  <c r="G48" i="2" s="1"/>
  <c r="E6" i="2"/>
  <c r="F6" i="2" s="1"/>
  <c r="G6" i="2" s="1"/>
  <c r="E2" i="2"/>
  <c r="F2" i="2" s="1"/>
  <c r="G2" i="2" s="1"/>
  <c r="E223" i="2"/>
  <c r="F223" i="2" s="1"/>
  <c r="G223" i="2" s="1"/>
  <c r="E210" i="2"/>
  <c r="F210" i="2" s="1"/>
  <c r="G210" i="2" s="1"/>
  <c r="E186" i="2"/>
  <c r="F186" i="2" s="1"/>
  <c r="G186" i="2" s="1"/>
  <c r="E175" i="2"/>
  <c r="F175" i="2" s="1"/>
  <c r="G175" i="2" s="1"/>
  <c r="E161" i="2"/>
  <c r="F161" i="2" s="1"/>
  <c r="G161" i="2" s="1"/>
  <c r="E150" i="2"/>
  <c r="F150" i="2" s="1"/>
  <c r="G150" i="2" s="1"/>
  <c r="E135" i="2"/>
  <c r="F135" i="2" s="1"/>
  <c r="G135" i="2" s="1"/>
  <c r="E105" i="2"/>
  <c r="F105" i="2" s="1"/>
  <c r="G105" i="2" s="1"/>
  <c r="E90" i="2"/>
  <c r="F90" i="2" s="1"/>
  <c r="G90" i="2" s="1"/>
  <c r="E78" i="2"/>
  <c r="F78" i="2" s="1"/>
  <c r="G78" i="2" s="1"/>
  <c r="E62" i="2"/>
  <c r="F62" i="2" s="1"/>
  <c r="G62" i="2" s="1"/>
  <c r="E47" i="2"/>
  <c r="F47" i="2" s="1"/>
  <c r="G47" i="2" s="1"/>
  <c r="E17" i="2"/>
  <c r="F17" i="2" s="1"/>
  <c r="G17" i="2" s="1"/>
  <c r="E246" i="2"/>
  <c r="F246" i="2" s="1"/>
  <c r="G246" i="2" s="1"/>
  <c r="E233" i="2"/>
  <c r="F233" i="2" s="1"/>
  <c r="G233" i="2" s="1"/>
  <c r="E222" i="2"/>
  <c r="F222" i="2" s="1"/>
  <c r="G222" i="2" s="1"/>
  <c r="E209" i="2"/>
  <c r="F209" i="2" s="1"/>
  <c r="G209" i="2" s="1"/>
  <c r="E198" i="2"/>
  <c r="F198" i="2" s="1"/>
  <c r="G198" i="2" s="1"/>
  <c r="E185" i="2"/>
  <c r="F185" i="2" s="1"/>
  <c r="G185" i="2" s="1"/>
  <c r="E172" i="2"/>
  <c r="F172" i="2" s="1"/>
  <c r="G172" i="2" s="1"/>
  <c r="E160" i="2"/>
  <c r="F160" i="2" s="1"/>
  <c r="G160" i="2" s="1"/>
  <c r="E146" i="2"/>
  <c r="F146" i="2" s="1"/>
  <c r="G146" i="2" s="1"/>
  <c r="E134" i="2"/>
  <c r="F134" i="2" s="1"/>
  <c r="G134" i="2" s="1"/>
  <c r="E119" i="2"/>
  <c r="F119" i="2" s="1"/>
  <c r="G119" i="2" s="1"/>
  <c r="E104" i="2"/>
  <c r="F104" i="2" s="1"/>
  <c r="G104" i="2" s="1"/>
  <c r="E89" i="2"/>
  <c r="F89" i="2" s="1"/>
  <c r="G89" i="2" s="1"/>
  <c r="E73" i="2"/>
  <c r="F73" i="2" s="1"/>
  <c r="G73" i="2" s="1"/>
  <c r="E58" i="2"/>
  <c r="F58" i="2" s="1"/>
  <c r="G58" i="2" s="1"/>
  <c r="E46" i="2"/>
  <c r="F46" i="2" s="1"/>
  <c r="G46" i="2" s="1"/>
  <c r="E31" i="2"/>
  <c r="F31" i="2" s="1"/>
  <c r="G31" i="2" s="1"/>
  <c r="E16" i="2"/>
  <c r="F16" i="2" s="1"/>
  <c r="G16" i="2" s="1"/>
  <c r="E243" i="3"/>
  <c r="F243" i="3" s="1"/>
  <c r="G243" i="3" s="1"/>
  <c r="E211" i="3"/>
  <c r="F211" i="3" s="1"/>
  <c r="G211" i="3" s="1"/>
  <c r="E186" i="3"/>
  <c r="F186" i="3" s="1"/>
  <c r="G186" i="3" s="1"/>
  <c r="E154" i="3"/>
  <c r="F154" i="3" s="1"/>
  <c r="G154" i="3" s="1"/>
  <c r="E121" i="3"/>
  <c r="F121" i="3" s="1"/>
  <c r="G121" i="3" s="1"/>
  <c r="E84" i="3"/>
  <c r="F84" i="3" s="1"/>
  <c r="G84" i="3" s="1"/>
  <c r="E41" i="3"/>
  <c r="F41" i="3" s="1"/>
  <c r="G41" i="3" s="1"/>
  <c r="E4" i="3"/>
  <c r="F4" i="3" s="1"/>
  <c r="G4" i="3" s="1"/>
  <c r="E241" i="3"/>
  <c r="F241" i="3" s="1"/>
  <c r="G241" i="3" s="1"/>
  <c r="E209" i="3"/>
  <c r="F209" i="3" s="1"/>
  <c r="G209" i="3" s="1"/>
  <c r="E177" i="3"/>
  <c r="F177" i="3" s="1"/>
  <c r="G177" i="3" s="1"/>
  <c r="E153" i="3"/>
  <c r="F153" i="3" s="1"/>
  <c r="G153" i="3" s="1"/>
  <c r="E116" i="3"/>
  <c r="F116" i="3" s="1"/>
  <c r="G116" i="3" s="1"/>
  <c r="E81" i="3"/>
  <c r="F81" i="3" s="1"/>
  <c r="G81" i="3" s="1"/>
  <c r="E5" i="3"/>
  <c r="F5" i="3" s="1"/>
  <c r="G5" i="3" s="1"/>
  <c r="E18" i="3"/>
  <c r="F18" i="3" s="1"/>
  <c r="G18" i="3" s="1"/>
  <c r="E34" i="3"/>
  <c r="F34" i="3" s="1"/>
  <c r="G34" i="3" s="1"/>
  <c r="E50" i="3"/>
  <c r="F50" i="3" s="1"/>
  <c r="G50" i="3" s="1"/>
  <c r="E66" i="3"/>
  <c r="F66" i="3" s="1"/>
  <c r="G66" i="3" s="1"/>
  <c r="E82" i="3"/>
  <c r="F82" i="3" s="1"/>
  <c r="G82" i="3" s="1"/>
  <c r="E98" i="3"/>
  <c r="F98" i="3" s="1"/>
  <c r="G98" i="3" s="1"/>
  <c r="E114" i="3"/>
  <c r="F114" i="3" s="1"/>
  <c r="G114" i="3" s="1"/>
  <c r="E130" i="3"/>
  <c r="F130" i="3" s="1"/>
  <c r="G130" i="3" s="1"/>
  <c r="E146" i="3"/>
  <c r="F146" i="3" s="1"/>
  <c r="G146" i="3" s="1"/>
  <c r="E162" i="3"/>
  <c r="F162" i="3" s="1"/>
  <c r="G162" i="3" s="1"/>
  <c r="E178" i="3"/>
  <c r="F178" i="3" s="1"/>
  <c r="G178" i="3" s="1"/>
  <c r="E194" i="3"/>
  <c r="F194" i="3" s="1"/>
  <c r="G194" i="3" s="1"/>
  <c r="E210" i="3"/>
  <c r="F210" i="3" s="1"/>
  <c r="G210" i="3" s="1"/>
  <c r="E226" i="3"/>
  <c r="F226" i="3" s="1"/>
  <c r="G226" i="3" s="1"/>
  <c r="E242" i="3"/>
  <c r="F242" i="3" s="1"/>
  <c r="G242" i="3" s="1"/>
  <c r="E3" i="3"/>
  <c r="F3" i="3" s="1"/>
  <c r="G3" i="3" s="1"/>
  <c r="E19" i="3"/>
  <c r="F19" i="3" s="1"/>
  <c r="G19" i="3" s="1"/>
  <c r="E35" i="3"/>
  <c r="F35" i="3" s="1"/>
  <c r="G35" i="3" s="1"/>
  <c r="E51" i="3"/>
  <c r="F51" i="3" s="1"/>
  <c r="G51" i="3" s="1"/>
  <c r="E67" i="3"/>
  <c r="F67" i="3" s="1"/>
  <c r="G67" i="3" s="1"/>
  <c r="E83" i="3"/>
  <c r="F83" i="3" s="1"/>
  <c r="G83" i="3" s="1"/>
  <c r="E99" i="3"/>
  <c r="F99" i="3" s="1"/>
  <c r="G99" i="3" s="1"/>
  <c r="E115" i="3"/>
  <c r="F115" i="3" s="1"/>
  <c r="G115" i="3" s="1"/>
  <c r="E131" i="3"/>
  <c r="F131" i="3" s="1"/>
  <c r="G131" i="3" s="1"/>
  <c r="E12" i="3"/>
  <c r="F12" i="3" s="1"/>
  <c r="G12" i="3" s="1"/>
  <c r="E28" i="3"/>
  <c r="F28" i="3" s="1"/>
  <c r="G28" i="3" s="1"/>
  <c r="E44" i="3"/>
  <c r="F44" i="3" s="1"/>
  <c r="G44" i="3" s="1"/>
  <c r="E60" i="3"/>
  <c r="F60" i="3" s="1"/>
  <c r="G60" i="3" s="1"/>
  <c r="E76" i="3"/>
  <c r="F76" i="3" s="1"/>
  <c r="G76" i="3" s="1"/>
  <c r="E92" i="3"/>
  <c r="F92" i="3" s="1"/>
  <c r="G92" i="3" s="1"/>
  <c r="E108" i="3"/>
  <c r="F108" i="3" s="1"/>
  <c r="G108" i="3" s="1"/>
  <c r="E26" i="3"/>
  <c r="F26" i="3" s="1"/>
  <c r="G26" i="3" s="1"/>
  <c r="E52" i="3"/>
  <c r="F52" i="3" s="1"/>
  <c r="G52" i="3" s="1"/>
  <c r="E75" i="3"/>
  <c r="F75" i="3" s="1"/>
  <c r="G75" i="3" s="1"/>
  <c r="E105" i="3"/>
  <c r="F105" i="3" s="1"/>
  <c r="G105" i="3" s="1"/>
  <c r="E124" i="3"/>
  <c r="F124" i="3" s="1"/>
  <c r="G124" i="3" s="1"/>
  <c r="E147" i="3"/>
  <c r="F147" i="3" s="1"/>
  <c r="G147" i="3" s="1"/>
  <c r="E164" i="3"/>
  <c r="F164" i="3" s="1"/>
  <c r="G164" i="3" s="1"/>
  <c r="E185" i="3"/>
  <c r="F185" i="3" s="1"/>
  <c r="G185" i="3" s="1"/>
  <c r="E202" i="3"/>
  <c r="F202" i="3" s="1"/>
  <c r="G202" i="3" s="1"/>
  <c r="E219" i="3"/>
  <c r="F219" i="3" s="1"/>
  <c r="G219" i="3" s="1"/>
  <c r="E236" i="3"/>
  <c r="F236" i="3" s="1"/>
  <c r="G236" i="3" s="1"/>
  <c r="E20" i="3"/>
  <c r="F20" i="3" s="1"/>
  <c r="G20" i="3" s="1"/>
  <c r="E43" i="3"/>
  <c r="F43" i="3" s="1"/>
  <c r="G43" i="3" s="1"/>
  <c r="E73" i="3"/>
  <c r="F73" i="3" s="1"/>
  <c r="G73" i="3" s="1"/>
  <c r="E97" i="3"/>
  <c r="F97" i="3" s="1"/>
  <c r="G97" i="3" s="1"/>
  <c r="E122" i="3"/>
  <c r="F122" i="3" s="1"/>
  <c r="G122" i="3" s="1"/>
  <c r="E140" i="3"/>
  <c r="F140" i="3" s="1"/>
  <c r="G140" i="3" s="1"/>
  <c r="E161" i="3"/>
  <c r="F161" i="3" s="1"/>
  <c r="G161" i="3" s="1"/>
  <c r="E179" i="3"/>
  <c r="F179" i="3" s="1"/>
  <c r="G179" i="3" s="1"/>
  <c r="E196" i="3"/>
  <c r="F196" i="3" s="1"/>
  <c r="G196" i="3" s="1"/>
  <c r="E217" i="3"/>
  <c r="F217" i="3" s="1"/>
  <c r="G217" i="3" s="1"/>
  <c r="E234" i="3"/>
  <c r="F234" i="3" s="1"/>
  <c r="G234" i="3" s="1"/>
  <c r="E25" i="3"/>
  <c r="F25" i="3" s="1"/>
  <c r="G25" i="3" s="1"/>
  <c r="E49" i="3"/>
  <c r="F49" i="3" s="1"/>
  <c r="G49" i="3" s="1"/>
  <c r="E74" i="3"/>
  <c r="F74" i="3" s="1"/>
  <c r="G74" i="3" s="1"/>
  <c r="E100" i="3"/>
  <c r="F100" i="3" s="1"/>
  <c r="G100" i="3" s="1"/>
  <c r="E123" i="3"/>
  <c r="F123" i="3" s="1"/>
  <c r="G123" i="3" s="1"/>
  <c r="E145" i="3"/>
  <c r="F145" i="3" s="1"/>
  <c r="G145" i="3" s="1"/>
  <c r="E163" i="3"/>
  <c r="F163" i="3" s="1"/>
  <c r="G163" i="3" s="1"/>
  <c r="E180" i="3"/>
  <c r="F180" i="3" s="1"/>
  <c r="G180" i="3" s="1"/>
  <c r="E201" i="3"/>
  <c r="F201" i="3" s="1"/>
  <c r="G201" i="3" s="1"/>
  <c r="E218" i="3"/>
  <c r="F218" i="3" s="1"/>
  <c r="G218" i="3" s="1"/>
  <c r="E235" i="3"/>
  <c r="F235" i="3" s="1"/>
  <c r="G235" i="3" s="1"/>
  <c r="E220" i="3"/>
  <c r="F220" i="3" s="1"/>
  <c r="G220" i="3" s="1"/>
  <c r="E188" i="3"/>
  <c r="F188" i="3" s="1"/>
  <c r="G188" i="3" s="1"/>
  <c r="E156" i="3"/>
  <c r="F156" i="3" s="1"/>
  <c r="G156" i="3" s="1"/>
  <c r="E132" i="3"/>
  <c r="F132" i="3" s="1"/>
  <c r="G132" i="3" s="1"/>
  <c r="E90" i="3"/>
  <c r="F90" i="3" s="1"/>
  <c r="G90" i="3" s="1"/>
  <c r="E57" i="3"/>
  <c r="F57" i="3" s="1"/>
  <c r="G57" i="3" s="1"/>
  <c r="E10" i="3"/>
  <c r="F10" i="3" s="1"/>
  <c r="G10" i="3" s="1"/>
  <c r="E236" i="5"/>
  <c r="F236" i="5" s="1"/>
  <c r="G236" i="5" s="1"/>
  <c r="E212" i="5"/>
  <c r="F212" i="5" s="1"/>
  <c r="G212" i="5" s="1"/>
  <c r="E191" i="5"/>
  <c r="F191" i="5" s="1"/>
  <c r="G191" i="5" s="1"/>
  <c r="E167" i="5"/>
  <c r="F167" i="5" s="1"/>
  <c r="G167" i="5" s="1"/>
  <c r="E144" i="5"/>
  <c r="F144" i="5" s="1"/>
  <c r="G144" i="5" s="1"/>
  <c r="E124" i="5"/>
  <c r="F124" i="5" s="1"/>
  <c r="G124" i="5" s="1"/>
  <c r="E96" i="5"/>
  <c r="F96" i="5" s="1"/>
  <c r="G96" i="5" s="1"/>
  <c r="E77" i="5"/>
  <c r="F77" i="5" s="1"/>
  <c r="G77" i="5" s="1"/>
  <c r="E48" i="5"/>
  <c r="F48" i="5" s="1"/>
  <c r="G48" i="5" s="1"/>
  <c r="E17" i="5"/>
  <c r="F17" i="5" s="1"/>
  <c r="G17" i="5" s="1"/>
  <c r="E245" i="4"/>
  <c r="F245" i="4" s="1"/>
  <c r="G245" i="4" s="1"/>
  <c r="E231" i="4"/>
  <c r="F231" i="4" s="1"/>
  <c r="G231" i="4" s="1"/>
  <c r="E218" i="4"/>
  <c r="F218" i="4" s="1"/>
  <c r="G218" i="4" s="1"/>
  <c r="E206" i="4"/>
  <c r="F206" i="4" s="1"/>
  <c r="G206" i="4" s="1"/>
  <c r="E192" i="4"/>
  <c r="F192" i="4" s="1"/>
  <c r="G192" i="4" s="1"/>
  <c r="E181" i="4"/>
  <c r="F181" i="4" s="1"/>
  <c r="G181" i="4" s="1"/>
  <c r="E167" i="4"/>
  <c r="F167" i="4" s="1"/>
  <c r="G167" i="4" s="1"/>
  <c r="E154" i="4"/>
  <c r="F154" i="4" s="1"/>
  <c r="G154" i="4" s="1"/>
  <c r="E142" i="4"/>
  <c r="F142" i="4" s="1"/>
  <c r="G142" i="4" s="1"/>
  <c r="E128" i="4"/>
  <c r="F128" i="4" s="1"/>
  <c r="G128" i="4" s="1"/>
  <c r="E117" i="4"/>
  <c r="F117" i="4" s="1"/>
  <c r="G117" i="4" s="1"/>
  <c r="E103" i="4"/>
  <c r="F103" i="4" s="1"/>
  <c r="G103" i="4" s="1"/>
  <c r="E90" i="4"/>
  <c r="F90" i="4" s="1"/>
  <c r="G90" i="4" s="1"/>
  <c r="E78" i="4"/>
  <c r="F78" i="4" s="1"/>
  <c r="G78" i="4" s="1"/>
  <c r="E64" i="4"/>
  <c r="F64" i="4" s="1"/>
  <c r="G64" i="4" s="1"/>
  <c r="E53" i="4"/>
  <c r="F53" i="4" s="1"/>
  <c r="G53" i="4" s="1"/>
  <c r="E38" i="4"/>
  <c r="F38" i="4" s="1"/>
  <c r="G38" i="4" s="1"/>
  <c r="E23" i="4"/>
  <c r="F23" i="4" s="1"/>
  <c r="G23" i="4" s="1"/>
  <c r="E235" i="5"/>
  <c r="F235" i="5" s="1"/>
  <c r="G235" i="5" s="1"/>
  <c r="E211" i="5"/>
  <c r="F211" i="5" s="1"/>
  <c r="G211" i="5" s="1"/>
  <c r="E188" i="5"/>
  <c r="F188" i="5" s="1"/>
  <c r="G188" i="5" s="1"/>
  <c r="E166" i="5"/>
  <c r="F166" i="5" s="1"/>
  <c r="G166" i="5" s="1"/>
  <c r="E140" i="5"/>
  <c r="F140" i="5" s="1"/>
  <c r="G140" i="5" s="1"/>
  <c r="E119" i="5"/>
  <c r="F119" i="5" s="1"/>
  <c r="G119" i="5" s="1"/>
  <c r="E95" i="5"/>
  <c r="F95" i="5" s="1"/>
  <c r="G95" i="5" s="1"/>
  <c r="E72" i="5"/>
  <c r="F72" i="5" s="1"/>
  <c r="G72" i="5" s="1"/>
  <c r="E47" i="5"/>
  <c r="F47" i="5" s="1"/>
  <c r="G47" i="5" s="1"/>
  <c r="E10" i="5"/>
  <c r="F10" i="5" s="1"/>
  <c r="G10" i="5" s="1"/>
  <c r="E18" i="5"/>
  <c r="F18" i="5" s="1"/>
  <c r="G18" i="5" s="1"/>
  <c r="E26" i="5"/>
  <c r="F26" i="5" s="1"/>
  <c r="G26" i="5" s="1"/>
  <c r="E34" i="5"/>
  <c r="F34" i="5" s="1"/>
  <c r="G34" i="5" s="1"/>
  <c r="E42" i="5"/>
  <c r="F42" i="5" s="1"/>
  <c r="G42" i="5" s="1"/>
  <c r="E50" i="5"/>
  <c r="F50" i="5" s="1"/>
  <c r="G50" i="5" s="1"/>
  <c r="E58" i="5"/>
  <c r="F58" i="5" s="1"/>
  <c r="G58" i="5" s="1"/>
  <c r="E3" i="5"/>
  <c r="F3" i="5" s="1"/>
  <c r="G3" i="5" s="1"/>
  <c r="E11" i="5"/>
  <c r="F11" i="5" s="1"/>
  <c r="G11" i="5" s="1"/>
  <c r="E19" i="5"/>
  <c r="F19" i="5" s="1"/>
  <c r="G19" i="5" s="1"/>
  <c r="E27" i="5"/>
  <c r="F27" i="5" s="1"/>
  <c r="G27" i="5" s="1"/>
  <c r="E35" i="5"/>
  <c r="F35" i="5" s="1"/>
  <c r="G35" i="5" s="1"/>
  <c r="E43" i="5"/>
  <c r="F43" i="5" s="1"/>
  <c r="G43" i="5" s="1"/>
  <c r="E51" i="5"/>
  <c r="F51" i="5" s="1"/>
  <c r="G51" i="5" s="1"/>
  <c r="E59" i="5"/>
  <c r="F59" i="5" s="1"/>
  <c r="G59" i="5" s="1"/>
  <c r="E67" i="5"/>
  <c r="F67" i="5" s="1"/>
  <c r="G67" i="5" s="1"/>
  <c r="E12" i="5"/>
  <c r="F12" i="5" s="1"/>
  <c r="G12" i="5" s="1"/>
  <c r="E22" i="5"/>
  <c r="F22" i="5" s="1"/>
  <c r="G22" i="5" s="1"/>
  <c r="E32" i="5"/>
  <c r="F32" i="5" s="1"/>
  <c r="G32" i="5" s="1"/>
  <c r="E44" i="5"/>
  <c r="F44" i="5" s="1"/>
  <c r="G44" i="5" s="1"/>
  <c r="E54" i="5"/>
  <c r="F54" i="5" s="1"/>
  <c r="G54" i="5" s="1"/>
  <c r="E64" i="5"/>
  <c r="F64" i="5" s="1"/>
  <c r="G64" i="5" s="1"/>
  <c r="E73" i="5"/>
  <c r="F73" i="5" s="1"/>
  <c r="G73" i="5" s="1"/>
  <c r="E81" i="5"/>
  <c r="F81" i="5" s="1"/>
  <c r="G81" i="5" s="1"/>
  <c r="E89" i="5"/>
  <c r="F89" i="5" s="1"/>
  <c r="G89" i="5" s="1"/>
  <c r="E97" i="5"/>
  <c r="F97" i="5" s="1"/>
  <c r="G97" i="5" s="1"/>
  <c r="E105" i="5"/>
  <c r="F105" i="5" s="1"/>
  <c r="G105" i="5" s="1"/>
  <c r="E113" i="5"/>
  <c r="F113" i="5" s="1"/>
  <c r="G113" i="5" s="1"/>
  <c r="E121" i="5"/>
  <c r="F121" i="5" s="1"/>
  <c r="G121" i="5" s="1"/>
  <c r="E129" i="5"/>
  <c r="F129" i="5" s="1"/>
  <c r="G129" i="5" s="1"/>
  <c r="E137" i="5"/>
  <c r="F137" i="5" s="1"/>
  <c r="G137" i="5" s="1"/>
  <c r="E145" i="5"/>
  <c r="F145" i="5" s="1"/>
  <c r="G145" i="5" s="1"/>
  <c r="E153" i="5"/>
  <c r="F153" i="5" s="1"/>
  <c r="G153" i="5" s="1"/>
  <c r="E161" i="5"/>
  <c r="F161" i="5" s="1"/>
  <c r="G161" i="5" s="1"/>
  <c r="E169" i="5"/>
  <c r="F169" i="5" s="1"/>
  <c r="G169" i="5" s="1"/>
  <c r="E177" i="5"/>
  <c r="F177" i="5" s="1"/>
  <c r="G177" i="5" s="1"/>
  <c r="E185" i="5"/>
  <c r="F185" i="5" s="1"/>
  <c r="G185" i="5" s="1"/>
  <c r="E193" i="5"/>
  <c r="F193" i="5" s="1"/>
  <c r="G193" i="5" s="1"/>
  <c r="E201" i="5"/>
  <c r="F201" i="5" s="1"/>
  <c r="G201" i="5" s="1"/>
  <c r="E209" i="5"/>
  <c r="F209" i="5" s="1"/>
  <c r="G209" i="5" s="1"/>
  <c r="E217" i="5"/>
  <c r="F217" i="5" s="1"/>
  <c r="G217" i="5" s="1"/>
  <c r="E225" i="5"/>
  <c r="F225" i="5" s="1"/>
  <c r="G225" i="5" s="1"/>
  <c r="E233" i="5"/>
  <c r="F233" i="5" s="1"/>
  <c r="G233" i="5" s="1"/>
  <c r="E241" i="5"/>
  <c r="F241" i="5" s="1"/>
  <c r="G241" i="5" s="1"/>
  <c r="E249" i="5"/>
  <c r="F249" i="5" s="1"/>
  <c r="G249" i="5" s="1"/>
  <c r="E13" i="5"/>
  <c r="F13" i="5" s="1"/>
  <c r="G13" i="5" s="1"/>
  <c r="E23" i="5"/>
  <c r="F23" i="5" s="1"/>
  <c r="G23" i="5" s="1"/>
  <c r="E33" i="5"/>
  <c r="F33" i="5" s="1"/>
  <c r="G33" i="5" s="1"/>
  <c r="E45" i="5"/>
  <c r="F45" i="5" s="1"/>
  <c r="G45" i="5" s="1"/>
  <c r="E55" i="5"/>
  <c r="F55" i="5" s="1"/>
  <c r="G55" i="5" s="1"/>
  <c r="E65" i="5"/>
  <c r="F65" i="5" s="1"/>
  <c r="G65" i="5" s="1"/>
  <c r="E74" i="5"/>
  <c r="F74" i="5" s="1"/>
  <c r="G74" i="5" s="1"/>
  <c r="E82" i="5"/>
  <c r="F82" i="5" s="1"/>
  <c r="G82" i="5" s="1"/>
  <c r="E90" i="5"/>
  <c r="F90" i="5" s="1"/>
  <c r="G90" i="5" s="1"/>
  <c r="E98" i="5"/>
  <c r="F98" i="5" s="1"/>
  <c r="G98" i="5" s="1"/>
  <c r="E106" i="5"/>
  <c r="F106" i="5" s="1"/>
  <c r="G106" i="5" s="1"/>
  <c r="E114" i="5"/>
  <c r="F114" i="5" s="1"/>
  <c r="G114" i="5" s="1"/>
  <c r="E122" i="5"/>
  <c r="F122" i="5" s="1"/>
  <c r="G122" i="5" s="1"/>
  <c r="E130" i="5"/>
  <c r="F130" i="5" s="1"/>
  <c r="G130" i="5" s="1"/>
  <c r="E138" i="5"/>
  <c r="F138" i="5" s="1"/>
  <c r="G138" i="5" s="1"/>
  <c r="E146" i="5"/>
  <c r="F146" i="5" s="1"/>
  <c r="G146" i="5" s="1"/>
  <c r="E154" i="5"/>
  <c r="F154" i="5" s="1"/>
  <c r="G154" i="5" s="1"/>
  <c r="E162" i="5"/>
  <c r="F162" i="5" s="1"/>
  <c r="G162" i="5" s="1"/>
  <c r="E170" i="5"/>
  <c r="F170" i="5" s="1"/>
  <c r="G170" i="5" s="1"/>
  <c r="E178" i="5"/>
  <c r="F178" i="5" s="1"/>
  <c r="G178" i="5" s="1"/>
  <c r="E186" i="5"/>
  <c r="F186" i="5" s="1"/>
  <c r="G186" i="5" s="1"/>
  <c r="E194" i="5"/>
  <c r="F194" i="5" s="1"/>
  <c r="G194" i="5" s="1"/>
  <c r="E202" i="5"/>
  <c r="F202" i="5" s="1"/>
  <c r="G202" i="5" s="1"/>
  <c r="E210" i="5"/>
  <c r="F210" i="5" s="1"/>
  <c r="G210" i="5" s="1"/>
  <c r="E218" i="5"/>
  <c r="F218" i="5" s="1"/>
  <c r="G218" i="5" s="1"/>
  <c r="E226" i="5"/>
  <c r="F226" i="5" s="1"/>
  <c r="G226" i="5" s="1"/>
  <c r="E234" i="5"/>
  <c r="F234" i="5" s="1"/>
  <c r="G234" i="5" s="1"/>
  <c r="E242" i="5"/>
  <c r="F242" i="5" s="1"/>
  <c r="G242" i="5" s="1"/>
  <c r="E250" i="5"/>
  <c r="F250" i="5" s="1"/>
  <c r="G250" i="5" s="1"/>
  <c r="E14" i="5"/>
  <c r="F14" i="5" s="1"/>
  <c r="G14" i="5" s="1"/>
  <c r="E28" i="5"/>
  <c r="F28" i="5" s="1"/>
  <c r="G28" i="5" s="1"/>
  <c r="E40" i="5"/>
  <c r="F40" i="5" s="1"/>
  <c r="G40" i="5" s="1"/>
  <c r="E56" i="5"/>
  <c r="F56" i="5" s="1"/>
  <c r="G56" i="5" s="1"/>
  <c r="E69" i="5"/>
  <c r="F69" i="5" s="1"/>
  <c r="G69" i="5" s="1"/>
  <c r="E79" i="5"/>
  <c r="F79" i="5" s="1"/>
  <c r="G79" i="5" s="1"/>
  <c r="E91" i="5"/>
  <c r="F91" i="5" s="1"/>
  <c r="G91" i="5" s="1"/>
  <c r="E101" i="5"/>
  <c r="F101" i="5" s="1"/>
  <c r="G101" i="5" s="1"/>
  <c r="E111" i="5"/>
  <c r="F111" i="5" s="1"/>
  <c r="G111" i="5" s="1"/>
  <c r="E123" i="5"/>
  <c r="F123" i="5" s="1"/>
  <c r="G123" i="5" s="1"/>
  <c r="E133" i="5"/>
  <c r="F133" i="5" s="1"/>
  <c r="G133" i="5" s="1"/>
  <c r="E143" i="5"/>
  <c r="F143" i="5" s="1"/>
  <c r="G143" i="5" s="1"/>
  <c r="E155" i="5"/>
  <c r="F155" i="5" s="1"/>
  <c r="G155" i="5" s="1"/>
  <c r="E165" i="5"/>
  <c r="F165" i="5" s="1"/>
  <c r="G165" i="5" s="1"/>
  <c r="E175" i="5"/>
  <c r="F175" i="5" s="1"/>
  <c r="G175" i="5" s="1"/>
  <c r="E187" i="5"/>
  <c r="F187" i="5" s="1"/>
  <c r="G187" i="5" s="1"/>
  <c r="E197" i="5"/>
  <c r="F197" i="5" s="1"/>
  <c r="G197" i="5" s="1"/>
  <c r="E207" i="5"/>
  <c r="F207" i="5" s="1"/>
  <c r="G207" i="5" s="1"/>
  <c r="E219" i="5"/>
  <c r="F219" i="5" s="1"/>
  <c r="G219" i="5" s="1"/>
  <c r="E229" i="5"/>
  <c r="F229" i="5" s="1"/>
  <c r="G229" i="5" s="1"/>
  <c r="E239" i="5"/>
  <c r="F239" i="5" s="1"/>
  <c r="G239" i="5" s="1"/>
  <c r="E251" i="5"/>
  <c r="F251" i="5" s="1"/>
  <c r="G251" i="5" s="1"/>
  <c r="E9" i="5"/>
  <c r="F9" i="5" s="1"/>
  <c r="G9" i="5" s="1"/>
  <c r="E25" i="5"/>
  <c r="F25" i="5" s="1"/>
  <c r="G25" i="5" s="1"/>
  <c r="E39" i="5"/>
  <c r="F39" i="5" s="1"/>
  <c r="G39" i="5" s="1"/>
  <c r="E53" i="5"/>
  <c r="F53" i="5" s="1"/>
  <c r="G53" i="5" s="1"/>
  <c r="E68" i="5"/>
  <c r="F68" i="5" s="1"/>
  <c r="G68" i="5" s="1"/>
  <c r="E78" i="5"/>
  <c r="F78" i="5" s="1"/>
  <c r="G78" i="5" s="1"/>
  <c r="E88" i="5"/>
  <c r="F88" i="5" s="1"/>
  <c r="G88" i="5" s="1"/>
  <c r="E100" i="5"/>
  <c r="F100" i="5" s="1"/>
  <c r="G100" i="5" s="1"/>
  <c r="E110" i="5"/>
  <c r="F110" i="5" s="1"/>
  <c r="G110" i="5" s="1"/>
  <c r="E120" i="5"/>
  <c r="F120" i="5" s="1"/>
  <c r="G120" i="5" s="1"/>
  <c r="E132" i="5"/>
  <c r="F132" i="5" s="1"/>
  <c r="G132" i="5" s="1"/>
  <c r="E142" i="5"/>
  <c r="F142" i="5" s="1"/>
  <c r="G142" i="5" s="1"/>
  <c r="E152" i="5"/>
  <c r="F152" i="5" s="1"/>
  <c r="G152" i="5" s="1"/>
  <c r="E164" i="5"/>
  <c r="F164" i="5" s="1"/>
  <c r="G164" i="5" s="1"/>
  <c r="E174" i="5"/>
  <c r="F174" i="5" s="1"/>
  <c r="G174" i="5" s="1"/>
  <c r="E184" i="5"/>
  <c r="F184" i="5" s="1"/>
  <c r="G184" i="5" s="1"/>
  <c r="E196" i="5"/>
  <c r="F196" i="5" s="1"/>
  <c r="G196" i="5" s="1"/>
  <c r="E206" i="5"/>
  <c r="F206" i="5" s="1"/>
  <c r="G206" i="5" s="1"/>
  <c r="E216" i="5"/>
  <c r="F216" i="5" s="1"/>
  <c r="G216" i="5" s="1"/>
  <c r="E228" i="5"/>
  <c r="F228" i="5" s="1"/>
  <c r="G228" i="5" s="1"/>
  <c r="E238" i="5"/>
  <c r="F238" i="5" s="1"/>
  <c r="G238" i="5" s="1"/>
  <c r="E248" i="5"/>
  <c r="F248" i="5" s="1"/>
  <c r="G248" i="5" s="1"/>
  <c r="E4" i="5"/>
  <c r="F4" i="5" s="1"/>
  <c r="G4" i="5" s="1"/>
  <c r="E20" i="5"/>
  <c r="F20" i="5" s="1"/>
  <c r="G20" i="5" s="1"/>
  <c r="E38" i="5"/>
  <c r="F38" i="5" s="1"/>
  <c r="G38" i="5" s="1"/>
  <c r="E60" i="5"/>
  <c r="F60" i="5" s="1"/>
  <c r="G60" i="5" s="1"/>
  <c r="E75" i="5"/>
  <c r="F75" i="5" s="1"/>
  <c r="G75" i="5" s="1"/>
  <c r="E87" i="5"/>
  <c r="F87" i="5" s="1"/>
  <c r="G87" i="5" s="1"/>
  <c r="E103" i="5"/>
  <c r="F103" i="5" s="1"/>
  <c r="G103" i="5" s="1"/>
  <c r="E117" i="5"/>
  <c r="F117" i="5" s="1"/>
  <c r="G117" i="5" s="1"/>
  <c r="E131" i="5"/>
  <c r="F131" i="5" s="1"/>
  <c r="G131" i="5" s="1"/>
  <c r="E147" i="5"/>
  <c r="F147" i="5" s="1"/>
  <c r="G147" i="5" s="1"/>
  <c r="E159" i="5"/>
  <c r="F159" i="5" s="1"/>
  <c r="G159" i="5" s="1"/>
  <c r="E173" i="5"/>
  <c r="F173" i="5" s="1"/>
  <c r="G173" i="5" s="1"/>
  <c r="E189" i="5"/>
  <c r="F189" i="5" s="1"/>
  <c r="G189" i="5" s="1"/>
  <c r="E203" i="5"/>
  <c r="F203" i="5" s="1"/>
  <c r="G203" i="5" s="1"/>
  <c r="E215" i="5"/>
  <c r="F215" i="5" s="1"/>
  <c r="G215" i="5" s="1"/>
  <c r="E231" i="5"/>
  <c r="F231" i="5" s="1"/>
  <c r="G231" i="5" s="1"/>
  <c r="E245" i="5"/>
  <c r="F245" i="5" s="1"/>
  <c r="G245" i="5" s="1"/>
  <c r="E5" i="5"/>
  <c r="F5" i="5" s="1"/>
  <c r="G5" i="5" s="1"/>
  <c r="E21" i="5"/>
  <c r="F21" i="5" s="1"/>
  <c r="G21" i="5" s="1"/>
  <c r="E41" i="5"/>
  <c r="F41" i="5" s="1"/>
  <c r="G41" i="5" s="1"/>
  <c r="E61" i="5"/>
  <c r="F61" i="5" s="1"/>
  <c r="G61" i="5" s="1"/>
  <c r="E76" i="5"/>
  <c r="F76" i="5" s="1"/>
  <c r="G76" i="5" s="1"/>
  <c r="E92" i="5"/>
  <c r="F92" i="5" s="1"/>
  <c r="G92" i="5" s="1"/>
  <c r="E104" i="5"/>
  <c r="F104" i="5" s="1"/>
  <c r="G104" i="5" s="1"/>
  <c r="E118" i="5"/>
  <c r="F118" i="5" s="1"/>
  <c r="G118" i="5" s="1"/>
  <c r="E134" i="5"/>
  <c r="F134" i="5" s="1"/>
  <c r="G134" i="5" s="1"/>
  <c r="E148" i="5"/>
  <c r="F148" i="5" s="1"/>
  <c r="G148" i="5" s="1"/>
  <c r="E160" i="5"/>
  <c r="F160" i="5" s="1"/>
  <c r="G160" i="5" s="1"/>
  <c r="E176" i="5"/>
  <c r="F176" i="5" s="1"/>
  <c r="G176" i="5" s="1"/>
  <c r="E190" i="5"/>
  <c r="F190" i="5" s="1"/>
  <c r="G190" i="5" s="1"/>
  <c r="E204" i="5"/>
  <c r="F204" i="5" s="1"/>
  <c r="G204" i="5" s="1"/>
  <c r="E220" i="5"/>
  <c r="F220" i="5" s="1"/>
  <c r="G220" i="5" s="1"/>
  <c r="E232" i="5"/>
  <c r="F232" i="5" s="1"/>
  <c r="G232" i="5" s="1"/>
  <c r="E246" i="5"/>
  <c r="F246" i="5" s="1"/>
  <c r="G246" i="5" s="1"/>
  <c r="E16" i="5"/>
  <c r="F16" i="5" s="1"/>
  <c r="G16" i="5" s="1"/>
  <c r="E36" i="5"/>
  <c r="F36" i="5" s="1"/>
  <c r="G36" i="5" s="1"/>
  <c r="E52" i="5"/>
  <c r="F52" i="5" s="1"/>
  <c r="G52" i="5" s="1"/>
  <c r="E71" i="5"/>
  <c r="F71" i="5" s="1"/>
  <c r="G71" i="5" s="1"/>
  <c r="E85" i="5"/>
  <c r="F85" i="5" s="1"/>
  <c r="G85" i="5" s="1"/>
  <c r="E99" i="5"/>
  <c r="F99" i="5" s="1"/>
  <c r="G99" i="5" s="1"/>
  <c r="E115" i="5"/>
  <c r="F115" i="5" s="1"/>
  <c r="G115" i="5" s="1"/>
  <c r="E127" i="5"/>
  <c r="F127" i="5" s="1"/>
  <c r="G127" i="5" s="1"/>
  <c r="E141" i="5"/>
  <c r="F141" i="5" s="1"/>
  <c r="G141" i="5" s="1"/>
  <c r="E157" i="5"/>
  <c r="F157" i="5" s="1"/>
  <c r="G157" i="5" s="1"/>
  <c r="E171" i="5"/>
  <c r="F171" i="5" s="1"/>
  <c r="G171" i="5" s="1"/>
  <c r="E183" i="5"/>
  <c r="F183" i="5" s="1"/>
  <c r="G183" i="5" s="1"/>
  <c r="E199" i="5"/>
  <c r="F199" i="5" s="1"/>
  <c r="G199" i="5" s="1"/>
  <c r="E213" i="5"/>
  <c r="F213" i="5" s="1"/>
  <c r="G213" i="5" s="1"/>
  <c r="E227" i="5"/>
  <c r="F227" i="5" s="1"/>
  <c r="G227" i="5" s="1"/>
  <c r="E243" i="5"/>
  <c r="F243" i="5" s="1"/>
  <c r="G243" i="5" s="1"/>
  <c r="E230" i="5"/>
  <c r="F230" i="5" s="1"/>
  <c r="G230" i="5" s="1"/>
  <c r="E208" i="5"/>
  <c r="F208" i="5" s="1"/>
  <c r="G208" i="5" s="1"/>
  <c r="E182" i="5"/>
  <c r="F182" i="5" s="1"/>
  <c r="G182" i="5" s="1"/>
  <c r="E163" i="5"/>
  <c r="F163" i="5" s="1"/>
  <c r="G163" i="5" s="1"/>
  <c r="E139" i="5"/>
  <c r="F139" i="5" s="1"/>
  <c r="G139" i="5" s="1"/>
  <c r="E116" i="5"/>
  <c r="F116" i="5" s="1"/>
  <c r="G116" i="5" s="1"/>
  <c r="E94" i="5"/>
  <c r="F94" i="5" s="1"/>
  <c r="G94" i="5" s="1"/>
  <c r="E70" i="5"/>
  <c r="F70" i="5" s="1"/>
  <c r="G70" i="5" s="1"/>
  <c r="E46" i="5"/>
  <c r="F46" i="5" s="1"/>
  <c r="G46" i="5" s="1"/>
  <c r="E8" i="5"/>
  <c r="F8" i="5" s="1"/>
  <c r="G8" i="5" s="1"/>
  <c r="E2" i="5"/>
  <c r="F2" i="5" s="1"/>
  <c r="G2" i="5" s="1"/>
  <c r="E224" i="5"/>
  <c r="F224" i="5" s="1"/>
  <c r="G224" i="5" s="1"/>
  <c r="E205" i="5"/>
  <c r="F205" i="5" s="1"/>
  <c r="G205" i="5" s="1"/>
  <c r="E181" i="5"/>
  <c r="F181" i="5" s="1"/>
  <c r="G181" i="5" s="1"/>
  <c r="E158" i="5"/>
  <c r="F158" i="5" s="1"/>
  <c r="G158" i="5" s="1"/>
  <c r="E136" i="5"/>
  <c r="F136" i="5" s="1"/>
  <c r="G136" i="5" s="1"/>
  <c r="E112" i="5"/>
  <c r="F112" i="5" s="1"/>
  <c r="G112" i="5" s="1"/>
  <c r="E93" i="5"/>
  <c r="F93" i="5" s="1"/>
  <c r="G93" i="5" s="1"/>
  <c r="E66" i="5"/>
  <c r="F66" i="5" s="1"/>
  <c r="G66" i="5" s="1"/>
  <c r="E37" i="5"/>
  <c r="F37" i="5" s="1"/>
  <c r="G37" i="5" s="1"/>
  <c r="E7" i="5"/>
  <c r="F7" i="5" s="1"/>
  <c r="G7" i="5" s="1"/>
  <c r="E247" i="5"/>
  <c r="F247" i="5" s="1"/>
  <c r="G247" i="5" s="1"/>
  <c r="E223" i="5"/>
  <c r="F223" i="5" s="1"/>
  <c r="G223" i="5" s="1"/>
  <c r="E200" i="5"/>
  <c r="F200" i="5" s="1"/>
  <c r="G200" i="5" s="1"/>
  <c r="E180" i="5"/>
  <c r="F180" i="5" s="1"/>
  <c r="G180" i="5" s="1"/>
  <c r="E156" i="5"/>
  <c r="F156" i="5" s="1"/>
  <c r="G156" i="5" s="1"/>
  <c r="E135" i="5"/>
  <c r="F135" i="5" s="1"/>
  <c r="G135" i="5" s="1"/>
  <c r="E109" i="5"/>
  <c r="F109" i="5" s="1"/>
  <c r="G109" i="5" s="1"/>
  <c r="E86" i="5"/>
  <c r="F86" i="5" s="1"/>
  <c r="G86" i="5" s="1"/>
  <c r="E63" i="5"/>
  <c r="F63" i="5" s="1"/>
  <c r="G63" i="5" s="1"/>
  <c r="E31" i="5"/>
  <c r="F31" i="5" s="1"/>
  <c r="G31" i="5" s="1"/>
  <c r="E6" i="5"/>
  <c r="F6" i="5" s="1"/>
  <c r="G6" i="5" s="1"/>
  <c r="E10" i="4"/>
  <c r="F10" i="4" s="1"/>
  <c r="G10" i="4" s="1"/>
  <c r="E18" i="4"/>
  <c r="F18" i="4" s="1"/>
  <c r="G18" i="4" s="1"/>
  <c r="E26" i="4"/>
  <c r="F26" i="4" s="1"/>
  <c r="G26" i="4" s="1"/>
  <c r="E34" i="4"/>
  <c r="F34" i="4" s="1"/>
  <c r="G34" i="4" s="1"/>
  <c r="E42" i="4"/>
  <c r="F42" i="4" s="1"/>
  <c r="G42" i="4" s="1"/>
  <c r="E6" i="4"/>
  <c r="F6" i="4" s="1"/>
  <c r="G6" i="4" s="1"/>
  <c r="E15" i="4"/>
  <c r="F15" i="4" s="1"/>
  <c r="G15" i="4" s="1"/>
  <c r="E24" i="4"/>
  <c r="F24" i="4" s="1"/>
  <c r="G24" i="4" s="1"/>
  <c r="E33" i="4"/>
  <c r="F33" i="4" s="1"/>
  <c r="G33" i="4" s="1"/>
  <c r="E43" i="4"/>
  <c r="F43" i="4" s="1"/>
  <c r="G43" i="4" s="1"/>
  <c r="E51" i="4"/>
  <c r="F51" i="4" s="1"/>
  <c r="G51" i="4" s="1"/>
  <c r="E59" i="4"/>
  <c r="F59" i="4" s="1"/>
  <c r="G59" i="4" s="1"/>
  <c r="E67" i="4"/>
  <c r="F67" i="4" s="1"/>
  <c r="G67" i="4" s="1"/>
  <c r="E75" i="4"/>
  <c r="F75" i="4" s="1"/>
  <c r="G75" i="4" s="1"/>
  <c r="E83" i="4"/>
  <c r="F83" i="4" s="1"/>
  <c r="G83" i="4" s="1"/>
  <c r="E91" i="4"/>
  <c r="F91" i="4" s="1"/>
  <c r="G91" i="4" s="1"/>
  <c r="E99" i="4"/>
  <c r="F99" i="4" s="1"/>
  <c r="G99" i="4" s="1"/>
  <c r="E107" i="4"/>
  <c r="F107" i="4" s="1"/>
  <c r="G107" i="4" s="1"/>
  <c r="E115" i="4"/>
  <c r="F115" i="4" s="1"/>
  <c r="G115" i="4" s="1"/>
  <c r="E123" i="4"/>
  <c r="F123" i="4" s="1"/>
  <c r="G123" i="4" s="1"/>
  <c r="E131" i="4"/>
  <c r="F131" i="4" s="1"/>
  <c r="G131" i="4" s="1"/>
  <c r="E139" i="4"/>
  <c r="F139" i="4" s="1"/>
  <c r="G139" i="4" s="1"/>
  <c r="E147" i="4"/>
  <c r="F147" i="4" s="1"/>
  <c r="G147" i="4" s="1"/>
  <c r="E155" i="4"/>
  <c r="F155" i="4" s="1"/>
  <c r="G155" i="4" s="1"/>
  <c r="E163" i="4"/>
  <c r="F163" i="4" s="1"/>
  <c r="G163" i="4" s="1"/>
  <c r="E171" i="4"/>
  <c r="F171" i="4" s="1"/>
  <c r="G171" i="4" s="1"/>
  <c r="E179" i="4"/>
  <c r="F179" i="4" s="1"/>
  <c r="G179" i="4" s="1"/>
  <c r="E187" i="4"/>
  <c r="F187" i="4" s="1"/>
  <c r="G187" i="4" s="1"/>
  <c r="E195" i="4"/>
  <c r="F195" i="4" s="1"/>
  <c r="G195" i="4" s="1"/>
  <c r="E203" i="4"/>
  <c r="F203" i="4" s="1"/>
  <c r="G203" i="4" s="1"/>
  <c r="E211" i="4"/>
  <c r="F211" i="4" s="1"/>
  <c r="G211" i="4" s="1"/>
  <c r="E219" i="4"/>
  <c r="F219" i="4" s="1"/>
  <c r="G219" i="4" s="1"/>
  <c r="E227" i="4"/>
  <c r="F227" i="4" s="1"/>
  <c r="G227" i="4" s="1"/>
  <c r="E235" i="4"/>
  <c r="F235" i="4" s="1"/>
  <c r="G235" i="4" s="1"/>
  <c r="E243" i="4"/>
  <c r="F243" i="4" s="1"/>
  <c r="G243" i="4" s="1"/>
  <c r="E7" i="4"/>
  <c r="F7" i="4" s="1"/>
  <c r="G7" i="4" s="1"/>
  <c r="E16" i="4"/>
  <c r="F16" i="4" s="1"/>
  <c r="G16" i="4" s="1"/>
  <c r="E25" i="4"/>
  <c r="F25" i="4" s="1"/>
  <c r="G25" i="4" s="1"/>
  <c r="E35" i="4"/>
  <c r="F35" i="4" s="1"/>
  <c r="G35" i="4" s="1"/>
  <c r="E44" i="4"/>
  <c r="F44" i="4" s="1"/>
  <c r="G44" i="4" s="1"/>
  <c r="E52" i="4"/>
  <c r="F52" i="4" s="1"/>
  <c r="G52" i="4" s="1"/>
  <c r="E60" i="4"/>
  <c r="F60" i="4" s="1"/>
  <c r="G60" i="4" s="1"/>
  <c r="E68" i="4"/>
  <c r="F68" i="4" s="1"/>
  <c r="G68" i="4" s="1"/>
  <c r="E76" i="4"/>
  <c r="F76" i="4" s="1"/>
  <c r="G76" i="4" s="1"/>
  <c r="E84" i="4"/>
  <c r="F84" i="4" s="1"/>
  <c r="G84" i="4" s="1"/>
  <c r="E92" i="4"/>
  <c r="F92" i="4" s="1"/>
  <c r="G92" i="4" s="1"/>
  <c r="E100" i="4"/>
  <c r="F100" i="4" s="1"/>
  <c r="G100" i="4" s="1"/>
  <c r="E108" i="4"/>
  <c r="F108" i="4" s="1"/>
  <c r="G108" i="4" s="1"/>
  <c r="E116" i="4"/>
  <c r="F116" i="4" s="1"/>
  <c r="G116" i="4" s="1"/>
  <c r="E124" i="4"/>
  <c r="F124" i="4" s="1"/>
  <c r="G124" i="4" s="1"/>
  <c r="E132" i="4"/>
  <c r="F132" i="4" s="1"/>
  <c r="G132" i="4" s="1"/>
  <c r="E140" i="4"/>
  <c r="F140" i="4" s="1"/>
  <c r="G140" i="4" s="1"/>
  <c r="E148" i="4"/>
  <c r="F148" i="4" s="1"/>
  <c r="G148" i="4" s="1"/>
  <c r="E156" i="4"/>
  <c r="F156" i="4" s="1"/>
  <c r="G156" i="4" s="1"/>
  <c r="E164" i="4"/>
  <c r="F164" i="4" s="1"/>
  <c r="G164" i="4" s="1"/>
  <c r="E172" i="4"/>
  <c r="F172" i="4" s="1"/>
  <c r="G172" i="4" s="1"/>
  <c r="E180" i="4"/>
  <c r="F180" i="4" s="1"/>
  <c r="G180" i="4" s="1"/>
  <c r="E188" i="4"/>
  <c r="F188" i="4" s="1"/>
  <c r="G188" i="4" s="1"/>
  <c r="E196" i="4"/>
  <c r="F196" i="4" s="1"/>
  <c r="G196" i="4" s="1"/>
  <c r="E204" i="4"/>
  <c r="F204" i="4" s="1"/>
  <c r="G204" i="4" s="1"/>
  <c r="E212" i="4"/>
  <c r="F212" i="4" s="1"/>
  <c r="G212" i="4" s="1"/>
  <c r="E220" i="4"/>
  <c r="F220" i="4" s="1"/>
  <c r="G220" i="4" s="1"/>
  <c r="E228" i="4"/>
  <c r="F228" i="4" s="1"/>
  <c r="G228" i="4" s="1"/>
  <c r="E236" i="4"/>
  <c r="F236" i="4" s="1"/>
  <c r="G236" i="4" s="1"/>
  <c r="E244" i="4"/>
  <c r="F244" i="4" s="1"/>
  <c r="G244" i="4" s="1"/>
  <c r="E4" i="4"/>
  <c r="F4" i="4" s="1"/>
  <c r="G4" i="4" s="1"/>
  <c r="E13" i="4"/>
  <c r="F13" i="4" s="1"/>
  <c r="G13" i="4" s="1"/>
  <c r="E22" i="4"/>
  <c r="F22" i="4" s="1"/>
  <c r="G22" i="4" s="1"/>
  <c r="E31" i="4"/>
  <c r="F31" i="4" s="1"/>
  <c r="G31" i="4" s="1"/>
  <c r="E40" i="4"/>
  <c r="F40" i="4" s="1"/>
  <c r="G40" i="4" s="1"/>
  <c r="E49" i="4"/>
  <c r="F49" i="4" s="1"/>
  <c r="G49" i="4" s="1"/>
  <c r="E57" i="4"/>
  <c r="F57" i="4" s="1"/>
  <c r="G57" i="4" s="1"/>
  <c r="E65" i="4"/>
  <c r="F65" i="4" s="1"/>
  <c r="G65" i="4" s="1"/>
  <c r="E73" i="4"/>
  <c r="F73" i="4" s="1"/>
  <c r="G73" i="4" s="1"/>
  <c r="E81" i="4"/>
  <c r="F81" i="4" s="1"/>
  <c r="G81" i="4" s="1"/>
  <c r="E89" i="4"/>
  <c r="F89" i="4" s="1"/>
  <c r="G89" i="4" s="1"/>
  <c r="E97" i="4"/>
  <c r="F97" i="4" s="1"/>
  <c r="G97" i="4" s="1"/>
  <c r="E105" i="4"/>
  <c r="F105" i="4" s="1"/>
  <c r="G105" i="4" s="1"/>
  <c r="E113" i="4"/>
  <c r="F113" i="4" s="1"/>
  <c r="G113" i="4" s="1"/>
  <c r="E121" i="4"/>
  <c r="F121" i="4" s="1"/>
  <c r="G121" i="4" s="1"/>
  <c r="E129" i="4"/>
  <c r="F129" i="4" s="1"/>
  <c r="G129" i="4" s="1"/>
  <c r="E137" i="4"/>
  <c r="F137" i="4" s="1"/>
  <c r="G137" i="4" s="1"/>
  <c r="E145" i="4"/>
  <c r="F145" i="4" s="1"/>
  <c r="G145" i="4" s="1"/>
  <c r="E153" i="4"/>
  <c r="F153" i="4" s="1"/>
  <c r="G153" i="4" s="1"/>
  <c r="E161" i="4"/>
  <c r="F161" i="4" s="1"/>
  <c r="G161" i="4" s="1"/>
  <c r="E169" i="4"/>
  <c r="F169" i="4" s="1"/>
  <c r="G169" i="4" s="1"/>
  <c r="E177" i="4"/>
  <c r="F177" i="4" s="1"/>
  <c r="G177" i="4" s="1"/>
  <c r="E185" i="4"/>
  <c r="F185" i="4" s="1"/>
  <c r="G185" i="4" s="1"/>
  <c r="E193" i="4"/>
  <c r="F193" i="4" s="1"/>
  <c r="G193" i="4" s="1"/>
  <c r="E201" i="4"/>
  <c r="F201" i="4" s="1"/>
  <c r="G201" i="4" s="1"/>
  <c r="E209" i="4"/>
  <c r="F209" i="4" s="1"/>
  <c r="G209" i="4" s="1"/>
  <c r="E217" i="4"/>
  <c r="F217" i="4" s="1"/>
  <c r="G217" i="4" s="1"/>
  <c r="E225" i="4"/>
  <c r="F225" i="4" s="1"/>
  <c r="G225" i="4" s="1"/>
  <c r="E233" i="4"/>
  <c r="F233" i="4" s="1"/>
  <c r="G233" i="4" s="1"/>
  <c r="E241" i="4"/>
  <c r="F241" i="4" s="1"/>
  <c r="G241" i="4" s="1"/>
  <c r="E2" i="4"/>
  <c r="F2" i="4" s="1"/>
  <c r="G2" i="4" s="1"/>
  <c r="E238" i="4"/>
  <c r="F238" i="4" s="1"/>
  <c r="G238" i="4" s="1"/>
  <c r="E224" i="4"/>
  <c r="F224" i="4" s="1"/>
  <c r="G224" i="4" s="1"/>
  <c r="E213" i="4"/>
  <c r="F213" i="4" s="1"/>
  <c r="G213" i="4" s="1"/>
  <c r="E199" i="4"/>
  <c r="F199" i="4" s="1"/>
  <c r="G199" i="4" s="1"/>
  <c r="E186" i="4"/>
  <c r="F186" i="4" s="1"/>
  <c r="G186" i="4" s="1"/>
  <c r="E174" i="4"/>
  <c r="F174" i="4" s="1"/>
  <c r="G174" i="4" s="1"/>
  <c r="E160" i="4"/>
  <c r="F160" i="4" s="1"/>
  <c r="G160" i="4" s="1"/>
  <c r="E149" i="4"/>
  <c r="F149" i="4" s="1"/>
  <c r="G149" i="4" s="1"/>
  <c r="E135" i="4"/>
  <c r="F135" i="4" s="1"/>
  <c r="G135" i="4" s="1"/>
  <c r="E122" i="4"/>
  <c r="F122" i="4" s="1"/>
  <c r="G122" i="4" s="1"/>
  <c r="E110" i="4"/>
  <c r="F110" i="4" s="1"/>
  <c r="G110" i="4" s="1"/>
  <c r="E96" i="4"/>
  <c r="F96" i="4" s="1"/>
  <c r="G96" i="4" s="1"/>
  <c r="E85" i="4"/>
  <c r="F85" i="4" s="1"/>
  <c r="G85" i="4" s="1"/>
  <c r="E71" i="4"/>
  <c r="F71" i="4" s="1"/>
  <c r="G71" i="4" s="1"/>
  <c r="E58" i="4"/>
  <c r="F58" i="4" s="1"/>
  <c r="G58" i="4" s="1"/>
  <c r="E46" i="4"/>
  <c r="F46" i="4" s="1"/>
  <c r="G46" i="4" s="1"/>
  <c r="E30" i="4"/>
  <c r="F30" i="4" s="1"/>
  <c r="G30" i="4" s="1"/>
  <c r="E17" i="4"/>
  <c r="F17" i="4" s="1"/>
  <c r="G17" i="4" s="1"/>
  <c r="E244" i="5"/>
  <c r="F244" i="5" s="1"/>
  <c r="G244" i="5" s="1"/>
  <c r="E222" i="5"/>
  <c r="F222" i="5" s="1"/>
  <c r="G222" i="5" s="1"/>
  <c r="E198" i="5"/>
  <c r="F198" i="5" s="1"/>
  <c r="G198" i="5" s="1"/>
  <c r="E179" i="5"/>
  <c r="F179" i="5" s="1"/>
  <c r="G179" i="5" s="1"/>
  <c r="E151" i="5"/>
  <c r="F151" i="5" s="1"/>
  <c r="G151" i="5" s="1"/>
  <c r="E128" i="5"/>
  <c r="F128" i="5" s="1"/>
  <c r="G128" i="5" s="1"/>
  <c r="E108" i="5"/>
  <c r="F108" i="5" s="1"/>
  <c r="G108" i="5" s="1"/>
  <c r="E84" i="5"/>
  <c r="F84" i="5" s="1"/>
  <c r="G84" i="5" s="1"/>
  <c r="E62" i="5"/>
  <c r="F62" i="5" s="1"/>
  <c r="G62" i="5" s="1"/>
  <c r="E30" i="5"/>
  <c r="F30" i="5" s="1"/>
  <c r="G30" i="5" s="1"/>
  <c r="E247" i="4"/>
  <c r="F247" i="4" s="1"/>
  <c r="G247" i="4" s="1"/>
  <c r="E234" i="4"/>
  <c r="F234" i="4" s="1"/>
  <c r="G234" i="4" s="1"/>
  <c r="E222" i="4"/>
  <c r="F222" i="4" s="1"/>
  <c r="G222" i="4" s="1"/>
  <c r="E208" i="4"/>
  <c r="F208" i="4" s="1"/>
  <c r="G208" i="4" s="1"/>
  <c r="E197" i="4"/>
  <c r="F197" i="4" s="1"/>
  <c r="G197" i="4" s="1"/>
  <c r="E183" i="4"/>
  <c r="F183" i="4" s="1"/>
  <c r="G183" i="4" s="1"/>
  <c r="E170" i="4"/>
  <c r="F170" i="4" s="1"/>
  <c r="G170" i="4" s="1"/>
  <c r="E158" i="4"/>
  <c r="F158" i="4" s="1"/>
  <c r="G158" i="4" s="1"/>
  <c r="E144" i="4"/>
  <c r="F144" i="4" s="1"/>
  <c r="G144" i="4" s="1"/>
  <c r="E133" i="4"/>
  <c r="F133" i="4" s="1"/>
  <c r="G133" i="4" s="1"/>
  <c r="E119" i="4"/>
  <c r="F119" i="4" s="1"/>
  <c r="G119" i="4" s="1"/>
  <c r="E106" i="4"/>
  <c r="F106" i="4" s="1"/>
  <c r="G106" i="4" s="1"/>
  <c r="E94" i="4"/>
  <c r="F94" i="4" s="1"/>
  <c r="G94" i="4" s="1"/>
  <c r="E80" i="4"/>
  <c r="F80" i="4" s="1"/>
  <c r="G80" i="4" s="1"/>
  <c r="E69" i="4"/>
  <c r="F69" i="4" s="1"/>
  <c r="G69" i="4" s="1"/>
  <c r="E55" i="4"/>
  <c r="F55" i="4" s="1"/>
  <c r="G55" i="4" s="1"/>
  <c r="E41" i="4"/>
  <c r="F41" i="4" s="1"/>
  <c r="G41" i="4" s="1"/>
  <c r="E28" i="4"/>
  <c r="F28" i="4" s="1"/>
  <c r="G28" i="4" s="1"/>
  <c r="E12" i="4"/>
  <c r="F12" i="4" s="1"/>
  <c r="G12" i="4" s="1"/>
  <c r="E237" i="5"/>
  <c r="F237" i="5" s="1"/>
  <c r="G237" i="5" s="1"/>
  <c r="E214" i="5"/>
  <c r="F214" i="5" s="1"/>
  <c r="G214" i="5" s="1"/>
  <c r="E192" i="5"/>
  <c r="F192" i="5" s="1"/>
  <c r="G192" i="5" s="1"/>
  <c r="E168" i="5"/>
  <c r="F168" i="5" s="1"/>
  <c r="G168" i="5" s="1"/>
  <c r="E149" i="5"/>
  <c r="F149" i="5" s="1"/>
  <c r="G149" i="5" s="1"/>
  <c r="E125" i="5"/>
  <c r="F125" i="5" s="1"/>
  <c r="G125" i="5" s="1"/>
  <c r="E102" i="5"/>
  <c r="F102" i="5" s="1"/>
  <c r="G102" i="5" s="1"/>
  <c r="E80" i="5"/>
  <c r="F80" i="5" s="1"/>
  <c r="G80" i="5" s="1"/>
  <c r="E49" i="5"/>
  <c r="F49" i="5" s="1"/>
  <c r="G49" i="5" s="1"/>
  <c r="E24" i="5"/>
  <c r="F24" i="5" s="1"/>
  <c r="G24" i="5" s="1"/>
  <c r="E236" i="6"/>
  <c r="F236" i="6" s="1"/>
  <c r="G236" i="6" s="1"/>
  <c r="E212" i="6"/>
  <c r="F212" i="6" s="1"/>
  <c r="G212" i="6" s="1"/>
  <c r="E182" i="6"/>
  <c r="F182" i="6" s="1"/>
  <c r="G182" i="6" s="1"/>
  <c r="E158" i="6"/>
  <c r="F158" i="6" s="1"/>
  <c r="G158" i="6" s="1"/>
  <c r="E130" i="6"/>
  <c r="F130" i="6" s="1"/>
  <c r="G130" i="6" s="1"/>
  <c r="E102" i="6"/>
  <c r="F102" i="6" s="1"/>
  <c r="G102" i="6" s="1"/>
  <c r="E76" i="6"/>
  <c r="F76" i="6" s="1"/>
  <c r="G76" i="6" s="1"/>
  <c r="E47" i="6"/>
  <c r="F47" i="6" s="1"/>
  <c r="G47" i="6" s="1"/>
  <c r="E8" i="6"/>
  <c r="F8" i="6" s="1"/>
  <c r="G8" i="6" s="1"/>
  <c r="E16" i="6"/>
  <c r="F16" i="6" s="1"/>
  <c r="G16" i="6" s="1"/>
  <c r="E24" i="6"/>
  <c r="F24" i="6" s="1"/>
  <c r="G24" i="6" s="1"/>
  <c r="E32" i="6"/>
  <c r="F32" i="6" s="1"/>
  <c r="G32" i="6" s="1"/>
  <c r="E40" i="6"/>
  <c r="F40" i="6" s="1"/>
  <c r="G40" i="6" s="1"/>
  <c r="E48" i="6"/>
  <c r="F48" i="6" s="1"/>
  <c r="G48" i="6" s="1"/>
  <c r="E56" i="6"/>
  <c r="F56" i="6" s="1"/>
  <c r="G56" i="6" s="1"/>
  <c r="E64" i="6"/>
  <c r="F64" i="6" s="1"/>
  <c r="G64" i="6" s="1"/>
  <c r="E72" i="6"/>
  <c r="F72" i="6" s="1"/>
  <c r="G72" i="6" s="1"/>
  <c r="E80" i="6"/>
  <c r="F80" i="6" s="1"/>
  <c r="G80" i="6" s="1"/>
  <c r="E88" i="6"/>
  <c r="F88" i="6" s="1"/>
  <c r="G88" i="6" s="1"/>
  <c r="E96" i="6"/>
  <c r="F96" i="6" s="1"/>
  <c r="G96" i="6" s="1"/>
  <c r="E104" i="6"/>
  <c r="F104" i="6" s="1"/>
  <c r="G104" i="6" s="1"/>
  <c r="E112" i="6"/>
  <c r="F112" i="6" s="1"/>
  <c r="G112" i="6" s="1"/>
  <c r="E120" i="6"/>
  <c r="F120" i="6" s="1"/>
  <c r="G120" i="6" s="1"/>
  <c r="E128" i="6"/>
  <c r="F128" i="6" s="1"/>
  <c r="G128" i="6" s="1"/>
  <c r="E136" i="6"/>
  <c r="F136" i="6" s="1"/>
  <c r="G136" i="6" s="1"/>
  <c r="E144" i="6"/>
  <c r="F144" i="6" s="1"/>
  <c r="G144" i="6" s="1"/>
  <c r="E152" i="6"/>
  <c r="F152" i="6" s="1"/>
  <c r="G152" i="6" s="1"/>
  <c r="E160" i="6"/>
  <c r="F160" i="6" s="1"/>
  <c r="G160" i="6" s="1"/>
  <c r="E168" i="6"/>
  <c r="F168" i="6" s="1"/>
  <c r="G168" i="6" s="1"/>
  <c r="E176" i="6"/>
  <c r="F176" i="6" s="1"/>
  <c r="G176" i="6" s="1"/>
  <c r="E184" i="6"/>
  <c r="F184" i="6" s="1"/>
  <c r="G184" i="6" s="1"/>
  <c r="E192" i="6"/>
  <c r="F192" i="6" s="1"/>
  <c r="G192" i="6" s="1"/>
  <c r="E200" i="6"/>
  <c r="F200" i="6" s="1"/>
  <c r="G200" i="6" s="1"/>
  <c r="E208" i="6"/>
  <c r="F208" i="6" s="1"/>
  <c r="G208" i="6" s="1"/>
  <c r="E216" i="6"/>
  <c r="F216" i="6" s="1"/>
  <c r="G216" i="6" s="1"/>
  <c r="E224" i="6"/>
  <c r="F224" i="6" s="1"/>
  <c r="G224" i="6" s="1"/>
  <c r="E9" i="6"/>
  <c r="F9" i="6" s="1"/>
  <c r="G9" i="6" s="1"/>
  <c r="E17" i="6"/>
  <c r="F17" i="6" s="1"/>
  <c r="G17" i="6" s="1"/>
  <c r="E25" i="6"/>
  <c r="F25" i="6" s="1"/>
  <c r="G25" i="6" s="1"/>
  <c r="E33" i="6"/>
  <c r="F33" i="6" s="1"/>
  <c r="G33" i="6" s="1"/>
  <c r="E41" i="6"/>
  <c r="F41" i="6" s="1"/>
  <c r="G41" i="6" s="1"/>
  <c r="E49" i="6"/>
  <c r="F49" i="6" s="1"/>
  <c r="G49" i="6" s="1"/>
  <c r="E57" i="6"/>
  <c r="F57" i="6" s="1"/>
  <c r="G57" i="6" s="1"/>
  <c r="E65" i="6"/>
  <c r="F65" i="6" s="1"/>
  <c r="G65" i="6" s="1"/>
  <c r="E73" i="6"/>
  <c r="F73" i="6" s="1"/>
  <c r="G73" i="6" s="1"/>
  <c r="E81" i="6"/>
  <c r="F81" i="6" s="1"/>
  <c r="G81" i="6" s="1"/>
  <c r="E89" i="6"/>
  <c r="F89" i="6" s="1"/>
  <c r="G89" i="6" s="1"/>
  <c r="E97" i="6"/>
  <c r="F97" i="6" s="1"/>
  <c r="G97" i="6" s="1"/>
  <c r="E105" i="6"/>
  <c r="F105" i="6" s="1"/>
  <c r="G105" i="6" s="1"/>
  <c r="E113" i="6"/>
  <c r="F113" i="6" s="1"/>
  <c r="G113" i="6" s="1"/>
  <c r="E121" i="6"/>
  <c r="F121" i="6" s="1"/>
  <c r="G121" i="6" s="1"/>
  <c r="E129" i="6"/>
  <c r="F129" i="6" s="1"/>
  <c r="G129" i="6" s="1"/>
  <c r="E137" i="6"/>
  <c r="F137" i="6" s="1"/>
  <c r="G137" i="6" s="1"/>
  <c r="E145" i="6"/>
  <c r="F145" i="6" s="1"/>
  <c r="G145" i="6" s="1"/>
  <c r="E153" i="6"/>
  <c r="F153" i="6" s="1"/>
  <c r="G153" i="6" s="1"/>
  <c r="E161" i="6"/>
  <c r="F161" i="6" s="1"/>
  <c r="G161" i="6" s="1"/>
  <c r="E169" i="6"/>
  <c r="F169" i="6" s="1"/>
  <c r="G169" i="6" s="1"/>
  <c r="E177" i="6"/>
  <c r="F177" i="6" s="1"/>
  <c r="G177" i="6" s="1"/>
  <c r="E185" i="6"/>
  <c r="F185" i="6" s="1"/>
  <c r="G185" i="6" s="1"/>
  <c r="E193" i="6"/>
  <c r="F193" i="6" s="1"/>
  <c r="G193" i="6" s="1"/>
  <c r="E201" i="6"/>
  <c r="F201" i="6" s="1"/>
  <c r="G201" i="6" s="1"/>
  <c r="E209" i="6"/>
  <c r="F209" i="6" s="1"/>
  <c r="G209" i="6" s="1"/>
  <c r="E217" i="6"/>
  <c r="F217" i="6" s="1"/>
  <c r="G217" i="6" s="1"/>
  <c r="E3" i="6"/>
  <c r="F3" i="6" s="1"/>
  <c r="G3" i="6" s="1"/>
  <c r="E13" i="6"/>
  <c r="F13" i="6" s="1"/>
  <c r="G13" i="6" s="1"/>
  <c r="E23" i="6"/>
  <c r="F23" i="6" s="1"/>
  <c r="G23" i="6" s="1"/>
  <c r="E35" i="6"/>
  <c r="F35" i="6" s="1"/>
  <c r="G35" i="6" s="1"/>
  <c r="E45" i="6"/>
  <c r="F45" i="6" s="1"/>
  <c r="G45" i="6" s="1"/>
  <c r="E55" i="6"/>
  <c r="F55" i="6" s="1"/>
  <c r="G55" i="6" s="1"/>
  <c r="E67" i="6"/>
  <c r="F67" i="6" s="1"/>
  <c r="G67" i="6" s="1"/>
  <c r="E77" i="6"/>
  <c r="F77" i="6" s="1"/>
  <c r="G77" i="6" s="1"/>
  <c r="E87" i="6"/>
  <c r="F87" i="6" s="1"/>
  <c r="G87" i="6" s="1"/>
  <c r="E99" i="6"/>
  <c r="F99" i="6" s="1"/>
  <c r="G99" i="6" s="1"/>
  <c r="E109" i="6"/>
  <c r="F109" i="6" s="1"/>
  <c r="G109" i="6" s="1"/>
  <c r="E119" i="6"/>
  <c r="F119" i="6" s="1"/>
  <c r="G119" i="6" s="1"/>
  <c r="E131" i="6"/>
  <c r="F131" i="6" s="1"/>
  <c r="G131" i="6" s="1"/>
  <c r="E141" i="6"/>
  <c r="F141" i="6" s="1"/>
  <c r="G141" i="6" s="1"/>
  <c r="E151" i="6"/>
  <c r="F151" i="6" s="1"/>
  <c r="G151" i="6" s="1"/>
  <c r="E163" i="6"/>
  <c r="F163" i="6" s="1"/>
  <c r="G163" i="6" s="1"/>
  <c r="E173" i="6"/>
  <c r="F173" i="6" s="1"/>
  <c r="G173" i="6" s="1"/>
  <c r="E183" i="6"/>
  <c r="F183" i="6" s="1"/>
  <c r="G183" i="6" s="1"/>
  <c r="E195" i="6"/>
  <c r="F195" i="6" s="1"/>
  <c r="G195" i="6" s="1"/>
  <c r="E205" i="6"/>
  <c r="F205" i="6" s="1"/>
  <c r="G205" i="6" s="1"/>
  <c r="E215" i="6"/>
  <c r="F215" i="6" s="1"/>
  <c r="G215" i="6" s="1"/>
  <c r="E226" i="6"/>
  <c r="F226" i="6" s="1"/>
  <c r="G226" i="6" s="1"/>
  <c r="E234" i="6"/>
  <c r="F234" i="6" s="1"/>
  <c r="G234" i="6" s="1"/>
  <c r="E242" i="6"/>
  <c r="F242" i="6" s="1"/>
  <c r="G242" i="6" s="1"/>
  <c r="E250" i="6"/>
  <c r="F250" i="6" s="1"/>
  <c r="G250" i="6" s="1"/>
  <c r="E4" i="6"/>
  <c r="F4" i="6" s="1"/>
  <c r="G4" i="6" s="1"/>
  <c r="E14" i="6"/>
  <c r="F14" i="6" s="1"/>
  <c r="G14" i="6" s="1"/>
  <c r="E26" i="6"/>
  <c r="F26" i="6" s="1"/>
  <c r="G26" i="6" s="1"/>
  <c r="E36" i="6"/>
  <c r="F36" i="6" s="1"/>
  <c r="G36" i="6" s="1"/>
  <c r="E46" i="6"/>
  <c r="F46" i="6" s="1"/>
  <c r="G46" i="6" s="1"/>
  <c r="E58" i="6"/>
  <c r="F58" i="6" s="1"/>
  <c r="G58" i="6" s="1"/>
  <c r="E68" i="6"/>
  <c r="F68" i="6" s="1"/>
  <c r="G68" i="6" s="1"/>
  <c r="E78" i="6"/>
  <c r="F78" i="6" s="1"/>
  <c r="G78" i="6" s="1"/>
  <c r="E90" i="6"/>
  <c r="F90" i="6" s="1"/>
  <c r="G90" i="6" s="1"/>
  <c r="E100" i="6"/>
  <c r="F100" i="6" s="1"/>
  <c r="G100" i="6" s="1"/>
  <c r="E110" i="6"/>
  <c r="F110" i="6" s="1"/>
  <c r="G110" i="6" s="1"/>
  <c r="E122" i="6"/>
  <c r="F122" i="6" s="1"/>
  <c r="G122" i="6" s="1"/>
  <c r="E132" i="6"/>
  <c r="F132" i="6" s="1"/>
  <c r="G132" i="6" s="1"/>
  <c r="E142" i="6"/>
  <c r="F142" i="6" s="1"/>
  <c r="G142" i="6" s="1"/>
  <c r="E154" i="6"/>
  <c r="F154" i="6" s="1"/>
  <c r="G154" i="6" s="1"/>
  <c r="E164" i="6"/>
  <c r="F164" i="6" s="1"/>
  <c r="G164" i="6" s="1"/>
  <c r="E174" i="6"/>
  <c r="F174" i="6" s="1"/>
  <c r="G174" i="6" s="1"/>
  <c r="E186" i="6"/>
  <c r="F186" i="6" s="1"/>
  <c r="G186" i="6" s="1"/>
  <c r="E196" i="6"/>
  <c r="F196" i="6" s="1"/>
  <c r="G196" i="6" s="1"/>
  <c r="E206" i="6"/>
  <c r="F206" i="6" s="1"/>
  <c r="G206" i="6" s="1"/>
  <c r="E218" i="6"/>
  <c r="F218" i="6" s="1"/>
  <c r="G218" i="6" s="1"/>
  <c r="E227" i="6"/>
  <c r="F227" i="6" s="1"/>
  <c r="G227" i="6" s="1"/>
  <c r="E235" i="6"/>
  <c r="F235" i="6" s="1"/>
  <c r="G235" i="6" s="1"/>
  <c r="E243" i="6"/>
  <c r="F243" i="6" s="1"/>
  <c r="G243" i="6" s="1"/>
  <c r="E251" i="6"/>
  <c r="F251" i="6" s="1"/>
  <c r="G251" i="6" s="1"/>
  <c r="E11" i="6"/>
  <c r="F11" i="6" s="1"/>
  <c r="G11" i="6" s="1"/>
  <c r="E21" i="6"/>
  <c r="F21" i="6" s="1"/>
  <c r="G21" i="6" s="1"/>
  <c r="E31" i="6"/>
  <c r="F31" i="6" s="1"/>
  <c r="G31" i="6" s="1"/>
  <c r="E43" i="6"/>
  <c r="F43" i="6" s="1"/>
  <c r="G43" i="6" s="1"/>
  <c r="E53" i="6"/>
  <c r="F53" i="6" s="1"/>
  <c r="G53" i="6" s="1"/>
  <c r="E63" i="6"/>
  <c r="F63" i="6" s="1"/>
  <c r="G63" i="6" s="1"/>
  <c r="E75" i="6"/>
  <c r="F75" i="6" s="1"/>
  <c r="G75" i="6" s="1"/>
  <c r="E85" i="6"/>
  <c r="F85" i="6" s="1"/>
  <c r="G85" i="6" s="1"/>
  <c r="E95" i="6"/>
  <c r="F95" i="6" s="1"/>
  <c r="G95" i="6" s="1"/>
  <c r="E107" i="6"/>
  <c r="F107" i="6" s="1"/>
  <c r="G107" i="6" s="1"/>
  <c r="E117" i="6"/>
  <c r="F117" i="6" s="1"/>
  <c r="G117" i="6" s="1"/>
  <c r="E127" i="6"/>
  <c r="F127" i="6" s="1"/>
  <c r="G127" i="6" s="1"/>
  <c r="E139" i="6"/>
  <c r="F139" i="6" s="1"/>
  <c r="G139" i="6" s="1"/>
  <c r="E149" i="6"/>
  <c r="F149" i="6" s="1"/>
  <c r="G149" i="6" s="1"/>
  <c r="E159" i="6"/>
  <c r="F159" i="6" s="1"/>
  <c r="G159" i="6" s="1"/>
  <c r="E171" i="6"/>
  <c r="F171" i="6" s="1"/>
  <c r="G171" i="6" s="1"/>
  <c r="E181" i="6"/>
  <c r="F181" i="6" s="1"/>
  <c r="G181" i="6" s="1"/>
  <c r="E191" i="6"/>
  <c r="F191" i="6" s="1"/>
  <c r="G191" i="6" s="1"/>
  <c r="E203" i="6"/>
  <c r="F203" i="6" s="1"/>
  <c r="G203" i="6" s="1"/>
  <c r="E213" i="6"/>
  <c r="F213" i="6" s="1"/>
  <c r="G213" i="6" s="1"/>
  <c r="E223" i="6"/>
  <c r="F223" i="6" s="1"/>
  <c r="G223" i="6" s="1"/>
  <c r="E232" i="6"/>
  <c r="F232" i="6" s="1"/>
  <c r="G232" i="6" s="1"/>
  <c r="E240" i="6"/>
  <c r="F240" i="6" s="1"/>
  <c r="G240" i="6" s="1"/>
  <c r="E248" i="6"/>
  <c r="F248" i="6" s="1"/>
  <c r="G248" i="6" s="1"/>
  <c r="E19" i="6"/>
  <c r="F19" i="6" s="1"/>
  <c r="G19" i="6" s="1"/>
  <c r="E37" i="6"/>
  <c r="F37" i="6" s="1"/>
  <c r="G37" i="6" s="1"/>
  <c r="E52" i="6"/>
  <c r="F52" i="6" s="1"/>
  <c r="G52" i="6" s="1"/>
  <c r="E70" i="6"/>
  <c r="F70" i="6" s="1"/>
  <c r="G70" i="6" s="1"/>
  <c r="E86" i="6"/>
  <c r="F86" i="6" s="1"/>
  <c r="G86" i="6" s="1"/>
  <c r="E103" i="6"/>
  <c r="F103" i="6" s="1"/>
  <c r="G103" i="6" s="1"/>
  <c r="E123" i="6"/>
  <c r="F123" i="6" s="1"/>
  <c r="G123" i="6" s="1"/>
  <c r="E138" i="6"/>
  <c r="F138" i="6" s="1"/>
  <c r="G138" i="6" s="1"/>
  <c r="E156" i="6"/>
  <c r="F156" i="6" s="1"/>
  <c r="G156" i="6" s="1"/>
  <c r="E172" i="6"/>
  <c r="F172" i="6" s="1"/>
  <c r="G172" i="6" s="1"/>
  <c r="E189" i="6"/>
  <c r="F189" i="6" s="1"/>
  <c r="G189" i="6" s="1"/>
  <c r="E207" i="6"/>
  <c r="F207" i="6" s="1"/>
  <c r="G207" i="6" s="1"/>
  <c r="E222" i="6"/>
  <c r="F222" i="6" s="1"/>
  <c r="G222" i="6" s="1"/>
  <c r="E237" i="6"/>
  <c r="F237" i="6" s="1"/>
  <c r="G237" i="6" s="1"/>
  <c r="E249" i="6"/>
  <c r="F249" i="6" s="1"/>
  <c r="G249" i="6" s="1"/>
  <c r="E5" i="6"/>
  <c r="F5" i="6" s="1"/>
  <c r="G5" i="6" s="1"/>
  <c r="E20" i="6"/>
  <c r="F20" i="6" s="1"/>
  <c r="G20" i="6" s="1"/>
  <c r="E38" i="6"/>
  <c r="F38" i="6" s="1"/>
  <c r="G38" i="6" s="1"/>
  <c r="E54" i="6"/>
  <c r="F54" i="6" s="1"/>
  <c r="G54" i="6" s="1"/>
  <c r="E71" i="6"/>
  <c r="F71" i="6" s="1"/>
  <c r="G71" i="6" s="1"/>
  <c r="E91" i="6"/>
  <c r="F91" i="6" s="1"/>
  <c r="G91" i="6" s="1"/>
  <c r="E106" i="6"/>
  <c r="F106" i="6" s="1"/>
  <c r="G106" i="6" s="1"/>
  <c r="E124" i="6"/>
  <c r="F124" i="6" s="1"/>
  <c r="G124" i="6" s="1"/>
  <c r="E140" i="6"/>
  <c r="F140" i="6" s="1"/>
  <c r="G140" i="6" s="1"/>
  <c r="E157" i="6"/>
  <c r="F157" i="6" s="1"/>
  <c r="G157" i="6" s="1"/>
  <c r="E175" i="6"/>
  <c r="F175" i="6" s="1"/>
  <c r="G175" i="6" s="1"/>
  <c r="E190" i="6"/>
  <c r="F190" i="6" s="1"/>
  <c r="G190" i="6" s="1"/>
  <c r="E210" i="6"/>
  <c r="F210" i="6" s="1"/>
  <c r="G210" i="6" s="1"/>
  <c r="E225" i="6"/>
  <c r="F225" i="6" s="1"/>
  <c r="G225" i="6" s="1"/>
  <c r="E238" i="6"/>
  <c r="F238" i="6" s="1"/>
  <c r="G238" i="6" s="1"/>
  <c r="E252" i="6"/>
  <c r="F252" i="6" s="1"/>
  <c r="G252" i="6" s="1"/>
  <c r="E15" i="6"/>
  <c r="F15" i="6" s="1"/>
  <c r="G15" i="6" s="1"/>
  <c r="E30" i="6"/>
  <c r="F30" i="6" s="1"/>
  <c r="G30" i="6" s="1"/>
  <c r="E50" i="6"/>
  <c r="F50" i="6" s="1"/>
  <c r="G50" i="6" s="1"/>
  <c r="E66" i="6"/>
  <c r="F66" i="6" s="1"/>
  <c r="G66" i="6" s="1"/>
  <c r="E83" i="6"/>
  <c r="F83" i="6" s="1"/>
  <c r="G83" i="6" s="1"/>
  <c r="E101" i="6"/>
  <c r="F101" i="6" s="1"/>
  <c r="G101" i="6" s="1"/>
  <c r="E116" i="6"/>
  <c r="F116" i="6" s="1"/>
  <c r="G116" i="6" s="1"/>
  <c r="E134" i="6"/>
  <c r="F134" i="6" s="1"/>
  <c r="G134" i="6" s="1"/>
  <c r="E150" i="6"/>
  <c r="F150" i="6" s="1"/>
  <c r="G150" i="6" s="1"/>
  <c r="E167" i="6"/>
  <c r="F167" i="6" s="1"/>
  <c r="G167" i="6" s="1"/>
  <c r="E187" i="6"/>
  <c r="F187" i="6" s="1"/>
  <c r="G187" i="6" s="1"/>
  <c r="E202" i="6"/>
  <c r="F202" i="6" s="1"/>
  <c r="G202" i="6" s="1"/>
  <c r="E220" i="6"/>
  <c r="F220" i="6" s="1"/>
  <c r="G220" i="6" s="1"/>
  <c r="E233" i="6"/>
  <c r="F233" i="6" s="1"/>
  <c r="G233" i="6" s="1"/>
  <c r="E246" i="6"/>
  <c r="F246" i="6" s="1"/>
  <c r="G246" i="6" s="1"/>
  <c r="E231" i="6"/>
  <c r="F231" i="6" s="1"/>
  <c r="G231" i="6" s="1"/>
  <c r="E211" i="6"/>
  <c r="F211" i="6" s="1"/>
  <c r="G211" i="6" s="1"/>
  <c r="E180" i="6"/>
  <c r="F180" i="6" s="1"/>
  <c r="G180" i="6" s="1"/>
  <c r="E155" i="6"/>
  <c r="F155" i="6" s="1"/>
  <c r="G155" i="6" s="1"/>
  <c r="E126" i="6"/>
  <c r="F126" i="6" s="1"/>
  <c r="G126" i="6" s="1"/>
  <c r="E98" i="6"/>
  <c r="F98" i="6" s="1"/>
  <c r="G98" i="6" s="1"/>
  <c r="E74" i="6"/>
  <c r="F74" i="6" s="1"/>
  <c r="G74" i="6" s="1"/>
  <c r="E44" i="6"/>
  <c r="F44" i="6" s="1"/>
  <c r="G44" i="6" s="1"/>
  <c r="E18" i="6"/>
  <c r="F18" i="6" s="1"/>
  <c r="G18" i="6" s="1"/>
  <c r="E241" i="6"/>
  <c r="F241" i="6" s="1"/>
  <c r="G241" i="6" s="1"/>
  <c r="E219" i="6"/>
  <c r="F219" i="6" s="1"/>
  <c r="G219" i="6" s="1"/>
  <c r="E194" i="6"/>
  <c r="F194" i="6" s="1"/>
  <c r="G194" i="6" s="1"/>
  <c r="E165" i="6"/>
  <c r="F165" i="6" s="1"/>
  <c r="G165" i="6" s="1"/>
  <c r="E135" i="6"/>
  <c r="F135" i="6" s="1"/>
  <c r="G135" i="6" s="1"/>
  <c r="E111" i="6"/>
  <c r="F111" i="6" s="1"/>
  <c r="G111" i="6" s="1"/>
  <c r="E82" i="6"/>
  <c r="F82" i="6" s="1"/>
  <c r="G82" i="6" s="1"/>
  <c r="E59" i="6"/>
  <c r="F59" i="6" s="1"/>
  <c r="G59" i="6" s="1"/>
  <c r="E28" i="6"/>
  <c r="F28" i="6" s="1"/>
  <c r="G28" i="6" s="1"/>
  <c r="E239" i="6"/>
  <c r="F239" i="6" s="1"/>
  <c r="G239" i="6" s="1"/>
  <c r="E214" i="6"/>
  <c r="F214" i="6" s="1"/>
  <c r="G214" i="6" s="1"/>
  <c r="E188" i="6"/>
  <c r="F188" i="6" s="1"/>
  <c r="G188" i="6" s="1"/>
  <c r="E162" i="6"/>
  <c r="F162" i="6" s="1"/>
  <c r="G162" i="6" s="1"/>
  <c r="E133" i="6"/>
  <c r="F133" i="6" s="1"/>
  <c r="G133" i="6" s="1"/>
  <c r="E108" i="6"/>
  <c r="F108" i="6" s="1"/>
  <c r="G108" i="6" s="1"/>
  <c r="E79" i="6"/>
  <c r="F79" i="6" s="1"/>
  <c r="G79" i="6" s="1"/>
  <c r="E51" i="6"/>
  <c r="F51" i="6" s="1"/>
  <c r="G51" i="6" s="1"/>
  <c r="E27" i="6"/>
  <c r="F27" i="6" s="1"/>
  <c r="G27" i="6" s="1"/>
  <c r="E7" i="7"/>
  <c r="F7" i="7" s="1"/>
  <c r="G7" i="7" s="1"/>
  <c r="E15" i="7"/>
  <c r="F15" i="7" s="1"/>
  <c r="G15" i="7" s="1"/>
  <c r="E23" i="7"/>
  <c r="F23" i="7" s="1"/>
  <c r="G23" i="7" s="1"/>
  <c r="E31" i="7"/>
  <c r="F31" i="7" s="1"/>
  <c r="G31" i="7" s="1"/>
  <c r="E39" i="7"/>
  <c r="F39" i="7" s="1"/>
  <c r="G39" i="7" s="1"/>
  <c r="E47" i="7"/>
  <c r="F47" i="7" s="1"/>
  <c r="G47" i="7" s="1"/>
  <c r="E55" i="7"/>
  <c r="F55" i="7" s="1"/>
  <c r="G55" i="7" s="1"/>
  <c r="E63" i="7"/>
  <c r="F63" i="7" s="1"/>
  <c r="G63" i="7" s="1"/>
  <c r="E71" i="7"/>
  <c r="F71" i="7" s="1"/>
  <c r="G71" i="7" s="1"/>
  <c r="E79" i="7"/>
  <c r="F79" i="7" s="1"/>
  <c r="G79" i="7" s="1"/>
  <c r="E87" i="7"/>
  <c r="F87" i="7" s="1"/>
  <c r="G87" i="7" s="1"/>
  <c r="E95" i="7"/>
  <c r="F95" i="7" s="1"/>
  <c r="G95" i="7" s="1"/>
  <c r="E103" i="7"/>
  <c r="F103" i="7" s="1"/>
  <c r="G103" i="7" s="1"/>
  <c r="E11" i="7"/>
  <c r="F11" i="7" s="1"/>
  <c r="G11" i="7" s="1"/>
  <c r="E20" i="7"/>
  <c r="F20" i="7" s="1"/>
  <c r="G20" i="7" s="1"/>
  <c r="E29" i="7"/>
  <c r="F29" i="7" s="1"/>
  <c r="G29" i="7" s="1"/>
  <c r="E38" i="7"/>
  <c r="F38" i="7" s="1"/>
  <c r="G38" i="7" s="1"/>
  <c r="E48" i="7"/>
  <c r="F48" i="7" s="1"/>
  <c r="G48" i="7" s="1"/>
  <c r="E57" i="7"/>
  <c r="F57" i="7" s="1"/>
  <c r="G57" i="7" s="1"/>
  <c r="E66" i="7"/>
  <c r="F66" i="7" s="1"/>
  <c r="G66" i="7" s="1"/>
  <c r="E75" i="7"/>
  <c r="F75" i="7" s="1"/>
  <c r="G75" i="7" s="1"/>
  <c r="E84" i="7"/>
  <c r="F84" i="7" s="1"/>
  <c r="G84" i="7" s="1"/>
  <c r="E93" i="7"/>
  <c r="F93" i="7" s="1"/>
  <c r="G93" i="7" s="1"/>
  <c r="E102" i="7"/>
  <c r="F102" i="7" s="1"/>
  <c r="G102" i="7" s="1"/>
  <c r="E111" i="7"/>
  <c r="F111" i="7" s="1"/>
  <c r="G111" i="7" s="1"/>
  <c r="E119" i="7"/>
  <c r="F119" i="7" s="1"/>
  <c r="G119" i="7" s="1"/>
  <c r="E127" i="7"/>
  <c r="F127" i="7" s="1"/>
  <c r="G127" i="7" s="1"/>
  <c r="E135" i="7"/>
  <c r="F135" i="7" s="1"/>
  <c r="G135" i="7" s="1"/>
  <c r="E143" i="7"/>
  <c r="F143" i="7" s="1"/>
  <c r="G143" i="7" s="1"/>
  <c r="E151" i="7"/>
  <c r="F151" i="7" s="1"/>
  <c r="G151" i="7" s="1"/>
  <c r="E159" i="7"/>
  <c r="F159" i="7" s="1"/>
  <c r="G159" i="7" s="1"/>
  <c r="E167" i="7"/>
  <c r="F167" i="7" s="1"/>
  <c r="G167" i="7" s="1"/>
  <c r="E175" i="7"/>
  <c r="F175" i="7" s="1"/>
  <c r="G175" i="7" s="1"/>
  <c r="E183" i="7"/>
  <c r="F183" i="7" s="1"/>
  <c r="G183" i="7" s="1"/>
  <c r="E191" i="7"/>
  <c r="F191" i="7" s="1"/>
  <c r="G191" i="7" s="1"/>
  <c r="E199" i="7"/>
  <c r="F199" i="7" s="1"/>
  <c r="G199" i="7" s="1"/>
  <c r="E207" i="7"/>
  <c r="F207" i="7" s="1"/>
  <c r="G207" i="7" s="1"/>
  <c r="E215" i="7"/>
  <c r="F215" i="7" s="1"/>
  <c r="G215" i="7" s="1"/>
  <c r="E223" i="7"/>
  <c r="F223" i="7" s="1"/>
  <c r="G223" i="7" s="1"/>
  <c r="E231" i="7"/>
  <c r="F231" i="7" s="1"/>
  <c r="G231" i="7" s="1"/>
  <c r="E239" i="7"/>
  <c r="F239" i="7" s="1"/>
  <c r="G239" i="7" s="1"/>
  <c r="E247" i="7"/>
  <c r="F247" i="7" s="1"/>
  <c r="G247" i="7" s="1"/>
  <c r="E3" i="7"/>
  <c r="F3" i="7" s="1"/>
  <c r="G3" i="7" s="1"/>
  <c r="E12" i="7"/>
  <c r="F12" i="7" s="1"/>
  <c r="G12" i="7" s="1"/>
  <c r="E21" i="7"/>
  <c r="F21" i="7" s="1"/>
  <c r="G21" i="7" s="1"/>
  <c r="E30" i="7"/>
  <c r="F30" i="7" s="1"/>
  <c r="G30" i="7" s="1"/>
  <c r="E40" i="7"/>
  <c r="F40" i="7" s="1"/>
  <c r="G40" i="7" s="1"/>
  <c r="E49" i="7"/>
  <c r="F49" i="7" s="1"/>
  <c r="G49" i="7" s="1"/>
  <c r="E58" i="7"/>
  <c r="F58" i="7" s="1"/>
  <c r="G58" i="7" s="1"/>
  <c r="E67" i="7"/>
  <c r="F67" i="7" s="1"/>
  <c r="G67" i="7" s="1"/>
  <c r="E76" i="7"/>
  <c r="F76" i="7" s="1"/>
  <c r="G76" i="7" s="1"/>
  <c r="E85" i="7"/>
  <c r="F85" i="7" s="1"/>
  <c r="G85" i="7" s="1"/>
  <c r="E94" i="7"/>
  <c r="F94" i="7" s="1"/>
  <c r="G94" i="7" s="1"/>
  <c r="E104" i="7"/>
  <c r="F104" i="7" s="1"/>
  <c r="G104" i="7" s="1"/>
  <c r="E112" i="7"/>
  <c r="F112" i="7" s="1"/>
  <c r="G112" i="7" s="1"/>
  <c r="E120" i="7"/>
  <c r="F120" i="7" s="1"/>
  <c r="G120" i="7" s="1"/>
  <c r="E128" i="7"/>
  <c r="F128" i="7" s="1"/>
  <c r="G128" i="7" s="1"/>
  <c r="E136" i="7"/>
  <c r="F136" i="7" s="1"/>
  <c r="G136" i="7" s="1"/>
  <c r="E144" i="7"/>
  <c r="F144" i="7" s="1"/>
  <c r="G144" i="7" s="1"/>
  <c r="E152" i="7"/>
  <c r="F152" i="7" s="1"/>
  <c r="G152" i="7" s="1"/>
  <c r="E160" i="7"/>
  <c r="F160" i="7" s="1"/>
  <c r="G160" i="7" s="1"/>
  <c r="E168" i="7"/>
  <c r="F168" i="7" s="1"/>
  <c r="G168" i="7" s="1"/>
  <c r="E176" i="7"/>
  <c r="F176" i="7" s="1"/>
  <c r="G176" i="7" s="1"/>
  <c r="E184" i="7"/>
  <c r="F184" i="7" s="1"/>
  <c r="G184" i="7" s="1"/>
  <c r="E192" i="7"/>
  <c r="F192" i="7" s="1"/>
  <c r="G192" i="7" s="1"/>
  <c r="E200" i="7"/>
  <c r="F200" i="7" s="1"/>
  <c r="G200" i="7" s="1"/>
  <c r="E208" i="7"/>
  <c r="F208" i="7" s="1"/>
  <c r="G208" i="7" s="1"/>
  <c r="E216" i="7"/>
  <c r="F216" i="7" s="1"/>
  <c r="G216" i="7" s="1"/>
  <c r="E224" i="7"/>
  <c r="F224" i="7" s="1"/>
  <c r="G224" i="7" s="1"/>
  <c r="E232" i="7"/>
  <c r="F232" i="7" s="1"/>
  <c r="G232" i="7" s="1"/>
  <c r="E240" i="7"/>
  <c r="F240" i="7" s="1"/>
  <c r="G240" i="7" s="1"/>
  <c r="E248" i="7"/>
  <c r="F248" i="7" s="1"/>
  <c r="G248" i="7" s="1"/>
  <c r="E9" i="7"/>
  <c r="F9" i="7" s="1"/>
  <c r="G9" i="7" s="1"/>
  <c r="E18" i="7"/>
  <c r="F18" i="7" s="1"/>
  <c r="G18" i="7" s="1"/>
  <c r="E27" i="7"/>
  <c r="F27" i="7" s="1"/>
  <c r="G27" i="7" s="1"/>
  <c r="E36" i="7"/>
  <c r="F36" i="7" s="1"/>
  <c r="G36" i="7" s="1"/>
  <c r="E45" i="7"/>
  <c r="F45" i="7" s="1"/>
  <c r="G45" i="7" s="1"/>
  <c r="E54" i="7"/>
  <c r="F54" i="7" s="1"/>
  <c r="G54" i="7" s="1"/>
  <c r="E64" i="7"/>
  <c r="F64" i="7" s="1"/>
  <c r="G64" i="7" s="1"/>
  <c r="E73" i="7"/>
  <c r="F73" i="7" s="1"/>
  <c r="G73" i="7" s="1"/>
  <c r="E82" i="7"/>
  <c r="F82" i="7" s="1"/>
  <c r="G82" i="7" s="1"/>
  <c r="E91" i="7"/>
  <c r="F91" i="7" s="1"/>
  <c r="G91" i="7" s="1"/>
  <c r="E100" i="7"/>
  <c r="F100" i="7" s="1"/>
  <c r="G100" i="7" s="1"/>
  <c r="E109" i="7"/>
  <c r="F109" i="7" s="1"/>
  <c r="G109" i="7" s="1"/>
  <c r="E117" i="7"/>
  <c r="F117" i="7" s="1"/>
  <c r="G117" i="7" s="1"/>
  <c r="E125" i="7"/>
  <c r="F125" i="7" s="1"/>
  <c r="G125" i="7" s="1"/>
  <c r="E133" i="7"/>
  <c r="F133" i="7" s="1"/>
  <c r="G133" i="7" s="1"/>
  <c r="E141" i="7"/>
  <c r="F141" i="7" s="1"/>
  <c r="G141" i="7" s="1"/>
  <c r="E149" i="7"/>
  <c r="F149" i="7" s="1"/>
  <c r="G149" i="7" s="1"/>
  <c r="E157" i="7"/>
  <c r="F157" i="7" s="1"/>
  <c r="G157" i="7" s="1"/>
  <c r="E165" i="7"/>
  <c r="F165" i="7" s="1"/>
  <c r="G165" i="7" s="1"/>
  <c r="E173" i="7"/>
  <c r="F173" i="7" s="1"/>
  <c r="G173" i="7" s="1"/>
  <c r="E181" i="7"/>
  <c r="F181" i="7" s="1"/>
  <c r="G181" i="7" s="1"/>
  <c r="E189" i="7"/>
  <c r="F189" i="7" s="1"/>
  <c r="G189" i="7" s="1"/>
  <c r="E197" i="7"/>
  <c r="F197" i="7" s="1"/>
  <c r="G197" i="7" s="1"/>
  <c r="E205" i="7"/>
  <c r="F205" i="7" s="1"/>
  <c r="G205" i="7" s="1"/>
  <c r="E213" i="7"/>
  <c r="F213" i="7" s="1"/>
  <c r="G213" i="7" s="1"/>
  <c r="E221" i="7"/>
  <c r="F221" i="7" s="1"/>
  <c r="G221" i="7" s="1"/>
  <c r="E6" i="7"/>
  <c r="F6" i="7" s="1"/>
  <c r="G6" i="7" s="1"/>
  <c r="E22" i="7"/>
  <c r="F22" i="7" s="1"/>
  <c r="G22" i="7" s="1"/>
  <c r="E35" i="7"/>
  <c r="F35" i="7" s="1"/>
  <c r="G35" i="7" s="1"/>
  <c r="E51" i="7"/>
  <c r="F51" i="7" s="1"/>
  <c r="G51" i="7" s="1"/>
  <c r="E65" i="7"/>
  <c r="F65" i="7" s="1"/>
  <c r="G65" i="7" s="1"/>
  <c r="E80" i="7"/>
  <c r="F80" i="7" s="1"/>
  <c r="G80" i="7" s="1"/>
  <c r="E96" i="7"/>
  <c r="F96" i="7" s="1"/>
  <c r="G96" i="7" s="1"/>
  <c r="E108" i="7"/>
  <c r="F108" i="7" s="1"/>
  <c r="G108" i="7" s="1"/>
  <c r="E122" i="7"/>
  <c r="F122" i="7" s="1"/>
  <c r="G122" i="7" s="1"/>
  <c r="E134" i="7"/>
  <c r="F134" i="7" s="1"/>
  <c r="G134" i="7" s="1"/>
  <c r="E147" i="7"/>
  <c r="F147" i="7" s="1"/>
  <c r="G147" i="7" s="1"/>
  <c r="E161" i="7"/>
  <c r="F161" i="7" s="1"/>
  <c r="G161" i="7" s="1"/>
  <c r="E172" i="7"/>
  <c r="F172" i="7" s="1"/>
  <c r="G172" i="7" s="1"/>
  <c r="E186" i="7"/>
  <c r="F186" i="7" s="1"/>
  <c r="G186" i="7" s="1"/>
  <c r="E198" i="7"/>
  <c r="F198" i="7" s="1"/>
  <c r="G198" i="7" s="1"/>
  <c r="E211" i="7"/>
  <c r="F211" i="7" s="1"/>
  <c r="G211" i="7" s="1"/>
  <c r="E225" i="7"/>
  <c r="F225" i="7" s="1"/>
  <c r="G225" i="7" s="1"/>
  <c r="E235" i="7"/>
  <c r="F235" i="7" s="1"/>
  <c r="G235" i="7" s="1"/>
  <c r="E245" i="7"/>
  <c r="F245" i="7" s="1"/>
  <c r="G245" i="7" s="1"/>
  <c r="E8" i="7"/>
  <c r="F8" i="7" s="1"/>
  <c r="G8" i="7" s="1"/>
  <c r="E24" i="7"/>
  <c r="F24" i="7" s="1"/>
  <c r="G24" i="7" s="1"/>
  <c r="E37" i="7"/>
  <c r="F37" i="7" s="1"/>
  <c r="G37" i="7" s="1"/>
  <c r="E52" i="7"/>
  <c r="F52" i="7" s="1"/>
  <c r="G52" i="7" s="1"/>
  <c r="E68" i="7"/>
  <c r="F68" i="7" s="1"/>
  <c r="G68" i="7" s="1"/>
  <c r="E81" i="7"/>
  <c r="F81" i="7" s="1"/>
  <c r="G81" i="7" s="1"/>
  <c r="E97" i="7"/>
  <c r="F97" i="7" s="1"/>
  <c r="G97" i="7" s="1"/>
  <c r="E110" i="7"/>
  <c r="F110" i="7" s="1"/>
  <c r="G110" i="7" s="1"/>
  <c r="E123" i="7"/>
  <c r="F123" i="7" s="1"/>
  <c r="G123" i="7" s="1"/>
  <c r="E137" i="7"/>
  <c r="F137" i="7" s="1"/>
  <c r="G137" i="7" s="1"/>
  <c r="E148" i="7"/>
  <c r="F148" i="7" s="1"/>
  <c r="G148" i="7" s="1"/>
  <c r="E162" i="7"/>
  <c r="F162" i="7" s="1"/>
  <c r="G162" i="7" s="1"/>
  <c r="E174" i="7"/>
  <c r="F174" i="7" s="1"/>
  <c r="G174" i="7" s="1"/>
  <c r="E187" i="7"/>
  <c r="F187" i="7" s="1"/>
  <c r="G187" i="7" s="1"/>
  <c r="E201" i="7"/>
  <c r="F201" i="7" s="1"/>
  <c r="G201" i="7" s="1"/>
  <c r="E212" i="7"/>
  <c r="F212" i="7" s="1"/>
  <c r="G212" i="7" s="1"/>
  <c r="E226" i="7"/>
  <c r="F226" i="7" s="1"/>
  <c r="G226" i="7" s="1"/>
  <c r="E236" i="7"/>
  <c r="F236" i="7" s="1"/>
  <c r="G236" i="7" s="1"/>
  <c r="E246" i="7"/>
  <c r="F246" i="7" s="1"/>
  <c r="G246" i="7" s="1"/>
  <c r="E14" i="7"/>
  <c r="F14" i="7" s="1"/>
  <c r="G14" i="7" s="1"/>
  <c r="E28" i="7"/>
  <c r="F28" i="7" s="1"/>
  <c r="G28" i="7" s="1"/>
  <c r="E43" i="7"/>
  <c r="F43" i="7" s="1"/>
  <c r="G43" i="7" s="1"/>
  <c r="E59" i="7"/>
  <c r="F59" i="7" s="1"/>
  <c r="G59" i="7" s="1"/>
  <c r="E72" i="7"/>
  <c r="F72" i="7" s="1"/>
  <c r="G72" i="7" s="1"/>
  <c r="E88" i="7"/>
  <c r="F88" i="7" s="1"/>
  <c r="G88" i="7" s="1"/>
  <c r="E101" i="7"/>
  <c r="F101" i="7" s="1"/>
  <c r="G101" i="7" s="1"/>
  <c r="E115" i="7"/>
  <c r="F115" i="7" s="1"/>
  <c r="G115" i="7" s="1"/>
  <c r="E129" i="7"/>
  <c r="F129" i="7" s="1"/>
  <c r="G129" i="7" s="1"/>
  <c r="E140" i="7"/>
  <c r="F140" i="7" s="1"/>
  <c r="G140" i="7" s="1"/>
  <c r="E154" i="7"/>
  <c r="F154" i="7" s="1"/>
  <c r="G154" i="7" s="1"/>
  <c r="E166" i="7"/>
  <c r="F166" i="7" s="1"/>
  <c r="G166" i="7" s="1"/>
  <c r="E179" i="7"/>
  <c r="F179" i="7" s="1"/>
  <c r="G179" i="7" s="1"/>
  <c r="E193" i="7"/>
  <c r="F193" i="7" s="1"/>
  <c r="G193" i="7" s="1"/>
  <c r="E204" i="7"/>
  <c r="F204" i="7" s="1"/>
  <c r="G204" i="7" s="1"/>
  <c r="E218" i="7"/>
  <c r="F218" i="7" s="1"/>
  <c r="G218" i="7" s="1"/>
  <c r="E229" i="7"/>
  <c r="F229" i="7" s="1"/>
  <c r="G229" i="7" s="1"/>
  <c r="E241" i="7"/>
  <c r="F241" i="7" s="1"/>
  <c r="G241" i="7" s="1"/>
  <c r="E251" i="7"/>
  <c r="F251" i="7" s="1"/>
  <c r="G251" i="7" s="1"/>
  <c r="E16" i="7"/>
  <c r="F16" i="7" s="1"/>
  <c r="G16" i="7" s="1"/>
  <c r="E41" i="7"/>
  <c r="F41" i="7" s="1"/>
  <c r="G41" i="7" s="1"/>
  <c r="E61" i="7"/>
  <c r="F61" i="7" s="1"/>
  <c r="G61" i="7" s="1"/>
  <c r="E86" i="7"/>
  <c r="F86" i="7" s="1"/>
  <c r="G86" i="7" s="1"/>
  <c r="E107" i="7"/>
  <c r="F107" i="7" s="1"/>
  <c r="G107" i="7" s="1"/>
  <c r="E130" i="7"/>
  <c r="F130" i="7" s="1"/>
  <c r="G130" i="7" s="1"/>
  <c r="E150" i="7"/>
  <c r="F150" i="7" s="1"/>
  <c r="G150" i="7" s="1"/>
  <c r="E170" i="7"/>
  <c r="F170" i="7" s="1"/>
  <c r="G170" i="7" s="1"/>
  <c r="E190" i="7"/>
  <c r="F190" i="7" s="1"/>
  <c r="G190" i="7" s="1"/>
  <c r="E210" i="7"/>
  <c r="F210" i="7" s="1"/>
  <c r="G210" i="7" s="1"/>
  <c r="E230" i="7"/>
  <c r="F230" i="7" s="1"/>
  <c r="G230" i="7" s="1"/>
  <c r="E249" i="7"/>
  <c r="F249" i="7" s="1"/>
  <c r="G249" i="7" s="1"/>
  <c r="E17" i="7"/>
  <c r="F17" i="7" s="1"/>
  <c r="G17" i="7" s="1"/>
  <c r="E42" i="7"/>
  <c r="F42" i="7" s="1"/>
  <c r="G42" i="7" s="1"/>
  <c r="E62" i="7"/>
  <c r="F62" i="7" s="1"/>
  <c r="G62" i="7" s="1"/>
  <c r="E89" i="7"/>
  <c r="F89" i="7" s="1"/>
  <c r="G89" i="7" s="1"/>
  <c r="E113" i="7"/>
  <c r="F113" i="7" s="1"/>
  <c r="G113" i="7" s="1"/>
  <c r="E131" i="7"/>
  <c r="F131" i="7" s="1"/>
  <c r="G131" i="7" s="1"/>
  <c r="E153" i="7"/>
  <c r="F153" i="7" s="1"/>
  <c r="G153" i="7" s="1"/>
  <c r="E171" i="7"/>
  <c r="F171" i="7" s="1"/>
  <c r="G171" i="7" s="1"/>
  <c r="E194" i="7"/>
  <c r="F194" i="7" s="1"/>
  <c r="G194" i="7" s="1"/>
  <c r="E214" i="7"/>
  <c r="F214" i="7" s="1"/>
  <c r="G214" i="7" s="1"/>
  <c r="E233" i="7"/>
  <c r="F233" i="7" s="1"/>
  <c r="G233" i="7" s="1"/>
  <c r="E250" i="7"/>
  <c r="F250" i="7" s="1"/>
  <c r="G250" i="7" s="1"/>
  <c r="E10" i="7"/>
  <c r="F10" i="7" s="1"/>
  <c r="G10" i="7" s="1"/>
  <c r="E33" i="7"/>
  <c r="F33" i="7" s="1"/>
  <c r="G33" i="7" s="1"/>
  <c r="E56" i="7"/>
  <c r="F56" i="7" s="1"/>
  <c r="G56" i="7" s="1"/>
  <c r="E78" i="7"/>
  <c r="F78" i="7" s="1"/>
  <c r="G78" i="7" s="1"/>
  <c r="E105" i="7"/>
  <c r="F105" i="7" s="1"/>
  <c r="G105" i="7" s="1"/>
  <c r="E124" i="7"/>
  <c r="F124" i="7" s="1"/>
  <c r="G124" i="7" s="1"/>
  <c r="E145" i="7"/>
  <c r="F145" i="7" s="1"/>
  <c r="G145" i="7" s="1"/>
  <c r="E164" i="7"/>
  <c r="F164" i="7" s="1"/>
  <c r="G164" i="7" s="1"/>
  <c r="E185" i="7"/>
  <c r="F185" i="7" s="1"/>
  <c r="G185" i="7" s="1"/>
  <c r="E206" i="7"/>
  <c r="F206" i="7" s="1"/>
  <c r="G206" i="7" s="1"/>
  <c r="E227" i="7"/>
  <c r="F227" i="7" s="1"/>
  <c r="G227" i="7" s="1"/>
  <c r="E243" i="7"/>
  <c r="F243" i="7" s="1"/>
  <c r="G243" i="7" s="1"/>
  <c r="E228" i="7"/>
  <c r="F228" i="7" s="1"/>
  <c r="G228" i="7" s="1"/>
  <c r="E196" i="7"/>
  <c r="F196" i="7" s="1"/>
  <c r="G196" i="7" s="1"/>
  <c r="E163" i="7"/>
  <c r="F163" i="7" s="1"/>
  <c r="G163" i="7" s="1"/>
  <c r="E132" i="7"/>
  <c r="F132" i="7" s="1"/>
  <c r="G132" i="7" s="1"/>
  <c r="E98" i="7"/>
  <c r="F98" i="7" s="1"/>
  <c r="G98" i="7" s="1"/>
  <c r="E60" i="7"/>
  <c r="F60" i="7" s="1"/>
  <c r="G60" i="7" s="1"/>
  <c r="E25" i="7"/>
  <c r="F25" i="7" s="1"/>
  <c r="G25" i="7" s="1"/>
  <c r="E238" i="7"/>
  <c r="F238" i="7" s="1"/>
  <c r="G238" i="7" s="1"/>
  <c r="E209" i="7"/>
  <c r="F209" i="7" s="1"/>
  <c r="G209" i="7" s="1"/>
  <c r="E178" i="7"/>
  <c r="F178" i="7" s="1"/>
  <c r="G178" i="7" s="1"/>
  <c r="E142" i="7"/>
  <c r="F142" i="7" s="1"/>
  <c r="G142" i="7" s="1"/>
  <c r="E114" i="7"/>
  <c r="F114" i="7" s="1"/>
  <c r="G114" i="7" s="1"/>
  <c r="E74" i="7"/>
  <c r="F74" i="7" s="1"/>
  <c r="G74" i="7" s="1"/>
  <c r="E34" i="7"/>
  <c r="F34" i="7" s="1"/>
  <c r="G34" i="7" s="1"/>
  <c r="E237" i="7"/>
  <c r="F237" i="7" s="1"/>
  <c r="G237" i="7" s="1"/>
  <c r="E203" i="7"/>
  <c r="F203" i="7" s="1"/>
  <c r="G203" i="7" s="1"/>
  <c r="E177" i="7"/>
  <c r="F177" i="7" s="1"/>
  <c r="G177" i="7" s="1"/>
  <c r="E139" i="7"/>
  <c r="F139" i="7" s="1"/>
  <c r="G139" i="7" s="1"/>
  <c r="E106" i="7"/>
  <c r="F106" i="7" s="1"/>
  <c r="G106" i="7" s="1"/>
  <c r="E70" i="7"/>
  <c r="F70" i="7" s="1"/>
  <c r="G70" i="7" s="1"/>
  <c r="E32" i="7"/>
  <c r="F32" i="7" s="1"/>
  <c r="G32" i="7" s="1"/>
  <c r="E5" i="8"/>
  <c r="F5" i="8" s="1"/>
  <c r="G5" i="8" s="1"/>
  <c r="E13" i="8"/>
  <c r="F13" i="8" s="1"/>
  <c r="G13" i="8" s="1"/>
  <c r="E21" i="8"/>
  <c r="F21" i="8" s="1"/>
  <c r="G21" i="8" s="1"/>
  <c r="E29" i="8"/>
  <c r="F29" i="8" s="1"/>
  <c r="G29" i="8" s="1"/>
  <c r="E37" i="8"/>
  <c r="F37" i="8" s="1"/>
  <c r="G37" i="8" s="1"/>
  <c r="E45" i="8"/>
  <c r="F45" i="8" s="1"/>
  <c r="G45" i="8" s="1"/>
  <c r="E53" i="8"/>
  <c r="F53" i="8" s="1"/>
  <c r="G53" i="8" s="1"/>
  <c r="E61" i="8"/>
  <c r="F61" i="8" s="1"/>
  <c r="G61" i="8" s="1"/>
  <c r="E69" i="8"/>
  <c r="F69" i="8" s="1"/>
  <c r="G69" i="8" s="1"/>
  <c r="E77" i="8"/>
  <c r="F77" i="8" s="1"/>
  <c r="G77" i="8" s="1"/>
  <c r="E85" i="8"/>
  <c r="F85" i="8" s="1"/>
  <c r="G85" i="8" s="1"/>
  <c r="E93" i="8"/>
  <c r="F93" i="8" s="1"/>
  <c r="G93" i="8" s="1"/>
  <c r="E101" i="8"/>
  <c r="F101" i="8" s="1"/>
  <c r="G101" i="8" s="1"/>
  <c r="E109" i="8"/>
  <c r="F109" i="8" s="1"/>
  <c r="G109" i="8" s="1"/>
  <c r="E117" i="8"/>
  <c r="F117" i="8" s="1"/>
  <c r="G117" i="8" s="1"/>
  <c r="E125" i="8"/>
  <c r="F125" i="8" s="1"/>
  <c r="G125" i="8" s="1"/>
  <c r="E133" i="8"/>
  <c r="F133" i="8" s="1"/>
  <c r="G133" i="8" s="1"/>
  <c r="E141" i="8"/>
  <c r="F141" i="8" s="1"/>
  <c r="G141" i="8" s="1"/>
  <c r="E149" i="8"/>
  <c r="F149" i="8" s="1"/>
  <c r="G149" i="8" s="1"/>
  <c r="E157" i="8"/>
  <c r="F157" i="8" s="1"/>
  <c r="G157" i="8" s="1"/>
  <c r="E165" i="8"/>
  <c r="F165" i="8" s="1"/>
  <c r="G165" i="8" s="1"/>
  <c r="E173" i="8"/>
  <c r="F173" i="8" s="1"/>
  <c r="G173" i="8" s="1"/>
  <c r="E3" i="8"/>
  <c r="F3" i="8" s="1"/>
  <c r="G3" i="8" s="1"/>
  <c r="E12" i="8"/>
  <c r="F12" i="8" s="1"/>
  <c r="G12" i="8" s="1"/>
  <c r="E22" i="8"/>
  <c r="F22" i="8" s="1"/>
  <c r="G22" i="8" s="1"/>
  <c r="E31" i="8"/>
  <c r="F31" i="8" s="1"/>
  <c r="G31" i="8" s="1"/>
  <c r="E40" i="8"/>
  <c r="F40" i="8" s="1"/>
  <c r="G40" i="8" s="1"/>
  <c r="E49" i="8"/>
  <c r="F49" i="8" s="1"/>
  <c r="G49" i="8" s="1"/>
  <c r="E58" i="8"/>
  <c r="F58" i="8" s="1"/>
  <c r="G58" i="8" s="1"/>
  <c r="E67" i="8"/>
  <c r="F67" i="8" s="1"/>
  <c r="G67" i="8" s="1"/>
  <c r="E76" i="8"/>
  <c r="F76" i="8" s="1"/>
  <c r="G76" i="8" s="1"/>
  <c r="E86" i="8"/>
  <c r="F86" i="8" s="1"/>
  <c r="G86" i="8" s="1"/>
  <c r="E95" i="8"/>
  <c r="F95" i="8" s="1"/>
  <c r="G95" i="8" s="1"/>
  <c r="E104" i="8"/>
  <c r="F104" i="8" s="1"/>
  <c r="G104" i="8" s="1"/>
  <c r="E113" i="8"/>
  <c r="F113" i="8" s="1"/>
  <c r="G113" i="8" s="1"/>
  <c r="E122" i="8"/>
  <c r="F122" i="8" s="1"/>
  <c r="G122" i="8" s="1"/>
  <c r="E131" i="8"/>
  <c r="F131" i="8" s="1"/>
  <c r="G131" i="8" s="1"/>
  <c r="E140" i="8"/>
  <c r="F140" i="8" s="1"/>
  <c r="G140" i="8" s="1"/>
  <c r="E150" i="8"/>
  <c r="F150" i="8" s="1"/>
  <c r="G150" i="8" s="1"/>
  <c r="E159" i="8"/>
  <c r="F159" i="8" s="1"/>
  <c r="G159" i="8" s="1"/>
  <c r="E168" i="8"/>
  <c r="F168" i="8" s="1"/>
  <c r="G168" i="8" s="1"/>
  <c r="E177" i="8"/>
  <c r="F177" i="8" s="1"/>
  <c r="G177" i="8" s="1"/>
  <c r="E185" i="8"/>
  <c r="F185" i="8" s="1"/>
  <c r="G185" i="8" s="1"/>
  <c r="E193" i="8"/>
  <c r="F193" i="8" s="1"/>
  <c r="G193" i="8" s="1"/>
  <c r="E201" i="8"/>
  <c r="F201" i="8" s="1"/>
  <c r="G201" i="8" s="1"/>
  <c r="E209" i="8"/>
  <c r="F209" i="8" s="1"/>
  <c r="G209" i="8" s="1"/>
  <c r="E217" i="8"/>
  <c r="F217" i="8" s="1"/>
  <c r="G217" i="8" s="1"/>
  <c r="E225" i="8"/>
  <c r="F225" i="8" s="1"/>
  <c r="G225" i="8" s="1"/>
  <c r="E233" i="8"/>
  <c r="F233" i="8" s="1"/>
  <c r="G233" i="8" s="1"/>
  <c r="E241" i="8"/>
  <c r="F241" i="8" s="1"/>
  <c r="G241" i="8" s="1"/>
  <c r="E249" i="8"/>
  <c r="F249" i="8" s="1"/>
  <c r="G249" i="8" s="1"/>
  <c r="E4" i="8"/>
  <c r="F4" i="8" s="1"/>
  <c r="G4" i="8" s="1"/>
  <c r="E14" i="8"/>
  <c r="F14" i="8" s="1"/>
  <c r="G14" i="8" s="1"/>
  <c r="E23" i="8"/>
  <c r="F23" i="8" s="1"/>
  <c r="G23" i="8" s="1"/>
  <c r="E32" i="8"/>
  <c r="F32" i="8" s="1"/>
  <c r="G32" i="8" s="1"/>
  <c r="E41" i="8"/>
  <c r="F41" i="8" s="1"/>
  <c r="G41" i="8" s="1"/>
  <c r="E50" i="8"/>
  <c r="F50" i="8" s="1"/>
  <c r="G50" i="8" s="1"/>
  <c r="E59" i="8"/>
  <c r="F59" i="8" s="1"/>
  <c r="G59" i="8" s="1"/>
  <c r="E68" i="8"/>
  <c r="F68" i="8" s="1"/>
  <c r="G68" i="8" s="1"/>
  <c r="E78" i="8"/>
  <c r="F78" i="8" s="1"/>
  <c r="G78" i="8" s="1"/>
  <c r="E87" i="8"/>
  <c r="F87" i="8" s="1"/>
  <c r="G87" i="8" s="1"/>
  <c r="E96" i="8"/>
  <c r="F96" i="8" s="1"/>
  <c r="G96" i="8" s="1"/>
  <c r="E105" i="8"/>
  <c r="F105" i="8" s="1"/>
  <c r="G105" i="8" s="1"/>
  <c r="E114" i="8"/>
  <c r="F114" i="8" s="1"/>
  <c r="G114" i="8" s="1"/>
  <c r="E123" i="8"/>
  <c r="F123" i="8" s="1"/>
  <c r="G123" i="8" s="1"/>
  <c r="E132" i="8"/>
  <c r="F132" i="8" s="1"/>
  <c r="G132" i="8" s="1"/>
  <c r="E142" i="8"/>
  <c r="F142" i="8" s="1"/>
  <c r="G142" i="8" s="1"/>
  <c r="E151" i="8"/>
  <c r="F151" i="8" s="1"/>
  <c r="G151" i="8" s="1"/>
  <c r="E160" i="8"/>
  <c r="F160" i="8" s="1"/>
  <c r="G160" i="8" s="1"/>
  <c r="E169" i="8"/>
  <c r="F169" i="8" s="1"/>
  <c r="G169" i="8" s="1"/>
  <c r="E178" i="8"/>
  <c r="F178" i="8" s="1"/>
  <c r="G178" i="8" s="1"/>
  <c r="E186" i="8"/>
  <c r="F186" i="8" s="1"/>
  <c r="G186" i="8" s="1"/>
  <c r="E194" i="8"/>
  <c r="F194" i="8" s="1"/>
  <c r="G194" i="8" s="1"/>
  <c r="E202" i="8"/>
  <c r="F202" i="8" s="1"/>
  <c r="G202" i="8" s="1"/>
  <c r="E210" i="8"/>
  <c r="F210" i="8" s="1"/>
  <c r="G210" i="8" s="1"/>
  <c r="E218" i="8"/>
  <c r="F218" i="8" s="1"/>
  <c r="G218" i="8" s="1"/>
  <c r="E226" i="8"/>
  <c r="F226" i="8" s="1"/>
  <c r="G226" i="8" s="1"/>
  <c r="E234" i="8"/>
  <c r="F234" i="8" s="1"/>
  <c r="G234" i="8" s="1"/>
  <c r="E242" i="8"/>
  <c r="F242" i="8" s="1"/>
  <c r="G242" i="8" s="1"/>
  <c r="E250" i="8"/>
  <c r="F250" i="8" s="1"/>
  <c r="G250" i="8" s="1"/>
  <c r="E8" i="8"/>
  <c r="F8" i="8" s="1"/>
  <c r="G8" i="8" s="1"/>
  <c r="E17" i="8"/>
  <c r="F17" i="8" s="1"/>
  <c r="G17" i="8" s="1"/>
  <c r="E26" i="8"/>
  <c r="F26" i="8" s="1"/>
  <c r="G26" i="8" s="1"/>
  <c r="E35" i="8"/>
  <c r="F35" i="8" s="1"/>
  <c r="G35" i="8" s="1"/>
  <c r="E44" i="8"/>
  <c r="F44" i="8" s="1"/>
  <c r="G44" i="8" s="1"/>
  <c r="E54" i="8"/>
  <c r="F54" i="8" s="1"/>
  <c r="G54" i="8" s="1"/>
  <c r="E63" i="8"/>
  <c r="F63" i="8" s="1"/>
  <c r="G63" i="8" s="1"/>
  <c r="E72" i="8"/>
  <c r="F72" i="8" s="1"/>
  <c r="G72" i="8" s="1"/>
  <c r="E81" i="8"/>
  <c r="F81" i="8" s="1"/>
  <c r="G81" i="8" s="1"/>
  <c r="E90" i="8"/>
  <c r="F90" i="8" s="1"/>
  <c r="G90" i="8" s="1"/>
  <c r="E99" i="8"/>
  <c r="F99" i="8" s="1"/>
  <c r="G99" i="8" s="1"/>
  <c r="E108" i="8"/>
  <c r="F108" i="8" s="1"/>
  <c r="G108" i="8" s="1"/>
  <c r="E118" i="8"/>
  <c r="F118" i="8" s="1"/>
  <c r="G118" i="8" s="1"/>
  <c r="E127" i="8"/>
  <c r="F127" i="8" s="1"/>
  <c r="G127" i="8" s="1"/>
  <c r="E136" i="8"/>
  <c r="F136" i="8" s="1"/>
  <c r="G136" i="8" s="1"/>
  <c r="E145" i="8"/>
  <c r="F145" i="8" s="1"/>
  <c r="G145" i="8" s="1"/>
  <c r="E154" i="8"/>
  <c r="F154" i="8" s="1"/>
  <c r="G154" i="8" s="1"/>
  <c r="E163" i="8"/>
  <c r="F163" i="8" s="1"/>
  <c r="G163" i="8" s="1"/>
  <c r="E172" i="8"/>
  <c r="F172" i="8" s="1"/>
  <c r="G172" i="8" s="1"/>
  <c r="E181" i="8"/>
  <c r="F181" i="8" s="1"/>
  <c r="G181" i="8" s="1"/>
  <c r="E189" i="8"/>
  <c r="F189" i="8" s="1"/>
  <c r="G189" i="8" s="1"/>
  <c r="E197" i="8"/>
  <c r="F197" i="8" s="1"/>
  <c r="G197" i="8" s="1"/>
  <c r="E205" i="8"/>
  <c r="F205" i="8" s="1"/>
  <c r="G205" i="8" s="1"/>
  <c r="E213" i="8"/>
  <c r="F213" i="8" s="1"/>
  <c r="G213" i="8" s="1"/>
  <c r="E221" i="8"/>
  <c r="F221" i="8" s="1"/>
  <c r="G221" i="8" s="1"/>
  <c r="E229" i="8"/>
  <c r="F229" i="8" s="1"/>
  <c r="G229" i="8" s="1"/>
  <c r="E237" i="8"/>
  <c r="F237" i="8" s="1"/>
  <c r="G237" i="8" s="1"/>
  <c r="E245" i="8"/>
  <c r="F245" i="8" s="1"/>
  <c r="G245" i="8" s="1"/>
  <c r="E253" i="8"/>
  <c r="F253" i="8" s="1"/>
  <c r="G253" i="8" s="1"/>
  <c r="E243" i="8"/>
  <c r="F243" i="8" s="1"/>
  <c r="G243" i="8" s="1"/>
  <c r="E230" i="8"/>
  <c r="F230" i="8" s="1"/>
  <c r="G230" i="8" s="1"/>
  <c r="E216" i="8"/>
  <c r="F216" i="8" s="1"/>
  <c r="G216" i="8" s="1"/>
  <c r="E204" i="8"/>
  <c r="F204" i="8" s="1"/>
  <c r="G204" i="8" s="1"/>
  <c r="E191" i="8"/>
  <c r="F191" i="8" s="1"/>
  <c r="G191" i="8" s="1"/>
  <c r="E179" i="8"/>
  <c r="F179" i="8" s="1"/>
  <c r="G179" i="8" s="1"/>
  <c r="E164" i="8"/>
  <c r="F164" i="8" s="1"/>
  <c r="G164" i="8" s="1"/>
  <c r="E148" i="8"/>
  <c r="F148" i="8" s="1"/>
  <c r="G148" i="8" s="1"/>
  <c r="E135" i="8"/>
  <c r="F135" i="8" s="1"/>
  <c r="G135" i="8" s="1"/>
  <c r="E120" i="8"/>
  <c r="F120" i="8" s="1"/>
  <c r="G120" i="8" s="1"/>
  <c r="E106" i="8"/>
  <c r="F106" i="8" s="1"/>
  <c r="G106" i="8" s="1"/>
  <c r="E91" i="8"/>
  <c r="F91" i="8" s="1"/>
  <c r="G91" i="8" s="1"/>
  <c r="E75" i="8"/>
  <c r="F75" i="8" s="1"/>
  <c r="G75" i="8" s="1"/>
  <c r="E62" i="8"/>
  <c r="F62" i="8" s="1"/>
  <c r="G62" i="8" s="1"/>
  <c r="E47" i="8"/>
  <c r="F47" i="8" s="1"/>
  <c r="G47" i="8" s="1"/>
  <c r="E33" i="8"/>
  <c r="F33" i="8" s="1"/>
  <c r="G33" i="8" s="1"/>
  <c r="E18" i="8"/>
  <c r="F18" i="8" s="1"/>
  <c r="G18" i="8" s="1"/>
  <c r="E247" i="8"/>
  <c r="F247" i="8" s="1"/>
  <c r="G247" i="8" s="1"/>
  <c r="E235" i="8"/>
  <c r="F235" i="8" s="1"/>
  <c r="G235" i="8" s="1"/>
  <c r="E222" i="8"/>
  <c r="F222" i="8" s="1"/>
  <c r="G222" i="8" s="1"/>
  <c r="E208" i="8"/>
  <c r="F208" i="8" s="1"/>
  <c r="G208" i="8" s="1"/>
  <c r="E196" i="8"/>
  <c r="F196" i="8" s="1"/>
  <c r="G196" i="8" s="1"/>
  <c r="E183" i="8"/>
  <c r="F183" i="8" s="1"/>
  <c r="G183" i="8" s="1"/>
  <c r="E170" i="8"/>
  <c r="F170" i="8" s="1"/>
  <c r="G170" i="8" s="1"/>
  <c r="E155" i="8"/>
  <c r="F155" i="8" s="1"/>
  <c r="G155" i="8" s="1"/>
  <c r="E139" i="8"/>
  <c r="F139" i="8" s="1"/>
  <c r="G139" i="8" s="1"/>
  <c r="E126" i="8"/>
  <c r="F126" i="8" s="1"/>
  <c r="G126" i="8" s="1"/>
  <c r="E111" i="8"/>
  <c r="F111" i="8" s="1"/>
  <c r="G111" i="8" s="1"/>
  <c r="E97" i="8"/>
  <c r="F97" i="8" s="1"/>
  <c r="G97" i="8" s="1"/>
  <c r="E82" i="8"/>
  <c r="F82" i="8" s="1"/>
  <c r="G82" i="8" s="1"/>
  <c r="E66" i="8"/>
  <c r="F66" i="8" s="1"/>
  <c r="G66" i="8" s="1"/>
  <c r="E52" i="8"/>
  <c r="F52" i="8" s="1"/>
  <c r="G52" i="8" s="1"/>
  <c r="E38" i="8"/>
  <c r="F38" i="8" s="1"/>
  <c r="G38" i="8" s="1"/>
  <c r="E24" i="8"/>
  <c r="F24" i="8" s="1"/>
  <c r="G24" i="8" s="1"/>
  <c r="E9" i="8"/>
  <c r="F9" i="8" s="1"/>
  <c r="G9" i="8" s="1"/>
  <c r="E246" i="8"/>
  <c r="F246" i="8" s="1"/>
  <c r="G246" i="8" s="1"/>
  <c r="E232" i="8"/>
  <c r="F232" i="8" s="1"/>
  <c r="G232" i="8" s="1"/>
  <c r="E220" i="8"/>
  <c r="F220" i="8" s="1"/>
  <c r="G220" i="8" s="1"/>
  <c r="E207" i="8"/>
  <c r="F207" i="8" s="1"/>
  <c r="G207" i="8" s="1"/>
  <c r="E195" i="8"/>
  <c r="F195" i="8" s="1"/>
  <c r="G195" i="8" s="1"/>
  <c r="E182" i="8"/>
  <c r="F182" i="8" s="1"/>
  <c r="G182" i="8" s="1"/>
  <c r="E167" i="8"/>
  <c r="F167" i="8" s="1"/>
  <c r="G167" i="8" s="1"/>
  <c r="E153" i="8"/>
  <c r="F153" i="8" s="1"/>
  <c r="G153" i="8" s="1"/>
  <c r="E138" i="8"/>
  <c r="F138" i="8" s="1"/>
  <c r="G138" i="8" s="1"/>
  <c r="E124" i="8"/>
  <c r="F124" i="8" s="1"/>
  <c r="G124" i="8" s="1"/>
  <c r="E110" i="8"/>
  <c r="F110" i="8" s="1"/>
  <c r="G110" i="8" s="1"/>
  <c r="E94" i="8"/>
  <c r="F94" i="8" s="1"/>
  <c r="G94" i="8" s="1"/>
  <c r="E80" i="8"/>
  <c r="F80" i="8" s="1"/>
  <c r="G80" i="8" s="1"/>
  <c r="E65" i="8"/>
  <c r="F65" i="8" s="1"/>
  <c r="G65" i="8" s="1"/>
  <c r="E51" i="8"/>
  <c r="F51" i="8" s="1"/>
  <c r="G51" i="8" s="1"/>
  <c r="E36" i="8"/>
  <c r="F36" i="8" s="1"/>
  <c r="G36" i="8" s="1"/>
  <c r="E20" i="8"/>
  <c r="F20" i="8" s="1"/>
  <c r="G20" i="8" s="1"/>
  <c r="E7" i="8"/>
  <c r="F7" i="8" s="1"/>
  <c r="G7" i="8" s="1"/>
  <c r="E2" i="3"/>
  <c r="F2" i="3" s="1"/>
  <c r="G2" i="3" s="1"/>
  <c r="E240" i="3"/>
  <c r="F240" i="3" s="1"/>
  <c r="G240" i="3" s="1"/>
  <c r="E224" i="3"/>
  <c r="F224" i="3" s="1"/>
  <c r="G224" i="3" s="1"/>
  <c r="E208" i="3"/>
  <c r="F208" i="3" s="1"/>
  <c r="G208" i="3" s="1"/>
  <c r="E200" i="3"/>
  <c r="F200" i="3" s="1"/>
  <c r="G200" i="3" s="1"/>
  <c r="E192" i="3"/>
  <c r="F192" i="3" s="1"/>
  <c r="G192" i="3" s="1"/>
  <c r="E184" i="3"/>
  <c r="F184" i="3" s="1"/>
  <c r="G184" i="3" s="1"/>
  <c r="E176" i="3"/>
  <c r="F176" i="3" s="1"/>
  <c r="G176" i="3" s="1"/>
  <c r="E168" i="3"/>
  <c r="F168" i="3" s="1"/>
  <c r="G168" i="3" s="1"/>
  <c r="E160" i="3"/>
  <c r="F160" i="3" s="1"/>
  <c r="G160" i="3" s="1"/>
  <c r="E152" i="3"/>
  <c r="F152" i="3" s="1"/>
  <c r="G152" i="3" s="1"/>
  <c r="E144" i="3"/>
  <c r="F144" i="3" s="1"/>
  <c r="G144" i="3" s="1"/>
  <c r="E136" i="3"/>
  <c r="F136" i="3" s="1"/>
  <c r="G136" i="3" s="1"/>
  <c r="E128" i="3"/>
  <c r="F128" i="3" s="1"/>
  <c r="G128" i="3" s="1"/>
  <c r="E112" i="3"/>
  <c r="F112" i="3" s="1"/>
  <c r="G112" i="3" s="1"/>
  <c r="E96" i="3"/>
  <c r="F96" i="3" s="1"/>
  <c r="G96" i="3" s="1"/>
  <c r="E88" i="3"/>
  <c r="F88" i="3" s="1"/>
  <c r="G88" i="3" s="1"/>
  <c r="E80" i="3"/>
  <c r="F80" i="3" s="1"/>
  <c r="G80" i="3" s="1"/>
  <c r="E72" i="3"/>
  <c r="F72" i="3" s="1"/>
  <c r="G72" i="3" s="1"/>
  <c r="E64" i="3"/>
  <c r="F64" i="3" s="1"/>
  <c r="G64" i="3" s="1"/>
  <c r="E56" i="3"/>
  <c r="F56" i="3" s="1"/>
  <c r="G56" i="3" s="1"/>
  <c r="E48" i="3"/>
  <c r="F48" i="3" s="1"/>
  <c r="G48" i="3" s="1"/>
  <c r="E40" i="3"/>
  <c r="F40" i="3" s="1"/>
  <c r="G40" i="3" s="1"/>
  <c r="E32" i="3"/>
  <c r="F32" i="3" s="1"/>
  <c r="G32" i="3" s="1"/>
  <c r="E24" i="3"/>
  <c r="F24" i="3" s="1"/>
  <c r="G24" i="3" s="1"/>
  <c r="E16" i="3"/>
  <c r="F16" i="3" s="1"/>
  <c r="G16" i="3" s="1"/>
  <c r="E8" i="3"/>
  <c r="F8" i="3" s="1"/>
  <c r="G8" i="3" s="1"/>
  <c r="E216" i="3"/>
  <c r="F216" i="3" s="1"/>
  <c r="G216" i="3" s="1"/>
  <c r="E104" i="3"/>
  <c r="F104" i="3" s="1"/>
  <c r="G104" i="3" s="1"/>
  <c r="E247" i="3"/>
  <c r="F247" i="3" s="1"/>
  <c r="G247" i="3" s="1"/>
  <c r="E239" i="3"/>
  <c r="F239" i="3" s="1"/>
  <c r="G239" i="3" s="1"/>
  <c r="E231" i="3"/>
  <c r="F231" i="3" s="1"/>
  <c r="G231" i="3" s="1"/>
  <c r="E223" i="3"/>
  <c r="F223" i="3" s="1"/>
  <c r="G223" i="3" s="1"/>
  <c r="E215" i="3"/>
  <c r="F215" i="3" s="1"/>
  <c r="G215" i="3" s="1"/>
  <c r="E207" i="3"/>
  <c r="F207" i="3" s="1"/>
  <c r="G207" i="3" s="1"/>
  <c r="E199" i="3"/>
  <c r="F199" i="3" s="1"/>
  <c r="G199" i="3" s="1"/>
  <c r="E191" i="3"/>
  <c r="F191" i="3" s="1"/>
  <c r="G191" i="3" s="1"/>
  <c r="E183" i="3"/>
  <c r="F183" i="3" s="1"/>
  <c r="G183" i="3" s="1"/>
  <c r="E175" i="3"/>
  <c r="F175" i="3" s="1"/>
  <c r="G175" i="3" s="1"/>
  <c r="E167" i="3"/>
  <c r="F167" i="3" s="1"/>
  <c r="G167" i="3" s="1"/>
  <c r="E159" i="3"/>
  <c r="F159" i="3" s="1"/>
  <c r="G159" i="3" s="1"/>
  <c r="E151" i="3"/>
  <c r="F151" i="3" s="1"/>
  <c r="G151" i="3" s="1"/>
  <c r="E143" i="3"/>
  <c r="F143" i="3" s="1"/>
  <c r="G143" i="3" s="1"/>
  <c r="E135" i="3"/>
  <c r="F135" i="3" s="1"/>
  <c r="G135" i="3" s="1"/>
  <c r="E127" i="3"/>
  <c r="F127" i="3" s="1"/>
  <c r="G127" i="3" s="1"/>
  <c r="E119" i="3"/>
  <c r="F119" i="3" s="1"/>
  <c r="G119" i="3" s="1"/>
  <c r="E111" i="3"/>
  <c r="F111" i="3" s="1"/>
  <c r="G111" i="3" s="1"/>
  <c r="E103" i="3"/>
  <c r="F103" i="3" s="1"/>
  <c r="G103" i="3" s="1"/>
  <c r="E95" i="3"/>
  <c r="F95" i="3" s="1"/>
  <c r="G95" i="3" s="1"/>
  <c r="E87" i="3"/>
  <c r="F87" i="3" s="1"/>
  <c r="G87" i="3" s="1"/>
  <c r="E79" i="3"/>
  <c r="F79" i="3" s="1"/>
  <c r="G79" i="3" s="1"/>
  <c r="E71" i="3"/>
  <c r="F71" i="3" s="1"/>
  <c r="G71" i="3" s="1"/>
  <c r="E63" i="3"/>
  <c r="F63" i="3" s="1"/>
  <c r="G63" i="3" s="1"/>
  <c r="E55" i="3"/>
  <c r="F55" i="3" s="1"/>
  <c r="G55" i="3" s="1"/>
  <c r="E47" i="3"/>
  <c r="F47" i="3" s="1"/>
  <c r="G47" i="3" s="1"/>
  <c r="E39" i="3"/>
  <c r="F39" i="3" s="1"/>
  <c r="G39" i="3" s="1"/>
  <c r="E31" i="3"/>
  <c r="F31" i="3" s="1"/>
  <c r="G31" i="3" s="1"/>
  <c r="E23" i="3"/>
  <c r="F23" i="3" s="1"/>
  <c r="G23" i="3" s="1"/>
  <c r="E15" i="3"/>
  <c r="F15" i="3" s="1"/>
  <c r="G15" i="3" s="1"/>
  <c r="E7" i="3"/>
  <c r="F7" i="3" s="1"/>
  <c r="G7" i="3" s="1"/>
  <c r="E246" i="3"/>
  <c r="F246" i="3" s="1"/>
  <c r="G246" i="3" s="1"/>
  <c r="E238" i="3"/>
  <c r="F238" i="3" s="1"/>
  <c r="G238" i="3" s="1"/>
  <c r="E230" i="3"/>
  <c r="F230" i="3" s="1"/>
  <c r="G230" i="3" s="1"/>
  <c r="E222" i="3"/>
  <c r="F222" i="3" s="1"/>
  <c r="G222" i="3" s="1"/>
  <c r="E214" i="3"/>
  <c r="F214" i="3" s="1"/>
  <c r="G214" i="3" s="1"/>
  <c r="E206" i="3"/>
  <c r="F206" i="3" s="1"/>
  <c r="G206" i="3" s="1"/>
  <c r="E198" i="3"/>
  <c r="F198" i="3" s="1"/>
  <c r="G198" i="3" s="1"/>
  <c r="E190" i="3"/>
  <c r="F190" i="3" s="1"/>
  <c r="G190" i="3" s="1"/>
  <c r="E182" i="3"/>
  <c r="F182" i="3" s="1"/>
  <c r="G182" i="3" s="1"/>
  <c r="E174" i="3"/>
  <c r="F174" i="3" s="1"/>
  <c r="G174" i="3" s="1"/>
  <c r="E166" i="3"/>
  <c r="F166" i="3" s="1"/>
  <c r="G166" i="3" s="1"/>
  <c r="E158" i="3"/>
  <c r="F158" i="3" s="1"/>
  <c r="G158" i="3" s="1"/>
  <c r="E150" i="3"/>
  <c r="F150" i="3" s="1"/>
  <c r="G150" i="3" s="1"/>
  <c r="E142" i="3"/>
  <c r="F142" i="3" s="1"/>
  <c r="G142" i="3" s="1"/>
  <c r="E134" i="3"/>
  <c r="F134" i="3" s="1"/>
  <c r="G134" i="3" s="1"/>
  <c r="E126" i="3"/>
  <c r="F126" i="3" s="1"/>
  <c r="G126" i="3" s="1"/>
  <c r="E118" i="3"/>
  <c r="F118" i="3" s="1"/>
  <c r="G118" i="3" s="1"/>
  <c r="E110" i="3"/>
  <c r="F110" i="3" s="1"/>
  <c r="G110" i="3" s="1"/>
  <c r="E102" i="3"/>
  <c r="F102" i="3" s="1"/>
  <c r="G102" i="3" s="1"/>
  <c r="E94" i="3"/>
  <c r="F94" i="3" s="1"/>
  <c r="G94" i="3" s="1"/>
  <c r="E86" i="3"/>
  <c r="F86" i="3" s="1"/>
  <c r="G86" i="3" s="1"/>
  <c r="E78" i="3"/>
  <c r="F78" i="3" s="1"/>
  <c r="G78" i="3" s="1"/>
  <c r="E70" i="3"/>
  <c r="F70" i="3" s="1"/>
  <c r="G70" i="3" s="1"/>
  <c r="E62" i="3"/>
  <c r="F62" i="3" s="1"/>
  <c r="G62" i="3" s="1"/>
  <c r="E54" i="3"/>
  <c r="F54" i="3" s="1"/>
  <c r="G54" i="3" s="1"/>
  <c r="E46" i="3"/>
  <c r="F46" i="3" s="1"/>
  <c r="G46" i="3" s="1"/>
  <c r="E38" i="3"/>
  <c r="F38" i="3" s="1"/>
  <c r="G38" i="3" s="1"/>
  <c r="E30" i="3"/>
  <c r="F30" i="3" s="1"/>
  <c r="G30" i="3" s="1"/>
  <c r="E22" i="3"/>
  <c r="F22" i="3" s="1"/>
  <c r="G22" i="3" s="1"/>
  <c r="E14" i="3"/>
  <c r="F14" i="3" s="1"/>
  <c r="G14" i="3" s="1"/>
  <c r="E6" i="3"/>
  <c r="F6" i="3" s="1"/>
  <c r="G6" i="3" s="1"/>
  <c r="E232" i="3"/>
  <c r="F232" i="3" s="1"/>
  <c r="G232" i="3" s="1"/>
  <c r="E120" i="3"/>
  <c r="F120" i="3" s="1"/>
  <c r="G120" i="3" s="1"/>
  <c r="E245" i="3"/>
  <c r="F245" i="3" s="1"/>
  <c r="G245" i="3" s="1"/>
  <c r="E237" i="3"/>
  <c r="F237" i="3" s="1"/>
  <c r="G237" i="3" s="1"/>
  <c r="E229" i="3"/>
  <c r="F229" i="3" s="1"/>
  <c r="G229" i="3" s="1"/>
  <c r="E221" i="3"/>
  <c r="F221" i="3" s="1"/>
  <c r="G221" i="3" s="1"/>
  <c r="E213" i="3"/>
  <c r="F213" i="3" s="1"/>
  <c r="G213" i="3" s="1"/>
  <c r="E205" i="3"/>
  <c r="F205" i="3" s="1"/>
  <c r="G205" i="3" s="1"/>
  <c r="E197" i="3"/>
  <c r="F197" i="3" s="1"/>
  <c r="G197" i="3" s="1"/>
  <c r="E189" i="3"/>
  <c r="F189" i="3" s="1"/>
  <c r="G189" i="3" s="1"/>
  <c r="E181" i="3"/>
  <c r="F181" i="3" s="1"/>
  <c r="G181" i="3" s="1"/>
  <c r="E173" i="3"/>
  <c r="F173" i="3" s="1"/>
  <c r="G173" i="3" s="1"/>
  <c r="E165" i="3"/>
  <c r="F165" i="3" s="1"/>
  <c r="G165" i="3" s="1"/>
  <c r="E157" i="3"/>
  <c r="F157" i="3" s="1"/>
  <c r="G157" i="3" s="1"/>
  <c r="E149" i="3"/>
  <c r="F149" i="3" s="1"/>
  <c r="G149" i="3" s="1"/>
  <c r="E141" i="3"/>
  <c r="F141" i="3" s="1"/>
  <c r="G141" i="3" s="1"/>
  <c r="E133" i="3"/>
  <c r="F133" i="3" s="1"/>
  <c r="G133" i="3" s="1"/>
  <c r="E125" i="3"/>
  <c r="F125" i="3" s="1"/>
  <c r="G125" i="3" s="1"/>
  <c r="E117" i="3"/>
  <c r="F117" i="3" s="1"/>
  <c r="G117" i="3" s="1"/>
  <c r="E109" i="3"/>
  <c r="F109" i="3" s="1"/>
  <c r="G109" i="3" s="1"/>
  <c r="E101" i="3"/>
  <c r="F101" i="3" s="1"/>
  <c r="G101" i="3" s="1"/>
  <c r="E93" i="3"/>
  <c r="F93" i="3" s="1"/>
  <c r="G93" i="3" s="1"/>
  <c r="E85" i="3"/>
  <c r="F85" i="3" s="1"/>
  <c r="G85" i="3" s="1"/>
  <c r="E77" i="3"/>
  <c r="F77" i="3" s="1"/>
  <c r="G77" i="3" s="1"/>
  <c r="E69" i="3"/>
  <c r="F69" i="3" s="1"/>
  <c r="G69" i="3" s="1"/>
  <c r="E61" i="3"/>
  <c r="F61" i="3" s="1"/>
  <c r="G61" i="3" s="1"/>
  <c r="E53" i="3"/>
  <c r="F53" i="3" s="1"/>
  <c r="G53" i="3" s="1"/>
  <c r="E45" i="3"/>
  <c r="F45" i="3" s="1"/>
  <c r="G45" i="3" s="1"/>
  <c r="E37" i="3"/>
  <c r="F37" i="3" s="1"/>
  <c r="G37" i="3" s="1"/>
  <c r="E29" i="3"/>
  <c r="F29" i="3" s="1"/>
  <c r="G29" i="3" s="1"/>
  <c r="E21" i="3"/>
  <c r="F21" i="3" s="1"/>
  <c r="G21" i="3" s="1"/>
  <c r="E13" i="3"/>
  <c r="F13" i="3" s="1"/>
  <c r="G13" i="3" s="1"/>
  <c r="D242" i="1"/>
  <c r="E5" i="1" l="1"/>
  <c r="F5" i="1" s="1"/>
  <c r="G5" i="1" s="1"/>
  <c r="E13" i="1"/>
  <c r="F13" i="1" s="1"/>
  <c r="G13" i="1" s="1"/>
  <c r="E21" i="1"/>
  <c r="F21" i="1" s="1"/>
  <c r="G21" i="1" s="1"/>
  <c r="E29" i="1"/>
  <c r="F29" i="1" s="1"/>
  <c r="G29" i="1" s="1"/>
  <c r="E37" i="1"/>
  <c r="F37" i="1" s="1"/>
  <c r="G37" i="1" s="1"/>
  <c r="E45" i="1"/>
  <c r="F45" i="1" s="1"/>
  <c r="G45" i="1" s="1"/>
  <c r="E53" i="1"/>
  <c r="F53" i="1" s="1"/>
  <c r="G53" i="1" s="1"/>
  <c r="E61" i="1"/>
  <c r="F61" i="1" s="1"/>
  <c r="G61" i="1" s="1"/>
  <c r="E69" i="1"/>
  <c r="F69" i="1" s="1"/>
  <c r="G69" i="1" s="1"/>
  <c r="E77" i="1"/>
  <c r="F77" i="1" s="1"/>
  <c r="G77" i="1" s="1"/>
  <c r="E85" i="1"/>
  <c r="F85" i="1" s="1"/>
  <c r="G85" i="1" s="1"/>
  <c r="E93" i="1"/>
  <c r="F93" i="1" s="1"/>
  <c r="G93" i="1" s="1"/>
  <c r="E101" i="1"/>
  <c r="F101" i="1" s="1"/>
  <c r="G101" i="1" s="1"/>
  <c r="E8" i="1"/>
  <c r="F8" i="1" s="1"/>
  <c r="G8" i="1" s="1"/>
  <c r="E16" i="1"/>
  <c r="F16" i="1" s="1"/>
  <c r="G16" i="1" s="1"/>
  <c r="E24" i="1"/>
  <c r="F24" i="1" s="1"/>
  <c r="G24" i="1" s="1"/>
  <c r="E32" i="1"/>
  <c r="F32" i="1" s="1"/>
  <c r="G32" i="1" s="1"/>
  <c r="E40" i="1"/>
  <c r="F40" i="1" s="1"/>
  <c r="G40" i="1" s="1"/>
  <c r="E48" i="1"/>
  <c r="F48" i="1" s="1"/>
  <c r="G48" i="1" s="1"/>
  <c r="E56" i="1"/>
  <c r="F56" i="1" s="1"/>
  <c r="G56" i="1" s="1"/>
  <c r="E64" i="1"/>
  <c r="F64" i="1" s="1"/>
  <c r="G64" i="1" s="1"/>
  <c r="E72" i="1"/>
  <c r="F72" i="1" s="1"/>
  <c r="G72" i="1" s="1"/>
  <c r="E80" i="1"/>
  <c r="F80" i="1" s="1"/>
  <c r="G80" i="1" s="1"/>
  <c r="E88" i="1"/>
  <c r="F88" i="1" s="1"/>
  <c r="G88" i="1" s="1"/>
  <c r="E96" i="1"/>
  <c r="F96" i="1" s="1"/>
  <c r="G96" i="1" s="1"/>
  <c r="E104" i="1"/>
  <c r="F104" i="1" s="1"/>
  <c r="G104" i="1" s="1"/>
  <c r="E112" i="1"/>
  <c r="F112" i="1" s="1"/>
  <c r="G112" i="1" s="1"/>
  <c r="E120" i="1"/>
  <c r="F120" i="1" s="1"/>
  <c r="G120" i="1" s="1"/>
  <c r="E128" i="1"/>
  <c r="F128" i="1" s="1"/>
  <c r="G128" i="1" s="1"/>
  <c r="E136" i="1"/>
  <c r="F136" i="1" s="1"/>
  <c r="G136" i="1" s="1"/>
  <c r="E144" i="1"/>
  <c r="F144" i="1" s="1"/>
  <c r="G144" i="1" s="1"/>
  <c r="E152" i="1"/>
  <c r="F152" i="1" s="1"/>
  <c r="G152" i="1" s="1"/>
  <c r="E160" i="1"/>
  <c r="F160" i="1" s="1"/>
  <c r="G160" i="1" s="1"/>
  <c r="E168" i="1"/>
  <c r="F168" i="1" s="1"/>
  <c r="G168" i="1" s="1"/>
  <c r="E176" i="1"/>
  <c r="F176" i="1" s="1"/>
  <c r="G176" i="1" s="1"/>
  <c r="E184" i="1"/>
  <c r="F184" i="1" s="1"/>
  <c r="G184" i="1" s="1"/>
  <c r="E192" i="1"/>
  <c r="F192" i="1" s="1"/>
  <c r="G192" i="1" s="1"/>
  <c r="E200" i="1"/>
  <c r="F200" i="1" s="1"/>
  <c r="G200" i="1" s="1"/>
  <c r="E208" i="1"/>
  <c r="F208" i="1" s="1"/>
  <c r="G208" i="1" s="1"/>
  <c r="E216" i="1"/>
  <c r="F216" i="1" s="1"/>
  <c r="G216" i="1" s="1"/>
  <c r="E224" i="1"/>
  <c r="F224" i="1" s="1"/>
  <c r="G224" i="1" s="1"/>
  <c r="E232" i="1"/>
  <c r="F232" i="1" s="1"/>
  <c r="G232" i="1" s="1"/>
  <c r="E240" i="1"/>
  <c r="F240" i="1" s="1"/>
  <c r="G240" i="1" s="1"/>
  <c r="E4" i="1"/>
  <c r="F4" i="1" s="1"/>
  <c r="G4" i="1" s="1"/>
  <c r="E15" i="1"/>
  <c r="F15" i="1" s="1"/>
  <c r="G15" i="1" s="1"/>
  <c r="E26" i="1"/>
  <c r="F26" i="1" s="1"/>
  <c r="G26" i="1" s="1"/>
  <c r="E36" i="1"/>
  <c r="F36" i="1" s="1"/>
  <c r="G36" i="1" s="1"/>
  <c r="E47" i="1"/>
  <c r="F47" i="1" s="1"/>
  <c r="G47" i="1" s="1"/>
  <c r="E58" i="1"/>
  <c r="F58" i="1" s="1"/>
  <c r="G58" i="1" s="1"/>
  <c r="E68" i="1"/>
  <c r="F68" i="1" s="1"/>
  <c r="G68" i="1" s="1"/>
  <c r="E79" i="1"/>
  <c r="F79" i="1" s="1"/>
  <c r="G79" i="1" s="1"/>
  <c r="E90" i="1"/>
  <c r="F90" i="1" s="1"/>
  <c r="G90" i="1" s="1"/>
  <c r="E100" i="1"/>
  <c r="F100" i="1" s="1"/>
  <c r="G100" i="1" s="1"/>
  <c r="E110" i="1"/>
  <c r="F110" i="1" s="1"/>
  <c r="G110" i="1" s="1"/>
  <c r="E119" i="1"/>
  <c r="F119" i="1" s="1"/>
  <c r="G119" i="1" s="1"/>
  <c r="E129" i="1"/>
  <c r="F129" i="1" s="1"/>
  <c r="G129" i="1" s="1"/>
  <c r="E138" i="1"/>
  <c r="F138" i="1" s="1"/>
  <c r="G138" i="1" s="1"/>
  <c r="E147" i="1"/>
  <c r="F147" i="1" s="1"/>
  <c r="G147" i="1" s="1"/>
  <c r="E156" i="1"/>
  <c r="F156" i="1" s="1"/>
  <c r="G156" i="1" s="1"/>
  <c r="E165" i="1"/>
  <c r="F165" i="1" s="1"/>
  <c r="G165" i="1" s="1"/>
  <c r="E174" i="1"/>
  <c r="F174" i="1" s="1"/>
  <c r="G174" i="1" s="1"/>
  <c r="E183" i="1"/>
  <c r="F183" i="1" s="1"/>
  <c r="G183" i="1" s="1"/>
  <c r="E193" i="1"/>
  <c r="F193" i="1" s="1"/>
  <c r="G193" i="1" s="1"/>
  <c r="E202" i="1"/>
  <c r="F202" i="1" s="1"/>
  <c r="G202" i="1" s="1"/>
  <c r="E211" i="1"/>
  <c r="F211" i="1" s="1"/>
  <c r="G211" i="1" s="1"/>
  <c r="E220" i="1"/>
  <c r="F220" i="1" s="1"/>
  <c r="G220" i="1" s="1"/>
  <c r="E229" i="1"/>
  <c r="F229" i="1" s="1"/>
  <c r="G229" i="1" s="1"/>
  <c r="E238" i="1"/>
  <c r="F238" i="1" s="1"/>
  <c r="G238" i="1" s="1"/>
  <c r="E9" i="1"/>
  <c r="F9" i="1" s="1"/>
  <c r="G9" i="1" s="1"/>
  <c r="E30" i="1"/>
  <c r="F30" i="1" s="1"/>
  <c r="G30" i="1" s="1"/>
  <c r="E62" i="1"/>
  <c r="F62" i="1" s="1"/>
  <c r="G62" i="1" s="1"/>
  <c r="E94" i="1"/>
  <c r="F94" i="1" s="1"/>
  <c r="G94" i="1" s="1"/>
  <c r="E123" i="1"/>
  <c r="F123" i="1" s="1"/>
  <c r="G123" i="1" s="1"/>
  <c r="E150" i="1"/>
  <c r="F150" i="1" s="1"/>
  <c r="G150" i="1" s="1"/>
  <c r="E169" i="1"/>
  <c r="F169" i="1" s="1"/>
  <c r="G169" i="1" s="1"/>
  <c r="E196" i="1"/>
  <c r="F196" i="1" s="1"/>
  <c r="G196" i="1" s="1"/>
  <c r="E214" i="1"/>
  <c r="F214" i="1" s="1"/>
  <c r="G214" i="1" s="1"/>
  <c r="E223" i="1"/>
  <c r="F223" i="1" s="1"/>
  <c r="G223" i="1" s="1"/>
  <c r="E6" i="1"/>
  <c r="F6" i="1" s="1"/>
  <c r="G6" i="1" s="1"/>
  <c r="E17" i="1"/>
  <c r="F17" i="1" s="1"/>
  <c r="G17" i="1" s="1"/>
  <c r="E27" i="1"/>
  <c r="F27" i="1" s="1"/>
  <c r="G27" i="1" s="1"/>
  <c r="E38" i="1"/>
  <c r="F38" i="1" s="1"/>
  <c r="G38" i="1" s="1"/>
  <c r="E49" i="1"/>
  <c r="F49" i="1" s="1"/>
  <c r="G49" i="1" s="1"/>
  <c r="E59" i="1"/>
  <c r="F59" i="1" s="1"/>
  <c r="G59" i="1" s="1"/>
  <c r="E70" i="1"/>
  <c r="F70" i="1" s="1"/>
  <c r="G70" i="1" s="1"/>
  <c r="E81" i="1"/>
  <c r="F81" i="1" s="1"/>
  <c r="G81" i="1" s="1"/>
  <c r="E91" i="1"/>
  <c r="F91" i="1" s="1"/>
  <c r="G91" i="1" s="1"/>
  <c r="E102" i="1"/>
  <c r="F102" i="1" s="1"/>
  <c r="G102" i="1" s="1"/>
  <c r="E111" i="1"/>
  <c r="F111" i="1" s="1"/>
  <c r="G111" i="1" s="1"/>
  <c r="E121" i="1"/>
  <c r="F121" i="1" s="1"/>
  <c r="G121" i="1" s="1"/>
  <c r="E130" i="1"/>
  <c r="F130" i="1" s="1"/>
  <c r="G130" i="1" s="1"/>
  <c r="E139" i="1"/>
  <c r="F139" i="1" s="1"/>
  <c r="G139" i="1" s="1"/>
  <c r="E148" i="1"/>
  <c r="F148" i="1" s="1"/>
  <c r="G148" i="1" s="1"/>
  <c r="E157" i="1"/>
  <c r="F157" i="1" s="1"/>
  <c r="G157" i="1" s="1"/>
  <c r="E166" i="1"/>
  <c r="F166" i="1" s="1"/>
  <c r="G166" i="1" s="1"/>
  <c r="E175" i="1"/>
  <c r="F175" i="1" s="1"/>
  <c r="G175" i="1" s="1"/>
  <c r="E185" i="1"/>
  <c r="F185" i="1" s="1"/>
  <c r="G185" i="1" s="1"/>
  <c r="E194" i="1"/>
  <c r="F194" i="1" s="1"/>
  <c r="G194" i="1" s="1"/>
  <c r="E203" i="1"/>
  <c r="F203" i="1" s="1"/>
  <c r="G203" i="1" s="1"/>
  <c r="E212" i="1"/>
  <c r="F212" i="1" s="1"/>
  <c r="G212" i="1" s="1"/>
  <c r="E221" i="1"/>
  <c r="F221" i="1" s="1"/>
  <c r="G221" i="1" s="1"/>
  <c r="E230" i="1"/>
  <c r="F230" i="1" s="1"/>
  <c r="G230" i="1" s="1"/>
  <c r="E239" i="1"/>
  <c r="F239" i="1" s="1"/>
  <c r="G239" i="1" s="1"/>
  <c r="E18" i="1"/>
  <c r="F18" i="1" s="1"/>
  <c r="G18" i="1" s="1"/>
  <c r="E28" i="1"/>
  <c r="F28" i="1" s="1"/>
  <c r="G28" i="1" s="1"/>
  <c r="E39" i="1"/>
  <c r="F39" i="1" s="1"/>
  <c r="G39" i="1" s="1"/>
  <c r="E50" i="1"/>
  <c r="F50" i="1" s="1"/>
  <c r="G50" i="1" s="1"/>
  <c r="E60" i="1"/>
  <c r="F60" i="1" s="1"/>
  <c r="G60" i="1" s="1"/>
  <c r="E71" i="1"/>
  <c r="F71" i="1" s="1"/>
  <c r="G71" i="1" s="1"/>
  <c r="E82" i="1"/>
  <c r="F82" i="1" s="1"/>
  <c r="G82" i="1" s="1"/>
  <c r="E92" i="1"/>
  <c r="F92" i="1" s="1"/>
  <c r="G92" i="1" s="1"/>
  <c r="E103" i="1"/>
  <c r="F103" i="1" s="1"/>
  <c r="G103" i="1" s="1"/>
  <c r="E113" i="1"/>
  <c r="F113" i="1" s="1"/>
  <c r="G113" i="1" s="1"/>
  <c r="E122" i="1"/>
  <c r="F122" i="1" s="1"/>
  <c r="G122" i="1" s="1"/>
  <c r="E131" i="1"/>
  <c r="F131" i="1" s="1"/>
  <c r="G131" i="1" s="1"/>
  <c r="E140" i="1"/>
  <c r="F140" i="1" s="1"/>
  <c r="G140" i="1" s="1"/>
  <c r="E149" i="1"/>
  <c r="F149" i="1" s="1"/>
  <c r="G149" i="1" s="1"/>
  <c r="E158" i="1"/>
  <c r="F158" i="1" s="1"/>
  <c r="G158" i="1" s="1"/>
  <c r="E167" i="1"/>
  <c r="F167" i="1" s="1"/>
  <c r="G167" i="1" s="1"/>
  <c r="E177" i="1"/>
  <c r="F177" i="1" s="1"/>
  <c r="G177" i="1" s="1"/>
  <c r="E186" i="1"/>
  <c r="F186" i="1" s="1"/>
  <c r="G186" i="1" s="1"/>
  <c r="E195" i="1"/>
  <c r="F195" i="1" s="1"/>
  <c r="G195" i="1" s="1"/>
  <c r="E204" i="1"/>
  <c r="F204" i="1" s="1"/>
  <c r="G204" i="1" s="1"/>
  <c r="E213" i="1"/>
  <c r="F213" i="1" s="1"/>
  <c r="G213" i="1" s="1"/>
  <c r="E222" i="1"/>
  <c r="F222" i="1" s="1"/>
  <c r="G222" i="1" s="1"/>
  <c r="E231" i="1"/>
  <c r="F231" i="1" s="1"/>
  <c r="G231" i="1" s="1"/>
  <c r="E19" i="1"/>
  <c r="F19" i="1" s="1"/>
  <c r="G19" i="1" s="1"/>
  <c r="E51" i="1"/>
  <c r="F51" i="1" s="1"/>
  <c r="G51" i="1" s="1"/>
  <c r="E83" i="1"/>
  <c r="F83" i="1" s="1"/>
  <c r="G83" i="1" s="1"/>
  <c r="E114" i="1"/>
  <c r="F114" i="1" s="1"/>
  <c r="G114" i="1" s="1"/>
  <c r="E132" i="1"/>
  <c r="F132" i="1" s="1"/>
  <c r="G132" i="1" s="1"/>
  <c r="E159" i="1"/>
  <c r="F159" i="1" s="1"/>
  <c r="G159" i="1" s="1"/>
  <c r="E178" i="1"/>
  <c r="F178" i="1" s="1"/>
  <c r="G178" i="1" s="1"/>
  <c r="E205" i="1"/>
  <c r="F205" i="1" s="1"/>
  <c r="G205" i="1" s="1"/>
  <c r="E7" i="1"/>
  <c r="F7" i="1" s="1"/>
  <c r="G7" i="1" s="1"/>
  <c r="E2" i="1"/>
  <c r="F2" i="1" s="1"/>
  <c r="G2" i="1" s="1"/>
  <c r="E41" i="1"/>
  <c r="F41" i="1" s="1"/>
  <c r="G41" i="1" s="1"/>
  <c r="E73" i="1"/>
  <c r="F73" i="1" s="1"/>
  <c r="G73" i="1" s="1"/>
  <c r="E105" i="1"/>
  <c r="F105" i="1" s="1"/>
  <c r="G105" i="1" s="1"/>
  <c r="E141" i="1"/>
  <c r="F141" i="1" s="1"/>
  <c r="G141" i="1" s="1"/>
  <c r="E187" i="1"/>
  <c r="F187" i="1" s="1"/>
  <c r="G187" i="1" s="1"/>
  <c r="E233" i="1"/>
  <c r="F233" i="1" s="1"/>
  <c r="G233" i="1" s="1"/>
  <c r="E3" i="1"/>
  <c r="F3" i="1" s="1"/>
  <c r="G3" i="1" s="1"/>
  <c r="E14" i="1"/>
  <c r="F14" i="1" s="1"/>
  <c r="G14" i="1" s="1"/>
  <c r="E25" i="1"/>
  <c r="F25" i="1" s="1"/>
  <c r="G25" i="1" s="1"/>
  <c r="E35" i="1"/>
  <c r="F35" i="1" s="1"/>
  <c r="G35" i="1" s="1"/>
  <c r="E46" i="1"/>
  <c r="F46" i="1" s="1"/>
  <c r="G46" i="1" s="1"/>
  <c r="E57" i="1"/>
  <c r="F57" i="1" s="1"/>
  <c r="G57" i="1" s="1"/>
  <c r="E67" i="1"/>
  <c r="F67" i="1" s="1"/>
  <c r="G67" i="1" s="1"/>
  <c r="E78" i="1"/>
  <c r="F78" i="1" s="1"/>
  <c r="G78" i="1" s="1"/>
  <c r="E89" i="1"/>
  <c r="F89" i="1" s="1"/>
  <c r="G89" i="1" s="1"/>
  <c r="E99" i="1"/>
  <c r="F99" i="1" s="1"/>
  <c r="G99" i="1" s="1"/>
  <c r="E109" i="1"/>
  <c r="F109" i="1" s="1"/>
  <c r="G109" i="1" s="1"/>
  <c r="E118" i="1"/>
  <c r="F118" i="1" s="1"/>
  <c r="G118" i="1" s="1"/>
  <c r="E127" i="1"/>
  <c r="F127" i="1" s="1"/>
  <c r="G127" i="1" s="1"/>
  <c r="E137" i="1"/>
  <c r="F137" i="1" s="1"/>
  <c r="G137" i="1" s="1"/>
  <c r="E146" i="1"/>
  <c r="F146" i="1" s="1"/>
  <c r="G146" i="1" s="1"/>
  <c r="E155" i="1"/>
  <c r="F155" i="1" s="1"/>
  <c r="G155" i="1" s="1"/>
  <c r="E164" i="1"/>
  <c r="F164" i="1" s="1"/>
  <c r="G164" i="1" s="1"/>
  <c r="E173" i="1"/>
  <c r="F173" i="1" s="1"/>
  <c r="G173" i="1" s="1"/>
  <c r="E182" i="1"/>
  <c r="F182" i="1" s="1"/>
  <c r="G182" i="1" s="1"/>
  <c r="E12" i="1"/>
  <c r="F12" i="1" s="1"/>
  <c r="G12" i="1" s="1"/>
  <c r="E43" i="1"/>
  <c r="F43" i="1" s="1"/>
  <c r="G43" i="1" s="1"/>
  <c r="E74" i="1"/>
  <c r="F74" i="1" s="1"/>
  <c r="G74" i="1" s="1"/>
  <c r="E98" i="1"/>
  <c r="F98" i="1" s="1"/>
  <c r="G98" i="1" s="1"/>
  <c r="E125" i="1"/>
  <c r="F125" i="1" s="1"/>
  <c r="G125" i="1" s="1"/>
  <c r="E151" i="1"/>
  <c r="F151" i="1" s="1"/>
  <c r="G151" i="1" s="1"/>
  <c r="E172" i="1"/>
  <c r="F172" i="1" s="1"/>
  <c r="G172" i="1" s="1"/>
  <c r="E197" i="1"/>
  <c r="F197" i="1" s="1"/>
  <c r="G197" i="1" s="1"/>
  <c r="E215" i="1"/>
  <c r="F215" i="1" s="1"/>
  <c r="G215" i="1" s="1"/>
  <c r="E234" i="1"/>
  <c r="F234" i="1" s="1"/>
  <c r="G234" i="1" s="1"/>
  <c r="E126" i="1"/>
  <c r="F126" i="1" s="1"/>
  <c r="G126" i="1" s="1"/>
  <c r="E179" i="1"/>
  <c r="F179" i="1" s="1"/>
  <c r="G179" i="1" s="1"/>
  <c r="E198" i="1"/>
  <c r="F198" i="1" s="1"/>
  <c r="G198" i="1" s="1"/>
  <c r="E217" i="1"/>
  <c r="F217" i="1" s="1"/>
  <c r="G217" i="1" s="1"/>
  <c r="E180" i="1"/>
  <c r="F180" i="1" s="1"/>
  <c r="G180" i="1" s="1"/>
  <c r="E218" i="1"/>
  <c r="F218" i="1" s="1"/>
  <c r="G218" i="1" s="1"/>
  <c r="E236" i="1"/>
  <c r="F236" i="1" s="1"/>
  <c r="G236" i="1" s="1"/>
  <c r="E108" i="1"/>
  <c r="F108" i="1" s="1"/>
  <c r="G108" i="1" s="1"/>
  <c r="E181" i="1"/>
  <c r="F181" i="1" s="1"/>
  <c r="G181" i="1" s="1"/>
  <c r="E237" i="1"/>
  <c r="F237" i="1" s="1"/>
  <c r="G237" i="1" s="1"/>
  <c r="E31" i="1"/>
  <c r="F31" i="1" s="1"/>
  <c r="G31" i="1" s="1"/>
  <c r="E115" i="1"/>
  <c r="F115" i="1" s="1"/>
  <c r="G115" i="1" s="1"/>
  <c r="E188" i="1"/>
  <c r="F188" i="1" s="1"/>
  <c r="G188" i="1" s="1"/>
  <c r="E63" i="1"/>
  <c r="F63" i="1" s="1"/>
  <c r="G63" i="1" s="1"/>
  <c r="E142" i="1"/>
  <c r="F142" i="1" s="1"/>
  <c r="G142" i="1" s="1"/>
  <c r="E207" i="1"/>
  <c r="F207" i="1" s="1"/>
  <c r="G207" i="1" s="1"/>
  <c r="E10" i="1"/>
  <c r="F10" i="1" s="1"/>
  <c r="G10" i="1" s="1"/>
  <c r="E95" i="1"/>
  <c r="F95" i="1" s="1"/>
  <c r="G95" i="1" s="1"/>
  <c r="E170" i="1"/>
  <c r="F170" i="1" s="1"/>
  <c r="G170" i="1" s="1"/>
  <c r="E227" i="1"/>
  <c r="F227" i="1" s="1"/>
  <c r="G227" i="1" s="1"/>
  <c r="E11" i="1"/>
  <c r="F11" i="1" s="1"/>
  <c r="G11" i="1" s="1"/>
  <c r="E97" i="1"/>
  <c r="F97" i="1" s="1"/>
  <c r="G97" i="1" s="1"/>
  <c r="E171" i="1"/>
  <c r="F171" i="1" s="1"/>
  <c r="G171" i="1" s="1"/>
  <c r="E210" i="1"/>
  <c r="F210" i="1" s="1"/>
  <c r="G210" i="1" s="1"/>
  <c r="E20" i="1"/>
  <c r="F20" i="1" s="1"/>
  <c r="G20" i="1" s="1"/>
  <c r="E44" i="1"/>
  <c r="F44" i="1" s="1"/>
  <c r="G44" i="1" s="1"/>
  <c r="E75" i="1"/>
  <c r="F75" i="1" s="1"/>
  <c r="G75" i="1" s="1"/>
  <c r="E106" i="1"/>
  <c r="F106" i="1" s="1"/>
  <c r="G106" i="1" s="1"/>
  <c r="E153" i="1"/>
  <c r="F153" i="1" s="1"/>
  <c r="G153" i="1" s="1"/>
  <c r="E235" i="1"/>
  <c r="F235" i="1" s="1"/>
  <c r="G235" i="1" s="1"/>
  <c r="E54" i="1"/>
  <c r="F54" i="1" s="1"/>
  <c r="G54" i="1" s="1"/>
  <c r="E134" i="1"/>
  <c r="F134" i="1" s="1"/>
  <c r="G134" i="1" s="1"/>
  <c r="E201" i="1"/>
  <c r="F201" i="1" s="1"/>
  <c r="G201" i="1" s="1"/>
  <c r="E55" i="1"/>
  <c r="F55" i="1" s="1"/>
  <c r="G55" i="1" s="1"/>
  <c r="E135" i="1"/>
  <c r="F135" i="1" s="1"/>
  <c r="G135" i="1" s="1"/>
  <c r="E206" i="1"/>
  <c r="F206" i="1" s="1"/>
  <c r="G206" i="1" s="1"/>
  <c r="E87" i="1"/>
  <c r="F87" i="1" s="1"/>
  <c r="G87" i="1" s="1"/>
  <c r="E189" i="1"/>
  <c r="F189" i="1" s="1"/>
  <c r="G189" i="1" s="1"/>
  <c r="E34" i="1"/>
  <c r="F34" i="1" s="1"/>
  <c r="G34" i="1" s="1"/>
  <c r="E65" i="1"/>
  <c r="F65" i="1" s="1"/>
  <c r="G65" i="1" s="1"/>
  <c r="E143" i="1"/>
  <c r="F143" i="1" s="1"/>
  <c r="G143" i="1" s="1"/>
  <c r="E190" i="1"/>
  <c r="F190" i="1" s="1"/>
  <c r="G190" i="1" s="1"/>
  <c r="E66" i="1"/>
  <c r="F66" i="1" s="1"/>
  <c r="G66" i="1" s="1"/>
  <c r="E124" i="1"/>
  <c r="F124" i="1" s="1"/>
  <c r="G124" i="1" s="1"/>
  <c r="E191" i="1"/>
  <c r="F191" i="1" s="1"/>
  <c r="G191" i="1" s="1"/>
  <c r="E22" i="1"/>
  <c r="F22" i="1" s="1"/>
  <c r="G22" i="1" s="1"/>
  <c r="E52" i="1"/>
  <c r="F52" i="1" s="1"/>
  <c r="G52" i="1" s="1"/>
  <c r="E76" i="1"/>
  <c r="F76" i="1" s="1"/>
  <c r="G76" i="1" s="1"/>
  <c r="E107" i="1"/>
  <c r="F107" i="1" s="1"/>
  <c r="G107" i="1" s="1"/>
  <c r="E133" i="1"/>
  <c r="F133" i="1" s="1"/>
  <c r="G133" i="1" s="1"/>
  <c r="E154" i="1"/>
  <c r="F154" i="1" s="1"/>
  <c r="G154" i="1" s="1"/>
  <c r="E199" i="1"/>
  <c r="F199" i="1" s="1"/>
  <c r="G199" i="1" s="1"/>
  <c r="E23" i="1"/>
  <c r="F23" i="1" s="1"/>
  <c r="G23" i="1" s="1"/>
  <c r="E84" i="1"/>
  <c r="F84" i="1" s="1"/>
  <c r="G84" i="1" s="1"/>
  <c r="E161" i="1"/>
  <c r="F161" i="1" s="1"/>
  <c r="G161" i="1" s="1"/>
  <c r="E219" i="1"/>
  <c r="F219" i="1" s="1"/>
  <c r="G219" i="1" s="1"/>
  <c r="E86" i="1"/>
  <c r="F86" i="1" s="1"/>
  <c r="G86" i="1" s="1"/>
  <c r="E162" i="1"/>
  <c r="F162" i="1" s="1"/>
  <c r="G162" i="1" s="1"/>
  <c r="E225" i="1"/>
  <c r="F225" i="1" s="1"/>
  <c r="G225" i="1" s="1"/>
  <c r="E116" i="1"/>
  <c r="F116" i="1" s="1"/>
  <c r="G116" i="1" s="1"/>
  <c r="E163" i="1"/>
  <c r="F163" i="1" s="1"/>
  <c r="G163" i="1" s="1"/>
  <c r="E226" i="1"/>
  <c r="F226" i="1" s="1"/>
  <c r="G226" i="1" s="1"/>
  <c r="E117" i="1"/>
  <c r="F117" i="1" s="1"/>
  <c r="G117" i="1" s="1"/>
  <c r="E209" i="1"/>
  <c r="F209" i="1" s="1"/>
  <c r="G209" i="1" s="1"/>
  <c r="E42" i="1"/>
  <c r="F42" i="1" s="1"/>
  <c r="G42" i="1" s="1"/>
  <c r="E145" i="1"/>
  <c r="F145" i="1" s="1"/>
  <c r="G145" i="1" s="1"/>
  <c r="E228" i="1"/>
  <c r="F228" i="1" s="1"/>
  <c r="G228" i="1" s="1"/>
  <c r="E33" i="1"/>
  <c r="F33" i="1" s="1"/>
  <c r="G33" i="1" s="1"/>
</calcChain>
</file>

<file path=xl/sharedStrings.xml><?xml version="1.0" encoding="utf-8"?>
<sst xmlns="http://schemas.openxmlformats.org/spreadsheetml/2006/main" count="14179" uniqueCount="649">
  <si>
    <t>State of Maine</t>
  </si>
  <si>
    <t>S00ME</t>
  </si>
  <si>
    <t>Isle Au Haut School Department</t>
  </si>
  <si>
    <t>T0802</t>
  </si>
  <si>
    <t>Monhegan Plantation School Department</t>
  </si>
  <si>
    <t>T0804</t>
  </si>
  <si>
    <t>CSD No. 13 Deer Isle - Stonington</t>
  </si>
  <si>
    <t>T0913</t>
  </si>
  <si>
    <t>CSD No. 17 Moosabec</t>
  </si>
  <si>
    <t>T0917</t>
  </si>
  <si>
    <t>T0918</t>
  </si>
  <si>
    <t>T0919</t>
  </si>
  <si>
    <t>Erskine Academy</t>
  </si>
  <si>
    <t>TAERS</t>
  </si>
  <si>
    <t>Foxcroft Academy</t>
  </si>
  <si>
    <t>TAFOX</t>
  </si>
  <si>
    <t>Fryeburg Academy</t>
  </si>
  <si>
    <t>TAFRY</t>
  </si>
  <si>
    <t>George Stevens Academy</t>
  </si>
  <si>
    <t>TAGEO</t>
  </si>
  <si>
    <t>Gould Academy</t>
  </si>
  <si>
    <t>TAGOU</t>
  </si>
  <si>
    <t>Lee Academy</t>
  </si>
  <si>
    <t>TALEE</t>
  </si>
  <si>
    <t>Lincoln Academy</t>
  </si>
  <si>
    <t>TALIN</t>
  </si>
  <si>
    <t>Maine Central Institute</t>
  </si>
  <si>
    <t>TAMCI</t>
  </si>
  <si>
    <t>Thornton Academy</t>
  </si>
  <si>
    <t>TATHO</t>
  </si>
  <si>
    <t>Washington Academy</t>
  </si>
  <si>
    <t>TAWAS</t>
  </si>
  <si>
    <t>Acton School Department</t>
  </si>
  <si>
    <t>TCACT</t>
  </si>
  <si>
    <t>Athens School Department</t>
  </si>
  <si>
    <t>TCATH</t>
  </si>
  <si>
    <t>Auburn School Department</t>
  </si>
  <si>
    <t>TCAUB</t>
  </si>
  <si>
    <t>Augusta School Department</t>
  </si>
  <si>
    <t>TCAUG</t>
  </si>
  <si>
    <t>Bangor School Department</t>
  </si>
  <si>
    <t>TCBAN</t>
  </si>
  <si>
    <t>Biddeford School Department</t>
  </si>
  <si>
    <t>TCBID</t>
  </si>
  <si>
    <t>Brewer School Department</t>
  </si>
  <si>
    <t>TCBRE</t>
  </si>
  <si>
    <t>Brunswick School Department</t>
  </si>
  <si>
    <t>TCBRU</t>
  </si>
  <si>
    <t>Calais School Department</t>
  </si>
  <si>
    <t>TCCAL</t>
  </si>
  <si>
    <t>Caswell School Department</t>
  </si>
  <si>
    <t>TCCAS</t>
  </si>
  <si>
    <t>Cape Elizabeth School Department</t>
  </si>
  <si>
    <t>TCCEL</t>
  </si>
  <si>
    <t>Chebeague Island School Department</t>
  </si>
  <si>
    <t>TCCHE</t>
  </si>
  <si>
    <t>Cherryfield School Department</t>
  </si>
  <si>
    <t>TCCHR</t>
  </si>
  <si>
    <t>Dayton School Department</t>
  </si>
  <si>
    <t>TCDAY</t>
  </si>
  <si>
    <t>Easton School Department</t>
  </si>
  <si>
    <t>TCEAS</t>
  </si>
  <si>
    <t>Ellsworth School Department</t>
  </si>
  <si>
    <t>TCELL</t>
  </si>
  <si>
    <t>East Millinocket School Department</t>
  </si>
  <si>
    <t>TCEML</t>
  </si>
  <si>
    <t>Eustis School Department</t>
  </si>
  <si>
    <t>TCEUS</t>
  </si>
  <si>
    <t>Falmouth School Department</t>
  </si>
  <si>
    <t>TCFAL</t>
  </si>
  <si>
    <t>Fayette School Department</t>
  </si>
  <si>
    <t>TCFAY</t>
  </si>
  <si>
    <t>Glenburn School Department</t>
  </si>
  <si>
    <t>TCGLE</t>
  </si>
  <si>
    <t>Gorham School Department</t>
  </si>
  <si>
    <t>TCGOR</t>
  </si>
  <si>
    <t>Hancock School Department</t>
  </si>
  <si>
    <t>TCHAN</t>
  </si>
  <si>
    <t>Hermon School Department</t>
  </si>
  <si>
    <t>TCHER</t>
  </si>
  <si>
    <t>Islesboro School Department</t>
  </si>
  <si>
    <t>TCISL</t>
  </si>
  <si>
    <t>Kittery School Department</t>
  </si>
  <si>
    <t>TCKIT</t>
  </si>
  <si>
    <t>Lamoine School Department</t>
  </si>
  <si>
    <t>TCLAM</t>
  </si>
  <si>
    <t>Lewiston School Department</t>
  </si>
  <si>
    <t>TCLEW</t>
  </si>
  <si>
    <t>Lincolnville School Department</t>
  </si>
  <si>
    <t>TCLIN</t>
  </si>
  <si>
    <t>Lisbon School Department</t>
  </si>
  <si>
    <t>TCLIS</t>
  </si>
  <si>
    <t>Long Island School Department</t>
  </si>
  <si>
    <t>TCLON</t>
  </si>
  <si>
    <t>Madawaska School Department</t>
  </si>
  <si>
    <t>TCMAD</t>
  </si>
  <si>
    <t>Maine Education Association</t>
  </si>
  <si>
    <t>TCMEA</t>
  </si>
  <si>
    <t>TCMED</t>
  </si>
  <si>
    <t>TCMIL</t>
  </si>
  <si>
    <t>TCMSM</t>
  </si>
  <si>
    <t>TCOTI</t>
  </si>
  <si>
    <t>TCPOR</t>
  </si>
  <si>
    <t>TCSAC</t>
  </si>
  <si>
    <t>TCSAN</t>
  </si>
  <si>
    <t>TCSCA</t>
  </si>
  <si>
    <t>TCSPO</t>
  </si>
  <si>
    <t>Veazie School Department</t>
  </si>
  <si>
    <t>TCVEA</t>
  </si>
  <si>
    <t>Westbrook School Department</t>
  </si>
  <si>
    <t>TCWES</t>
  </si>
  <si>
    <t>TCWIN</t>
  </si>
  <si>
    <t>TCWIS</t>
  </si>
  <si>
    <t>TCYAR</t>
  </si>
  <si>
    <t>York School Department</t>
  </si>
  <si>
    <t>TCYOR</t>
  </si>
  <si>
    <t>TD001</t>
  </si>
  <si>
    <t>TD003</t>
  </si>
  <si>
    <t>MSAD 4 Guilford</t>
  </si>
  <si>
    <t>TD004</t>
  </si>
  <si>
    <t>TD006</t>
  </si>
  <si>
    <t>MSAD 7 North Haven</t>
  </si>
  <si>
    <t>TD007</t>
  </si>
  <si>
    <t>MSAD 8 Vinalhaven</t>
  </si>
  <si>
    <t>TD008</t>
  </si>
  <si>
    <t>TD009</t>
  </si>
  <si>
    <t>TD011</t>
  </si>
  <si>
    <t>MSAD 12 Jackman</t>
  </si>
  <si>
    <t>TD012</t>
  </si>
  <si>
    <t>MSAD 13 Bingham</t>
  </si>
  <si>
    <t>TD013</t>
  </si>
  <si>
    <t>TD015</t>
  </si>
  <si>
    <t>TD017</t>
  </si>
  <si>
    <t>MSAD 20 Fort Fairfield</t>
  </si>
  <si>
    <t>TD020</t>
  </si>
  <si>
    <t>TD022</t>
  </si>
  <si>
    <t>MSAD 23 Carmel</t>
  </si>
  <si>
    <t>TD023</t>
  </si>
  <si>
    <t>TD024</t>
  </si>
  <si>
    <t>TD027</t>
  </si>
  <si>
    <t>MSAD 28 Camden</t>
  </si>
  <si>
    <t>TD028</t>
  </si>
  <si>
    <t>TD029</t>
  </si>
  <si>
    <t>TD032</t>
  </si>
  <si>
    <t>TD033</t>
  </si>
  <si>
    <t>TD035</t>
  </si>
  <si>
    <t>MSAD 37 Harrington</t>
  </si>
  <si>
    <t>TD037</t>
  </si>
  <si>
    <t>TD040</t>
  </si>
  <si>
    <t>TD042</t>
  </si>
  <si>
    <t>TD044</t>
  </si>
  <si>
    <t>MSAD 45 Washburn</t>
  </si>
  <si>
    <t>TD045</t>
  </si>
  <si>
    <t>TD049</t>
  </si>
  <si>
    <t>TD051</t>
  </si>
  <si>
    <t>TD052</t>
  </si>
  <si>
    <t>TD053</t>
  </si>
  <si>
    <t>TD054</t>
  </si>
  <si>
    <t>TD055</t>
  </si>
  <si>
    <t>TD057</t>
  </si>
  <si>
    <t>MSAD 58 Kingfield</t>
  </si>
  <si>
    <t>TD058</t>
  </si>
  <si>
    <t>MSAD 59 Madison</t>
  </si>
  <si>
    <t>TD059</t>
  </si>
  <si>
    <t>TD060</t>
  </si>
  <si>
    <t>TD061</t>
  </si>
  <si>
    <t>TD064</t>
  </si>
  <si>
    <t>MSAD 65 Matinicus</t>
  </si>
  <si>
    <t>TD065</t>
  </si>
  <si>
    <t>TD067</t>
  </si>
  <si>
    <t>TD068</t>
  </si>
  <si>
    <t>TD072</t>
  </si>
  <si>
    <t>TD074</t>
  </si>
  <si>
    <t>TD075</t>
  </si>
  <si>
    <t>TIE001</t>
  </si>
  <si>
    <t>Indian Township</t>
  </si>
  <si>
    <t>TIE002</t>
  </si>
  <si>
    <t>TIE003</t>
  </si>
  <si>
    <t>TIE004</t>
  </si>
  <si>
    <t>TR002</t>
  </si>
  <si>
    <t>Region No. 3 Northern Penobscot County</t>
  </si>
  <si>
    <t>TR003</t>
  </si>
  <si>
    <t>TR004</t>
  </si>
  <si>
    <t>TR007</t>
  </si>
  <si>
    <t>TR008</t>
  </si>
  <si>
    <t>TR009</t>
  </si>
  <si>
    <t>TR010</t>
  </si>
  <si>
    <t>TR011</t>
  </si>
  <si>
    <t>TS001</t>
  </si>
  <si>
    <t>TS002</t>
  </si>
  <si>
    <t>TS004</t>
  </si>
  <si>
    <t>TS005</t>
  </si>
  <si>
    <t>TS010</t>
  </si>
  <si>
    <t>TS012</t>
  </si>
  <si>
    <t>TS013</t>
  </si>
  <si>
    <t>TS014</t>
  </si>
  <si>
    <t>TS016</t>
  </si>
  <si>
    <t>TS018</t>
  </si>
  <si>
    <t>TS019</t>
  </si>
  <si>
    <t>TS020</t>
  </si>
  <si>
    <t>TS021</t>
  </si>
  <si>
    <t>TS023</t>
  </si>
  <si>
    <t>TS024</t>
  </si>
  <si>
    <t>TS025</t>
  </si>
  <si>
    <t>TS026</t>
  </si>
  <si>
    <t>TS034</t>
  </si>
  <si>
    <t>TS038</t>
  </si>
  <si>
    <t>TS039</t>
  </si>
  <si>
    <t>TS050</t>
  </si>
  <si>
    <t>TS073</t>
  </si>
  <si>
    <t>TS078</t>
  </si>
  <si>
    <t>TSA001</t>
  </si>
  <si>
    <t>TSA002</t>
  </si>
  <si>
    <t>TSA003</t>
  </si>
  <si>
    <t>TT043</t>
  </si>
  <si>
    <t>TT0431</t>
  </si>
  <si>
    <t>AOS No. 43 Milo</t>
  </si>
  <si>
    <t>TT0432</t>
  </si>
  <si>
    <t>AOS No. 47 Central Office</t>
  </si>
  <si>
    <t>TT047</t>
  </si>
  <si>
    <t>AOS No. 47 Orrington</t>
  </si>
  <si>
    <t>TT0471</t>
  </si>
  <si>
    <t>AOS No. 47 Dedham</t>
  </si>
  <si>
    <t>TT0472</t>
  </si>
  <si>
    <t>AOS No. 48 Central Office</t>
  </si>
  <si>
    <t>TT048</t>
  </si>
  <si>
    <t>Regional School Unit No. 70 / MSAD 70</t>
  </si>
  <si>
    <t>TT0481</t>
  </si>
  <si>
    <t>TT0482</t>
  </si>
  <si>
    <t>AOS No. 66 East Millinocket</t>
  </si>
  <si>
    <t>TT0661</t>
  </si>
  <si>
    <t>AOS No. 66 Medway</t>
  </si>
  <si>
    <t>TT0662</t>
  </si>
  <si>
    <t>TT077</t>
  </si>
  <si>
    <t>TT0771</t>
  </si>
  <si>
    <t>TT0772</t>
  </si>
  <si>
    <t>TT0773</t>
  </si>
  <si>
    <t>TT0774</t>
  </si>
  <si>
    <t>AOS No. 77 Perry</t>
  </si>
  <si>
    <t>TT0775</t>
  </si>
  <si>
    <t>AOS No. 77 Alexander</t>
  </si>
  <si>
    <t>TT0776</t>
  </si>
  <si>
    <t>AOS No. 77 Calais</t>
  </si>
  <si>
    <t>TT0777</t>
  </si>
  <si>
    <t>AOS No. 77 Robbinston</t>
  </si>
  <si>
    <t>TT0778</t>
  </si>
  <si>
    <t>AOS No. 81 Central Office</t>
  </si>
  <si>
    <t>TT081</t>
  </si>
  <si>
    <t>AOS No. 81 Holden</t>
  </si>
  <si>
    <t>TT0811</t>
  </si>
  <si>
    <t>AOS No. 81 CSD 8</t>
  </si>
  <si>
    <t>TT0812</t>
  </si>
  <si>
    <t>TT090</t>
  </si>
  <si>
    <t>TT0901</t>
  </si>
  <si>
    <t>TT0902</t>
  </si>
  <si>
    <t>TT0903</t>
  </si>
  <si>
    <t>TT0904</t>
  </si>
  <si>
    <t>AOS No. 91 Central Office</t>
  </si>
  <si>
    <t>TT091</t>
  </si>
  <si>
    <t>AOS No. 91 Mount Desert Island High School</t>
  </si>
  <si>
    <t>TT0911</t>
  </si>
  <si>
    <t>TT0912</t>
  </si>
  <si>
    <t>TT0913</t>
  </si>
  <si>
    <t>TT0914</t>
  </si>
  <si>
    <t>TT0915</t>
  </si>
  <si>
    <t>TT0916</t>
  </si>
  <si>
    <t>TT0917</t>
  </si>
  <si>
    <t>TT0918</t>
  </si>
  <si>
    <t>TT0919</t>
  </si>
  <si>
    <t>AOS No. 92 Central Office</t>
  </si>
  <si>
    <t>TT092</t>
  </si>
  <si>
    <t>AOS No. 92 Waterville</t>
  </si>
  <si>
    <t>TT0921</t>
  </si>
  <si>
    <t>TT0922</t>
  </si>
  <si>
    <t>TT0923</t>
  </si>
  <si>
    <t>TT093</t>
  </si>
  <si>
    <t>AOS No. 93 Great Salt Bay</t>
  </si>
  <si>
    <t>TT0931</t>
  </si>
  <si>
    <t>AOS No. 93 Nobleboro</t>
  </si>
  <si>
    <t>TT0932</t>
  </si>
  <si>
    <t>AOS No. 93 Bristol</t>
  </si>
  <si>
    <t>TT0933</t>
  </si>
  <si>
    <t>AOS No. 93 South Bristol</t>
  </si>
  <si>
    <t>TT0934</t>
  </si>
  <si>
    <t>AOS No. 93 Jefferson</t>
  </si>
  <si>
    <t>TT0935</t>
  </si>
  <si>
    <t>AOS No. 94 Central Office</t>
  </si>
  <si>
    <t>TT094</t>
  </si>
  <si>
    <t>AOS No. 94 MSAD 46</t>
  </si>
  <si>
    <t>TT0941</t>
  </si>
  <si>
    <t>TT0942</t>
  </si>
  <si>
    <t>AOS No. 95 Central Office</t>
  </si>
  <si>
    <t>TT095</t>
  </si>
  <si>
    <t>AOS No. 94 Harmony</t>
  </si>
  <si>
    <t>TT0951</t>
  </si>
  <si>
    <t>AOS No. 95 Allagash</t>
  </si>
  <si>
    <t>TT0952</t>
  </si>
  <si>
    <t>AOS No. 96 Central Office</t>
  </si>
  <si>
    <t>TT096</t>
  </si>
  <si>
    <t>AOS No. 96 East Machias</t>
  </si>
  <si>
    <t>TT096A</t>
  </si>
  <si>
    <t>AOS No. 96 Jonesboro</t>
  </si>
  <si>
    <t>TT096B</t>
  </si>
  <si>
    <t>AOS No. 96 Machias</t>
  </si>
  <si>
    <t>TT096C</t>
  </si>
  <si>
    <t>AOS No. 96 Marshfield</t>
  </si>
  <si>
    <t>TT096O</t>
  </si>
  <si>
    <t>AOS No. 96 Northfield</t>
  </si>
  <si>
    <t>TT096E</t>
  </si>
  <si>
    <t>AOS No. 96 Rogue Bluffs</t>
  </si>
  <si>
    <t>TT096F</t>
  </si>
  <si>
    <t>TT096G</t>
  </si>
  <si>
    <t>AOS No. 96 Cutler</t>
  </si>
  <si>
    <t>TT0961</t>
  </si>
  <si>
    <t>TT096J</t>
  </si>
  <si>
    <t>AOS No. 96 Whiting</t>
  </si>
  <si>
    <t>TT096K</t>
  </si>
  <si>
    <t>AOS No. 97 Central Office</t>
  </si>
  <si>
    <t>TT097</t>
  </si>
  <si>
    <t>TT0971</t>
  </si>
  <si>
    <t>TT0972</t>
  </si>
  <si>
    <t>AOS No. 98 Central Office</t>
  </si>
  <si>
    <t>TT098</t>
  </si>
  <si>
    <t>TT0981</t>
  </si>
  <si>
    <t>AOS No. 98 Edgecomb</t>
  </si>
  <si>
    <t>TT0982</t>
  </si>
  <si>
    <t>AOS No. 98 Southport</t>
  </si>
  <si>
    <t>TT0983</t>
  </si>
  <si>
    <t>TT0984</t>
  </si>
  <si>
    <t>Union 60 Greenville</t>
  </si>
  <si>
    <t>TU0601</t>
  </si>
  <si>
    <t>TU0691</t>
  </si>
  <si>
    <t>Union 69 Hope</t>
  </si>
  <si>
    <t>TU0692</t>
  </si>
  <si>
    <t>Union 76 Brooklin</t>
  </si>
  <si>
    <t>TU0761</t>
  </si>
  <si>
    <t>TU0762</t>
  </si>
  <si>
    <t>Union 90 Greenbush</t>
  </si>
  <si>
    <t>TU0903</t>
  </si>
  <si>
    <t>Union 90 Milford</t>
  </si>
  <si>
    <t>TU0905</t>
  </si>
  <si>
    <t>Union 92 Surry</t>
  </si>
  <si>
    <t>TU0924</t>
  </si>
  <si>
    <t>Union 93 Blue Hill</t>
  </si>
  <si>
    <t>TU0931</t>
  </si>
  <si>
    <t>Union 93 Brooksville</t>
  </si>
  <si>
    <t>TU0932</t>
  </si>
  <si>
    <t>Union 93 Castine</t>
  </si>
  <si>
    <t>TU0933</t>
  </si>
  <si>
    <t>Union 93 Penobscot</t>
  </si>
  <si>
    <t>TU0934</t>
  </si>
  <si>
    <t>Union 103 Beals</t>
  </si>
  <si>
    <t>TU1031</t>
  </si>
  <si>
    <t>Union 103 Jonesport</t>
  </si>
  <si>
    <t>TU1032</t>
  </si>
  <si>
    <t>Union 106 Calais</t>
  </si>
  <si>
    <t>TU1062</t>
  </si>
  <si>
    <t>TU1081</t>
  </si>
  <si>
    <t>TU1221</t>
  </si>
  <si>
    <t>Union 122 Westmanland</t>
  </si>
  <si>
    <t>TU1223</t>
  </si>
  <si>
    <t>Union 122 Woodland</t>
  </si>
  <si>
    <t>TU1224</t>
  </si>
  <si>
    <t>district_contributions</t>
  </si>
  <si>
    <t>employer_code</t>
  </si>
  <si>
    <r>
      <t>CSD No</t>
    </r>
    <r>
      <rPr>
        <sz val="12"/>
        <color rgb="FF2F2F2F"/>
        <rFont val="Aptos Narrow"/>
        <scheme val="minor"/>
      </rPr>
      <t xml:space="preserve">. </t>
    </r>
    <r>
      <rPr>
        <sz val="12"/>
        <color rgb="FF030303"/>
        <rFont val="Aptos Narrow"/>
        <scheme val="minor"/>
      </rPr>
      <t>18 Wells - Ogunquit</t>
    </r>
  </si>
  <si>
    <r>
      <t>CSD No</t>
    </r>
    <r>
      <rPr>
        <sz val="12"/>
        <color rgb="FF424242"/>
        <rFont val="Aptos Narrow"/>
        <scheme val="minor"/>
      </rPr>
      <t xml:space="preserve">. </t>
    </r>
    <r>
      <rPr>
        <sz val="12"/>
        <color rgb="FF030303"/>
        <rFont val="Aptos Narrow"/>
        <scheme val="minor"/>
      </rPr>
      <t>19 Five Town CSD</t>
    </r>
  </si>
  <si>
    <r>
      <t xml:space="preserve">Medway School </t>
    </r>
    <r>
      <rPr>
        <sz val="12"/>
        <color rgb="FF000000"/>
        <rFont val="Aptos Narrow"/>
        <scheme val="minor"/>
      </rPr>
      <t>Department</t>
    </r>
  </si>
  <si>
    <r>
      <t xml:space="preserve">Millinocket School </t>
    </r>
    <r>
      <rPr>
        <sz val="12"/>
        <color rgb="FF000000"/>
        <rFont val="Aptos Narrow"/>
        <scheme val="minor"/>
      </rPr>
      <t>Department</t>
    </r>
  </si>
  <si>
    <r>
      <t xml:space="preserve">Maine </t>
    </r>
    <r>
      <rPr>
        <sz val="12"/>
        <color rgb="FF212121"/>
        <rFont val="Aptos Narrow"/>
        <scheme val="minor"/>
      </rPr>
      <t xml:space="preserve">School </t>
    </r>
    <r>
      <rPr>
        <sz val="12"/>
        <color rgb="FF0F0F0F"/>
        <rFont val="Aptos Narrow"/>
        <scheme val="minor"/>
      </rPr>
      <t xml:space="preserve">of Science and </t>
    </r>
    <r>
      <rPr>
        <sz val="12"/>
        <color rgb="FF000000"/>
        <rFont val="Aptos Narrow"/>
        <scheme val="minor"/>
      </rPr>
      <t>Mathematics</t>
    </r>
  </si>
  <si>
    <r>
      <t xml:space="preserve">Otis School </t>
    </r>
    <r>
      <rPr>
        <sz val="12"/>
        <color rgb="FF000000"/>
        <rFont val="Aptos Narrow"/>
        <scheme val="minor"/>
      </rPr>
      <t>Department</t>
    </r>
  </si>
  <si>
    <r>
      <t xml:space="preserve">Portland </t>
    </r>
    <r>
      <rPr>
        <sz val="12"/>
        <color rgb="FF0F0F0F"/>
        <rFont val="Aptos Narrow"/>
        <scheme val="minor"/>
      </rPr>
      <t xml:space="preserve">School </t>
    </r>
    <r>
      <rPr>
        <sz val="12"/>
        <color theme="1"/>
        <rFont val="Aptos Narrow"/>
        <scheme val="minor"/>
      </rPr>
      <t>Department</t>
    </r>
  </si>
  <si>
    <r>
      <t xml:space="preserve">Saco School </t>
    </r>
    <r>
      <rPr>
        <sz val="12"/>
        <color rgb="FF000000"/>
        <rFont val="Aptos Narrow"/>
        <scheme val="minor"/>
      </rPr>
      <t>Department</t>
    </r>
  </si>
  <si>
    <r>
      <t xml:space="preserve">Sanford School </t>
    </r>
    <r>
      <rPr>
        <sz val="12"/>
        <color rgb="FF000000"/>
        <rFont val="Aptos Narrow"/>
        <scheme val="minor"/>
      </rPr>
      <t>Department</t>
    </r>
  </si>
  <si>
    <r>
      <t xml:space="preserve">Scarborough School </t>
    </r>
    <r>
      <rPr>
        <sz val="12"/>
        <color rgb="FF000000"/>
        <rFont val="Aptos Narrow"/>
        <scheme val="minor"/>
      </rPr>
      <t>Department</t>
    </r>
  </si>
  <si>
    <r>
      <t xml:space="preserve">South </t>
    </r>
    <r>
      <rPr>
        <sz val="12"/>
        <color theme="1"/>
        <rFont val="Aptos Narrow"/>
        <scheme val="minor"/>
      </rPr>
      <t xml:space="preserve">Portland </t>
    </r>
    <r>
      <rPr>
        <sz val="12"/>
        <color rgb="FF0F0F0F"/>
        <rFont val="Aptos Narrow"/>
        <scheme val="minor"/>
      </rPr>
      <t xml:space="preserve">School </t>
    </r>
    <r>
      <rPr>
        <sz val="12"/>
        <color theme="1"/>
        <rFont val="Aptos Narrow"/>
        <scheme val="minor"/>
      </rPr>
      <t>Department</t>
    </r>
  </si>
  <si>
    <r>
      <t xml:space="preserve">Winthrop School </t>
    </r>
    <r>
      <rPr>
        <sz val="12"/>
        <color rgb="FF000000"/>
        <rFont val="Aptos Narrow"/>
        <scheme val="minor"/>
      </rPr>
      <t>Department</t>
    </r>
  </si>
  <si>
    <r>
      <t xml:space="preserve">Wiscasset School </t>
    </r>
    <r>
      <rPr>
        <sz val="12"/>
        <color rgb="FF000000"/>
        <rFont val="Aptos Narrow"/>
        <scheme val="minor"/>
      </rPr>
      <t>Department</t>
    </r>
  </si>
  <si>
    <r>
      <t xml:space="preserve">Yarmouth School </t>
    </r>
    <r>
      <rPr>
        <sz val="12"/>
        <color rgb="FF000000"/>
        <rFont val="Aptos Narrow"/>
        <scheme val="minor"/>
      </rPr>
      <t>Department</t>
    </r>
  </si>
  <si>
    <r>
      <t>RSU No</t>
    </r>
    <r>
      <rPr>
        <sz val="12"/>
        <color rgb="FF6D6D6D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79 - MSAD 1 Presque Isle</t>
    </r>
  </si>
  <si>
    <r>
      <t>RSU No</t>
    </r>
    <r>
      <rPr>
        <sz val="12"/>
        <color rgb="FF383838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3 - MSAD 3 Unity</t>
    </r>
  </si>
  <si>
    <r>
      <t>RSU No</t>
    </r>
    <r>
      <rPr>
        <sz val="12"/>
        <color rgb="FF383838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6 - MSAD 6 </t>
    </r>
    <r>
      <rPr>
        <sz val="12"/>
        <color rgb="FF000000"/>
        <rFont val="Aptos Narrow"/>
        <scheme val="minor"/>
      </rPr>
      <t xml:space="preserve">Bar </t>
    </r>
    <r>
      <rPr>
        <sz val="12"/>
        <color rgb="FF0F0F0F"/>
        <rFont val="Aptos Narrow"/>
        <scheme val="minor"/>
      </rPr>
      <t>Mills</t>
    </r>
  </si>
  <si>
    <r>
      <t>RSU No</t>
    </r>
    <r>
      <rPr>
        <sz val="12"/>
        <color rgb="FF6D6D6D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9 - MSAD 9 Farmington</t>
    </r>
  </si>
  <si>
    <r>
      <t>RSU No</t>
    </r>
    <r>
      <rPr>
        <sz val="12"/>
        <color rgb="FF383838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11 </t>
    </r>
    <r>
      <rPr>
        <sz val="12"/>
        <color rgb="FF383838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11 Gardiner</t>
    </r>
  </si>
  <si>
    <r>
      <t>RSU No</t>
    </r>
    <r>
      <rPr>
        <sz val="12"/>
        <color rgb="FF4D4D4D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15 </t>
    </r>
    <r>
      <rPr>
        <sz val="12"/>
        <color rgb="FF212121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15 Gray</t>
    </r>
  </si>
  <si>
    <r>
      <t>RSU No</t>
    </r>
    <r>
      <rPr>
        <sz val="12"/>
        <color rgb="FF5B5B5B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17 </t>
    </r>
    <r>
      <rPr>
        <sz val="12"/>
        <color rgb="FF212121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17 South Paris</t>
    </r>
  </si>
  <si>
    <r>
      <t>RSU No</t>
    </r>
    <r>
      <rPr>
        <sz val="12"/>
        <color rgb="FF5B5B5B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22 - MSAD 22 Hampden</t>
    </r>
  </si>
  <si>
    <r>
      <t xml:space="preserve">MSAD 24 </t>
    </r>
    <r>
      <rPr>
        <sz val="12"/>
        <color rgb="FF000000"/>
        <rFont val="Aptos Narrow"/>
        <scheme val="minor"/>
      </rPr>
      <t xml:space="preserve">Van </t>
    </r>
    <r>
      <rPr>
        <sz val="12"/>
        <color rgb="FF0F0F0F"/>
        <rFont val="Aptos Narrow"/>
        <scheme val="minor"/>
      </rPr>
      <t>Buren</t>
    </r>
  </si>
  <si>
    <r>
      <t xml:space="preserve">MSAD 27 </t>
    </r>
    <r>
      <rPr>
        <sz val="12"/>
        <color rgb="FF000000"/>
        <rFont val="Aptos Narrow"/>
        <scheme val="minor"/>
      </rPr>
      <t xml:space="preserve">Fort </t>
    </r>
    <r>
      <rPr>
        <sz val="12"/>
        <color rgb="FF0F0F0F"/>
        <rFont val="Aptos Narrow"/>
        <scheme val="minor"/>
      </rPr>
      <t>Kent</t>
    </r>
  </si>
  <si>
    <r>
      <t>RSU No</t>
    </r>
    <r>
      <rPr>
        <sz val="12"/>
        <color rgb="FF383838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29 </t>
    </r>
    <r>
      <rPr>
        <sz val="12"/>
        <color rgb="FF383838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29 Houlton</t>
    </r>
  </si>
  <si>
    <r>
      <t xml:space="preserve">MSAD </t>
    </r>
    <r>
      <rPr>
        <sz val="12"/>
        <color rgb="FF212121"/>
        <rFont val="Aptos Narrow"/>
        <scheme val="minor"/>
      </rPr>
      <t xml:space="preserve">32 </t>
    </r>
    <r>
      <rPr>
        <sz val="12"/>
        <color rgb="FF000000"/>
        <rFont val="Aptos Narrow"/>
        <scheme val="minor"/>
      </rPr>
      <t>Ash</t>
    </r>
    <r>
      <rPr>
        <sz val="12"/>
        <color rgb="FF383838"/>
        <rFont val="Aptos Narrow"/>
        <scheme val="minor"/>
      </rPr>
      <t>l</t>
    </r>
    <r>
      <rPr>
        <sz val="12"/>
        <color rgb="FF0F0F0F"/>
        <rFont val="Aptos Narrow"/>
        <scheme val="minor"/>
      </rPr>
      <t>and</t>
    </r>
  </si>
  <si>
    <r>
      <t>MSAD 33 Sa</t>
    </r>
    <r>
      <rPr>
        <sz val="12"/>
        <color rgb="FF383838"/>
        <rFont val="Aptos Narrow"/>
        <scheme val="minor"/>
      </rPr>
      <t>i</t>
    </r>
    <r>
      <rPr>
        <sz val="12"/>
        <color rgb="FF0F0F0F"/>
        <rFont val="Aptos Narrow"/>
        <scheme val="minor"/>
      </rPr>
      <t>nt Agatha</t>
    </r>
  </si>
  <si>
    <r>
      <t>RSU No</t>
    </r>
    <r>
      <rPr>
        <sz val="12"/>
        <color rgb="FF4D4D4D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35 </t>
    </r>
    <r>
      <rPr>
        <sz val="12"/>
        <color rgb="FF212121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35 Eliot</t>
    </r>
  </si>
  <si>
    <r>
      <t>RSU No</t>
    </r>
    <r>
      <rPr>
        <sz val="12"/>
        <color rgb="FF383838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40 </t>
    </r>
    <r>
      <rPr>
        <sz val="12"/>
        <color rgb="FF383838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40 Waldoboro</t>
    </r>
  </si>
  <si>
    <r>
      <t xml:space="preserve">MSAD 42 Mars </t>
    </r>
    <r>
      <rPr>
        <sz val="12"/>
        <color rgb="FF000000"/>
        <rFont val="Aptos Narrow"/>
        <scheme val="minor"/>
      </rPr>
      <t>Hill</t>
    </r>
  </si>
  <si>
    <r>
      <t xml:space="preserve">RSU </t>
    </r>
    <r>
      <rPr>
        <sz val="12"/>
        <color rgb="FF0F0F0F"/>
        <rFont val="Aptos Narrow"/>
        <scheme val="minor"/>
      </rPr>
      <t>No</t>
    </r>
    <r>
      <rPr>
        <sz val="12"/>
        <color rgb="FF383838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44 </t>
    </r>
    <r>
      <rPr>
        <sz val="12"/>
        <color rgb="FF212121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44 Bethel</t>
    </r>
  </si>
  <si>
    <r>
      <t>RSU No</t>
    </r>
    <r>
      <rPr>
        <sz val="12"/>
        <color rgb="FF4D4D4D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49 </t>
    </r>
    <r>
      <rPr>
        <sz val="12"/>
        <color rgb="FF212121"/>
        <rFont val="Aptos Narrow"/>
        <scheme val="minor"/>
      </rPr>
      <t xml:space="preserve">- </t>
    </r>
    <r>
      <rPr>
        <sz val="12"/>
        <color rgb="FF000000"/>
        <rFont val="Aptos Narrow"/>
        <scheme val="minor"/>
      </rPr>
      <t xml:space="preserve">MSAD </t>
    </r>
    <r>
      <rPr>
        <sz val="12"/>
        <color rgb="FF0F0F0F"/>
        <rFont val="Aptos Narrow"/>
        <scheme val="minor"/>
      </rPr>
      <t>49 Fairfield</t>
    </r>
  </si>
  <si>
    <r>
      <t>RSU No</t>
    </r>
    <r>
      <rPr>
        <sz val="12"/>
        <color rgb="FF939393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51 </t>
    </r>
    <r>
      <rPr>
        <sz val="12"/>
        <color rgb="FF212121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51 Cumberland Center</t>
    </r>
  </si>
  <si>
    <r>
      <t>RSU No</t>
    </r>
    <r>
      <rPr>
        <sz val="12"/>
        <color rgb="FF939393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52 </t>
    </r>
    <r>
      <rPr>
        <sz val="12"/>
        <color rgb="FF212121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52 Turner</t>
    </r>
  </si>
  <si>
    <r>
      <t>MSAD 53 P</t>
    </r>
    <r>
      <rPr>
        <sz val="12"/>
        <color rgb="FF383838"/>
        <rFont val="Aptos Narrow"/>
        <scheme val="minor"/>
      </rPr>
      <t>itt</t>
    </r>
    <r>
      <rPr>
        <sz val="12"/>
        <color rgb="FF0F0F0F"/>
        <rFont val="Aptos Narrow"/>
        <scheme val="minor"/>
      </rPr>
      <t>sfield</t>
    </r>
  </si>
  <si>
    <r>
      <t>RSU No</t>
    </r>
    <r>
      <rPr>
        <sz val="12"/>
        <color rgb="FF5B5B5B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54 </t>
    </r>
    <r>
      <rPr>
        <sz val="12"/>
        <color rgb="FF383838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54 Skowhegan</t>
    </r>
  </si>
  <si>
    <r>
      <t>RSU No</t>
    </r>
    <r>
      <rPr>
        <sz val="12"/>
        <color rgb="FF5B5B5B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55 </t>
    </r>
    <r>
      <rPr>
        <sz val="12"/>
        <color rgb="FF383838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55 Cornish</t>
    </r>
  </si>
  <si>
    <r>
      <t xml:space="preserve">RSU </t>
    </r>
    <r>
      <rPr>
        <sz val="12"/>
        <color rgb="FF000000"/>
        <rFont val="Aptos Narrow"/>
        <scheme val="minor"/>
      </rPr>
      <t>No</t>
    </r>
    <r>
      <rPr>
        <sz val="12"/>
        <color rgb="FF383838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57 </t>
    </r>
    <r>
      <rPr>
        <sz val="12"/>
        <color rgb="FF212121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57 Waterboro</t>
    </r>
  </si>
  <si>
    <r>
      <t xml:space="preserve">RSU </t>
    </r>
    <r>
      <rPr>
        <sz val="12"/>
        <color rgb="FF000000"/>
        <rFont val="Aptos Narrow"/>
        <scheme val="minor"/>
      </rPr>
      <t>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60 - MSAD 60 North </t>
    </r>
    <r>
      <rPr>
        <sz val="12"/>
        <color rgb="FF000000"/>
        <rFont val="Aptos Narrow"/>
        <scheme val="minor"/>
      </rPr>
      <t>Berwick</t>
    </r>
  </si>
  <si>
    <r>
      <t>RSU No</t>
    </r>
    <r>
      <rPr>
        <sz val="12"/>
        <color rgb="FF676767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61 </t>
    </r>
    <r>
      <rPr>
        <sz val="12"/>
        <color rgb="FF232323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61 Bridgton</t>
    </r>
  </si>
  <si>
    <r>
      <t xml:space="preserve">RSU </t>
    </r>
    <r>
      <rPr>
        <sz val="12"/>
        <color rgb="FF000000"/>
        <rFont val="Aptos Narrow"/>
        <scheme val="minor"/>
      </rPr>
      <t>No</t>
    </r>
    <r>
      <rPr>
        <sz val="12"/>
        <color rgb="FF676767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64 - MSAD 64 East Corinth</t>
    </r>
  </si>
  <si>
    <r>
      <t xml:space="preserve">RSU </t>
    </r>
    <r>
      <rPr>
        <sz val="12"/>
        <color rgb="FF000000"/>
        <rFont val="Aptos Narrow"/>
        <scheme val="minor"/>
      </rPr>
      <t>No</t>
    </r>
    <r>
      <rPr>
        <sz val="12"/>
        <color rgb="FF363636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67 </t>
    </r>
    <r>
      <rPr>
        <sz val="12"/>
        <color rgb="FF363636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MSAD 67 Lincoln</t>
    </r>
  </si>
  <si>
    <r>
      <t xml:space="preserve">MSAD 68 </t>
    </r>
    <r>
      <rPr>
        <sz val="12"/>
        <color theme="1"/>
        <rFont val="Aptos Narrow"/>
        <scheme val="minor"/>
      </rPr>
      <t>Dover-Foxcroft</t>
    </r>
  </si>
  <si>
    <r>
      <t xml:space="preserve">RSU </t>
    </r>
    <r>
      <rPr>
        <sz val="12"/>
        <color theme="1"/>
        <rFont val="Aptos Narrow"/>
        <scheme val="minor"/>
      </rPr>
      <t>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72 </t>
    </r>
    <r>
      <rPr>
        <sz val="12"/>
        <color rgb="FF232323"/>
        <rFont val="Aptos Narrow"/>
        <scheme val="minor"/>
      </rPr>
      <t xml:space="preserve">- </t>
    </r>
    <r>
      <rPr>
        <sz val="12"/>
        <color theme="1"/>
        <rFont val="Aptos Narrow"/>
        <scheme val="minor"/>
      </rPr>
      <t xml:space="preserve">MSAD </t>
    </r>
    <r>
      <rPr>
        <sz val="12"/>
        <color rgb="FF0F0F0F"/>
        <rFont val="Aptos Narrow"/>
        <scheme val="minor"/>
      </rPr>
      <t xml:space="preserve">72 </t>
    </r>
    <r>
      <rPr>
        <sz val="12"/>
        <color theme="1"/>
        <rFont val="Aptos Narrow"/>
        <scheme val="minor"/>
      </rPr>
      <t>Fryeburg</t>
    </r>
  </si>
  <si>
    <r>
      <t xml:space="preserve">MSAD 74 North </t>
    </r>
    <r>
      <rPr>
        <sz val="12"/>
        <color rgb="FF000000"/>
        <rFont val="Aptos Narrow"/>
        <scheme val="minor"/>
      </rPr>
      <t>Anson</t>
    </r>
  </si>
  <si>
    <r>
      <t>RSU 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75 - MSAD 75 </t>
    </r>
    <r>
      <rPr>
        <sz val="12"/>
        <color rgb="FF000000"/>
        <rFont val="Aptos Narrow"/>
        <scheme val="minor"/>
      </rPr>
      <t>Topsham</t>
    </r>
  </si>
  <si>
    <r>
      <t xml:space="preserve">Pleasant </t>
    </r>
    <r>
      <rPr>
        <sz val="12"/>
        <color rgb="FF0F0F0F"/>
        <rFont val="Aptos Narrow"/>
        <scheme val="minor"/>
      </rPr>
      <t>Point School</t>
    </r>
  </si>
  <si>
    <r>
      <t xml:space="preserve">Indian </t>
    </r>
    <r>
      <rPr>
        <sz val="12"/>
        <color rgb="FF000000"/>
        <rFont val="Aptos Narrow"/>
        <scheme val="minor"/>
      </rPr>
      <t>Island</t>
    </r>
  </si>
  <si>
    <r>
      <t xml:space="preserve">Maine Indian </t>
    </r>
    <r>
      <rPr>
        <sz val="12"/>
        <color rgb="FF000000"/>
        <rFont val="Aptos Narrow"/>
        <scheme val="minor"/>
      </rPr>
      <t>Education</t>
    </r>
  </si>
  <si>
    <r>
      <t>Region 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2 Southern Aroostook County</t>
    </r>
  </si>
  <si>
    <r>
      <t>Region 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4 Southern </t>
    </r>
    <r>
      <rPr>
        <sz val="12"/>
        <color rgb="FF000000"/>
        <rFont val="Aptos Narrow"/>
        <scheme val="minor"/>
      </rPr>
      <t xml:space="preserve">Penobscot </t>
    </r>
    <r>
      <rPr>
        <sz val="12"/>
        <color rgb="FF0F0F0F"/>
        <rFont val="Aptos Narrow"/>
        <scheme val="minor"/>
      </rPr>
      <t>County</t>
    </r>
  </si>
  <si>
    <r>
      <t xml:space="preserve">Region No. 7 </t>
    </r>
    <r>
      <rPr>
        <sz val="12"/>
        <color rgb="FF000000"/>
        <rFont val="Aptos Narrow"/>
        <scheme val="minor"/>
      </rPr>
      <t xml:space="preserve">Waldo </t>
    </r>
    <r>
      <rPr>
        <sz val="12"/>
        <color rgb="FF0F0F0F"/>
        <rFont val="Aptos Narrow"/>
        <scheme val="minor"/>
      </rPr>
      <t>County Vocational School</t>
    </r>
  </si>
  <si>
    <r>
      <t>Region 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 xml:space="preserve">8 Knox County </t>
    </r>
    <r>
      <rPr>
        <sz val="12"/>
        <color rgb="FF000000"/>
        <rFont val="Aptos Narrow"/>
        <scheme val="minor"/>
      </rPr>
      <t xml:space="preserve">Vocational </t>
    </r>
    <r>
      <rPr>
        <sz val="12"/>
        <color rgb="FF0F0F0F"/>
        <rFont val="Aptos Narrow"/>
        <scheme val="minor"/>
      </rPr>
      <t>School</t>
    </r>
  </si>
  <si>
    <r>
      <t xml:space="preserve">Region No. 9 School of </t>
    </r>
    <r>
      <rPr>
        <sz val="12"/>
        <color rgb="FF000000"/>
        <rFont val="Aptos Narrow"/>
        <scheme val="minor"/>
      </rPr>
      <t xml:space="preserve">Applied </t>
    </r>
    <r>
      <rPr>
        <sz val="12"/>
        <color rgb="FF0F0F0F"/>
        <rFont val="Aptos Narrow"/>
        <scheme val="minor"/>
      </rPr>
      <t>Technology</t>
    </r>
  </si>
  <si>
    <r>
      <t xml:space="preserve">Region </t>
    </r>
    <r>
      <rPr>
        <sz val="12"/>
        <color rgb="FF000000"/>
        <rFont val="Aptos Narrow"/>
        <scheme val="minor"/>
      </rPr>
      <t>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10 Cumberland Sagadahoc County</t>
    </r>
  </si>
  <si>
    <r>
      <t xml:space="preserve">Oxford Hill Technical </t>
    </r>
    <r>
      <rPr>
        <sz val="12"/>
        <color rgb="FF000000"/>
        <rFont val="Aptos Narrow"/>
        <scheme val="minor"/>
      </rPr>
      <t xml:space="preserve">School </t>
    </r>
    <r>
      <rPr>
        <sz val="12"/>
        <color rgb="FF0F0F0F"/>
        <rFont val="Aptos Narrow"/>
        <scheme val="minor"/>
      </rPr>
      <t>11</t>
    </r>
  </si>
  <si>
    <r>
      <t xml:space="preserve">Regional School </t>
    </r>
    <r>
      <rPr>
        <sz val="12"/>
        <color rgb="FF000000"/>
        <rFont val="Aptos Narrow"/>
        <scheme val="minor"/>
      </rPr>
      <t>Unit No</t>
    </r>
    <r>
      <rPr>
        <sz val="12"/>
        <color rgb="FF363636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1</t>
    </r>
  </si>
  <si>
    <r>
      <t xml:space="preserve">Regional School Unit </t>
    </r>
    <r>
      <rPr>
        <sz val="12"/>
        <color rgb="FF000000"/>
        <rFont val="Aptos Narrow"/>
        <scheme val="minor"/>
      </rPr>
      <t>No</t>
    </r>
    <r>
      <rPr>
        <sz val="12"/>
        <color rgb="FF676767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2</t>
    </r>
  </si>
  <si>
    <r>
      <t xml:space="preserve">Regional School Unit </t>
    </r>
    <r>
      <rPr>
        <b/>
        <sz val="12"/>
        <color rgb="FF000000"/>
        <rFont val="Aptos Narrow"/>
        <scheme val="minor"/>
      </rPr>
      <t>No</t>
    </r>
    <r>
      <rPr>
        <b/>
        <sz val="12"/>
        <color rgb="FF505050"/>
        <rFont val="Aptos Narrow"/>
        <scheme val="minor"/>
      </rPr>
      <t xml:space="preserve">. </t>
    </r>
    <r>
      <rPr>
        <b/>
        <sz val="12"/>
        <color rgb="FF0F0F0F"/>
        <rFont val="Aptos Narrow"/>
        <scheme val="minor"/>
      </rPr>
      <t>4</t>
    </r>
  </si>
  <si>
    <r>
      <t xml:space="preserve">Regional School Unit </t>
    </r>
    <r>
      <rPr>
        <sz val="12"/>
        <color rgb="FF000000"/>
        <rFont val="Aptos Narrow"/>
        <scheme val="minor"/>
      </rPr>
      <t>No</t>
    </r>
    <r>
      <rPr>
        <sz val="12"/>
        <color rgb="FF676767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5</t>
    </r>
  </si>
  <si>
    <r>
      <t xml:space="preserve">Regional School Unit </t>
    </r>
    <r>
      <rPr>
        <sz val="12"/>
        <color rgb="FF000000"/>
        <rFont val="Aptos Narrow"/>
        <scheme val="minor"/>
      </rPr>
      <t>No</t>
    </r>
    <r>
      <rPr>
        <sz val="12"/>
        <color rgb="FF363636"/>
        <rFont val="Aptos Narrow"/>
        <scheme val="minor"/>
      </rPr>
      <t xml:space="preserve">. </t>
    </r>
    <r>
      <rPr>
        <sz val="12"/>
        <color rgb="FF000000"/>
        <rFont val="Aptos Narrow"/>
        <scheme val="minor"/>
      </rPr>
      <t>10</t>
    </r>
  </si>
  <si>
    <r>
      <t xml:space="preserve">Regional School Unit </t>
    </r>
    <r>
      <rPr>
        <sz val="12"/>
        <color rgb="FF000000"/>
        <rFont val="Aptos Narrow"/>
        <scheme val="minor"/>
      </rPr>
      <t xml:space="preserve">No. </t>
    </r>
    <r>
      <rPr>
        <sz val="12"/>
        <color rgb="FF0F0F0F"/>
        <rFont val="Aptos Narrow"/>
        <scheme val="minor"/>
      </rPr>
      <t>12</t>
    </r>
  </si>
  <si>
    <r>
      <t xml:space="preserve">Regional School Unit </t>
    </r>
    <r>
      <rPr>
        <sz val="12"/>
        <color rgb="FF000000"/>
        <rFont val="Aptos Narrow"/>
        <scheme val="minor"/>
      </rPr>
      <t>No</t>
    </r>
    <r>
      <rPr>
        <sz val="12"/>
        <color rgb="FF363636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13</t>
    </r>
  </si>
  <si>
    <r>
      <t xml:space="preserve">Regional School </t>
    </r>
    <r>
      <rPr>
        <sz val="12"/>
        <color rgb="FF000000"/>
        <rFont val="Aptos Narrow"/>
        <scheme val="minor"/>
      </rPr>
      <t xml:space="preserve">Unit No. </t>
    </r>
    <r>
      <rPr>
        <b/>
        <sz val="12"/>
        <color rgb="FF0F0F0F"/>
        <rFont val="Aptos Narrow"/>
        <scheme val="minor"/>
      </rPr>
      <t>14</t>
    </r>
  </si>
  <si>
    <r>
      <t xml:space="preserve">Regional School </t>
    </r>
    <r>
      <rPr>
        <sz val="12"/>
        <color rgb="FF000000"/>
        <rFont val="Aptos Narrow"/>
        <scheme val="minor"/>
      </rPr>
      <t xml:space="preserve">Unit No. </t>
    </r>
    <r>
      <rPr>
        <sz val="12"/>
        <color rgb="FF0F0F0F"/>
        <rFont val="Aptos Narrow"/>
        <scheme val="minor"/>
      </rPr>
      <t>16</t>
    </r>
  </si>
  <si>
    <r>
      <t xml:space="preserve">Regional School </t>
    </r>
    <r>
      <rPr>
        <sz val="12"/>
        <color rgb="FF000000"/>
        <rFont val="Aptos Narrow"/>
        <scheme val="minor"/>
      </rPr>
      <t>Unit No</t>
    </r>
    <r>
      <rPr>
        <sz val="12"/>
        <color rgb="FF676767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18</t>
    </r>
  </si>
  <si>
    <r>
      <t xml:space="preserve">Regional School Unit </t>
    </r>
    <r>
      <rPr>
        <sz val="12"/>
        <color rgb="FF000000"/>
        <rFont val="Aptos Narrow"/>
        <scheme val="minor"/>
      </rPr>
      <t>No</t>
    </r>
    <r>
      <rPr>
        <sz val="12"/>
        <color rgb="FF676767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19</t>
    </r>
  </si>
  <si>
    <r>
      <t xml:space="preserve">Regional </t>
    </r>
    <r>
      <rPr>
        <sz val="12"/>
        <color theme="1"/>
        <rFont val="Aptos Narrow"/>
        <scheme val="minor"/>
      </rPr>
      <t>School Unit 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20</t>
    </r>
  </si>
  <si>
    <r>
      <t xml:space="preserve">Regional School </t>
    </r>
    <r>
      <rPr>
        <sz val="12"/>
        <color rgb="FF000000"/>
        <rFont val="Aptos Narrow"/>
        <scheme val="minor"/>
      </rPr>
      <t xml:space="preserve">Unit </t>
    </r>
    <r>
      <rPr>
        <b/>
        <sz val="12"/>
        <color rgb="FF000000"/>
        <rFont val="Aptos Narrow"/>
        <scheme val="minor"/>
      </rPr>
      <t>No</t>
    </r>
    <r>
      <rPr>
        <b/>
        <sz val="12"/>
        <color rgb="FF363636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21</t>
    </r>
  </si>
  <si>
    <r>
      <t xml:space="preserve">Regional School Unit </t>
    </r>
    <r>
      <rPr>
        <sz val="12"/>
        <color rgb="FF000000"/>
        <rFont val="Aptos Narrow"/>
        <scheme val="minor"/>
      </rPr>
      <t>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23</t>
    </r>
  </si>
  <si>
    <r>
      <t xml:space="preserve">Regional School </t>
    </r>
    <r>
      <rPr>
        <sz val="12"/>
        <color rgb="FF000000"/>
        <rFont val="Aptos Narrow"/>
        <scheme val="minor"/>
      </rPr>
      <t>Unit 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24</t>
    </r>
  </si>
  <si>
    <r>
      <t xml:space="preserve">Regional School </t>
    </r>
    <r>
      <rPr>
        <sz val="12"/>
        <color rgb="FF000000"/>
        <rFont val="Aptos Narrow"/>
        <scheme val="minor"/>
      </rPr>
      <t xml:space="preserve">Unit No. </t>
    </r>
    <r>
      <rPr>
        <sz val="12"/>
        <color rgb="FF0F0F0F"/>
        <rFont val="Aptos Narrow"/>
        <scheme val="minor"/>
      </rPr>
      <t>25</t>
    </r>
  </si>
  <si>
    <r>
      <t xml:space="preserve">Regional School </t>
    </r>
    <r>
      <rPr>
        <sz val="12"/>
        <color rgb="FF000000"/>
        <rFont val="Aptos Narrow"/>
        <scheme val="minor"/>
      </rPr>
      <t>Unit 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26</t>
    </r>
  </si>
  <si>
    <r>
      <t xml:space="preserve">Regional School </t>
    </r>
    <r>
      <rPr>
        <sz val="12"/>
        <color rgb="FF000000"/>
        <rFont val="Aptos Narrow"/>
        <scheme val="minor"/>
      </rPr>
      <t>Unit No</t>
    </r>
    <r>
      <rPr>
        <sz val="12"/>
        <color rgb="FF797979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34</t>
    </r>
  </si>
  <si>
    <r>
      <t xml:space="preserve">Regional School Unit </t>
    </r>
    <r>
      <rPr>
        <sz val="12"/>
        <color rgb="FF000000"/>
        <rFont val="Aptos Narrow"/>
        <scheme val="minor"/>
      </rPr>
      <t xml:space="preserve">No. </t>
    </r>
    <r>
      <rPr>
        <sz val="12"/>
        <color rgb="FF0F0F0F"/>
        <rFont val="Aptos Narrow"/>
        <scheme val="minor"/>
      </rPr>
      <t>38</t>
    </r>
  </si>
  <si>
    <r>
      <t xml:space="preserve">Regional School Unit </t>
    </r>
    <r>
      <rPr>
        <sz val="12"/>
        <color rgb="FF000000"/>
        <rFont val="Aptos Narrow"/>
        <scheme val="minor"/>
      </rPr>
      <t>No</t>
    </r>
    <r>
      <rPr>
        <sz val="12"/>
        <color rgb="FF363636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39</t>
    </r>
  </si>
  <si>
    <r>
      <t xml:space="preserve">Regional School Unit </t>
    </r>
    <r>
      <rPr>
        <b/>
        <sz val="12"/>
        <color rgb="FF000000"/>
        <rFont val="Aptos Narrow"/>
        <scheme val="minor"/>
      </rPr>
      <t>No</t>
    </r>
    <r>
      <rPr>
        <b/>
        <sz val="12"/>
        <color rgb="FF363636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50</t>
    </r>
  </si>
  <si>
    <r>
      <t xml:space="preserve">Regional School </t>
    </r>
    <r>
      <rPr>
        <sz val="12"/>
        <color rgb="FF000000"/>
        <rFont val="Aptos Narrow"/>
        <scheme val="minor"/>
      </rPr>
      <t xml:space="preserve">Unit No. </t>
    </r>
    <r>
      <rPr>
        <sz val="12"/>
        <color rgb="FF0F0F0F"/>
        <rFont val="Aptos Narrow"/>
        <scheme val="minor"/>
      </rPr>
      <t>73</t>
    </r>
  </si>
  <si>
    <r>
      <t xml:space="preserve">Regional School </t>
    </r>
    <r>
      <rPr>
        <sz val="12"/>
        <color rgb="FF000000"/>
        <rFont val="Aptos Narrow"/>
        <scheme val="minor"/>
      </rPr>
      <t>Unit No</t>
    </r>
    <r>
      <rPr>
        <sz val="12"/>
        <color rgb="FF363636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78</t>
    </r>
  </si>
  <si>
    <r>
      <t xml:space="preserve">School </t>
    </r>
    <r>
      <rPr>
        <sz val="12"/>
        <color rgb="FF000000"/>
        <rFont val="Aptos Narrow"/>
        <scheme val="minor"/>
      </rPr>
      <t xml:space="preserve">Agent </t>
    </r>
    <r>
      <rPr>
        <sz val="12"/>
        <color rgb="FF0F0F0F"/>
        <rFont val="Aptos Narrow"/>
        <scheme val="minor"/>
      </rPr>
      <t>- Carrabassett Valley</t>
    </r>
  </si>
  <si>
    <r>
      <t xml:space="preserve">School Agent </t>
    </r>
    <r>
      <rPr>
        <sz val="12"/>
        <color rgb="FF363636"/>
        <rFont val="Aptos Narrow"/>
        <scheme val="minor"/>
      </rPr>
      <t xml:space="preserve">- </t>
    </r>
    <r>
      <rPr>
        <sz val="12"/>
        <color rgb="FF0F0F0F"/>
        <rFont val="Aptos Narrow"/>
        <scheme val="minor"/>
      </rPr>
      <t>Coplin Plantation</t>
    </r>
  </si>
  <si>
    <r>
      <t xml:space="preserve">School </t>
    </r>
    <r>
      <rPr>
        <sz val="12"/>
        <color rgb="FF000000"/>
        <rFont val="Aptos Narrow"/>
        <scheme val="minor"/>
      </rPr>
      <t xml:space="preserve">Agent </t>
    </r>
    <r>
      <rPr>
        <sz val="12"/>
        <color rgb="FF0F0F0F"/>
        <rFont val="Aptos Narrow"/>
        <scheme val="minor"/>
      </rPr>
      <t>- Pleasant Ridge Plantation</t>
    </r>
  </si>
  <si>
    <r>
      <t xml:space="preserve">AOS </t>
    </r>
    <r>
      <rPr>
        <sz val="12"/>
        <color rgb="FF000000"/>
        <rFont val="Aptos Narrow"/>
        <scheme val="minor"/>
      </rPr>
      <t>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43 Central Office</t>
    </r>
  </si>
  <si>
    <r>
      <t>AOS No</t>
    </r>
    <r>
      <rPr>
        <sz val="12"/>
        <color rgb="FF505050"/>
        <rFont val="Aptos Narrow"/>
        <scheme val="minor"/>
      </rPr>
      <t xml:space="preserve">. </t>
    </r>
    <r>
      <rPr>
        <sz val="12"/>
        <color rgb="FF0F0F0F"/>
        <rFont val="Aptos Narrow"/>
        <scheme val="minor"/>
      </rPr>
      <t>43 Howland</t>
    </r>
  </si>
  <si>
    <r>
      <t xml:space="preserve">Regional School Unit No. 84 </t>
    </r>
    <r>
      <rPr>
        <i/>
        <sz val="12"/>
        <color theme="1"/>
        <rFont val="Aptos Narrow"/>
        <scheme val="minor"/>
      </rPr>
      <t xml:space="preserve">I </t>
    </r>
    <r>
      <rPr>
        <sz val="12"/>
        <color theme="1"/>
        <rFont val="Aptos Narrow"/>
        <scheme val="minor"/>
      </rPr>
      <t>MSAD 14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</si>
  <si>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77 Central Office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</si>
  <si>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77 Lubec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</si>
  <si>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77 Charlotte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</si>
  <si>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77 Eastport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</si>
  <si>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77 Pembroke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</si>
  <si>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90 Central Office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</si>
  <si>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90 Lee</t>
    </r>
  </si>
  <si>
    <r>
      <t xml:space="preserve">AOS </t>
    </r>
    <r>
      <rPr>
        <b/>
        <sz val="12"/>
        <color theme="1"/>
        <rFont val="Aptos Narrow"/>
        <scheme val="minor"/>
      </rPr>
      <t xml:space="preserve">No </t>
    </r>
    <r>
      <rPr>
        <sz val="12"/>
        <color theme="1"/>
        <rFont val="Aptos Narrow"/>
        <scheme val="minor"/>
      </rPr>
      <t>90 East Range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</si>
  <si>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90 Baileyville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</si>
  <si>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90 Princeton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</si>
  <si>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91 Bar Harbor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</si>
  <si>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91 Cranberry Isle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</si>
  <si>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91 Frenchboro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</si>
  <si>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91 Mt Desert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</si>
  <si>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91 Southwest Harbor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</si>
  <si>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91 Tremont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</si>
  <si>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91 Swans Island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</si>
  <si>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91 Trenton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</si>
  <si>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92 Vassalboro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</si>
  <si>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92 Winslow</t>
    </r>
  </si>
  <si>
    <r>
      <t xml:space="preserve">AOS </t>
    </r>
    <r>
      <rPr>
        <b/>
        <sz val="12"/>
        <color theme="1"/>
        <rFont val="Aptos Narrow"/>
        <scheme val="minor"/>
      </rPr>
      <t xml:space="preserve">No. </t>
    </r>
    <r>
      <rPr>
        <sz val="12"/>
        <color theme="1"/>
        <rFont val="Aptos Narrow"/>
        <scheme val="minor"/>
      </rPr>
      <t>93 Central Office</t>
    </r>
  </si>
  <si>
    <r>
      <t xml:space="preserve">AOS No. 95 Fort </t>
    </r>
    <r>
      <rPr>
        <sz val="12"/>
        <color rgb="FF111111"/>
        <rFont val="Aptos Narrow"/>
        <scheme val="minor"/>
      </rPr>
      <t>Kent</t>
    </r>
  </si>
  <si>
    <r>
      <t>AOS No</t>
    </r>
    <r>
      <rPr>
        <sz val="12"/>
        <color rgb="FF7E7E7E"/>
        <rFont val="Aptos Narrow"/>
        <scheme val="minor"/>
      </rPr>
      <t xml:space="preserve">. </t>
    </r>
    <r>
      <rPr>
        <sz val="12"/>
        <color rgb="FF010101"/>
        <rFont val="Aptos Narrow"/>
        <scheme val="minor"/>
      </rPr>
      <t>96 Wesley</t>
    </r>
  </si>
  <si>
    <r>
      <t>AOS No</t>
    </r>
    <r>
      <rPr>
        <sz val="12"/>
        <color rgb="FF424242"/>
        <rFont val="Aptos Narrow"/>
        <scheme val="minor"/>
      </rPr>
      <t xml:space="preserve">. </t>
    </r>
    <r>
      <rPr>
        <sz val="12"/>
        <color rgb="FF010101"/>
        <rFont val="Aptos Narrow"/>
        <scheme val="minor"/>
      </rPr>
      <t>96 Machiasport</t>
    </r>
  </si>
  <si>
    <r>
      <t>AOS No</t>
    </r>
    <r>
      <rPr>
        <sz val="12"/>
        <color rgb="FF565656"/>
        <rFont val="Aptos Narrow"/>
        <scheme val="minor"/>
      </rPr>
      <t xml:space="preserve">. </t>
    </r>
    <r>
      <rPr>
        <sz val="12"/>
        <color rgb="FF111111"/>
        <rFont val="Aptos Narrow"/>
        <scheme val="minor"/>
      </rPr>
      <t xml:space="preserve">97 </t>
    </r>
    <r>
      <rPr>
        <sz val="12"/>
        <color rgb="FF010101"/>
        <rFont val="Aptos Narrow"/>
        <scheme val="minor"/>
      </rPr>
      <t>Fayette</t>
    </r>
  </si>
  <si>
    <r>
      <t>AOS No</t>
    </r>
    <r>
      <rPr>
        <sz val="12"/>
        <color rgb="FF424242"/>
        <rFont val="Aptos Narrow"/>
        <scheme val="minor"/>
      </rPr>
      <t xml:space="preserve">. </t>
    </r>
    <r>
      <rPr>
        <sz val="12"/>
        <color rgb="FF010101"/>
        <rFont val="Aptos Narrow"/>
        <scheme val="minor"/>
      </rPr>
      <t>97 Winthrop</t>
    </r>
  </si>
  <si>
    <r>
      <t>AOS No</t>
    </r>
    <r>
      <rPr>
        <sz val="12"/>
        <color rgb="FF9A9A9A"/>
        <rFont val="Aptos Narrow"/>
        <scheme val="minor"/>
      </rPr>
      <t xml:space="preserve">. </t>
    </r>
    <r>
      <rPr>
        <sz val="12"/>
        <color rgb="FF010101"/>
        <rFont val="Aptos Narrow"/>
        <scheme val="minor"/>
      </rPr>
      <t>98 Boothbay Harbor</t>
    </r>
  </si>
  <si>
    <r>
      <t>AOS No</t>
    </r>
    <r>
      <rPr>
        <sz val="12"/>
        <color rgb="FF424242"/>
        <rFont val="Aptos Narrow"/>
        <scheme val="minor"/>
      </rPr>
      <t xml:space="preserve">. </t>
    </r>
    <r>
      <rPr>
        <sz val="12"/>
        <color rgb="FF010101"/>
        <rFont val="Aptos Narrow"/>
        <scheme val="minor"/>
      </rPr>
      <t>98 Georgetown</t>
    </r>
  </si>
  <si>
    <r>
      <t xml:space="preserve">Union </t>
    </r>
    <r>
      <rPr>
        <sz val="12"/>
        <color rgb="FF111111"/>
        <rFont val="Aptos Narrow"/>
        <scheme val="minor"/>
      </rPr>
      <t xml:space="preserve">69 </t>
    </r>
    <r>
      <rPr>
        <sz val="12"/>
        <color rgb="FF010101"/>
        <rFont val="Aptos Narrow"/>
        <scheme val="minor"/>
      </rPr>
      <t>Appleton</t>
    </r>
  </si>
  <si>
    <r>
      <t xml:space="preserve">Union </t>
    </r>
    <r>
      <rPr>
        <sz val="12"/>
        <color rgb="FF111111"/>
        <rFont val="Aptos Narrow"/>
        <scheme val="minor"/>
      </rPr>
      <t xml:space="preserve">76 </t>
    </r>
    <r>
      <rPr>
        <sz val="12"/>
        <color rgb="FF010101"/>
        <rFont val="Aptos Narrow"/>
        <scheme val="minor"/>
      </rPr>
      <t>Sedgewick</t>
    </r>
  </si>
  <si>
    <r>
      <t xml:space="preserve">Union </t>
    </r>
    <r>
      <rPr>
        <sz val="12"/>
        <color rgb="FF111111"/>
        <rFont val="Aptos Narrow"/>
        <scheme val="minor"/>
      </rPr>
      <t xml:space="preserve">108 </t>
    </r>
    <r>
      <rPr>
        <sz val="12"/>
        <color rgb="FF010101"/>
        <rFont val="Aptos Narrow"/>
        <scheme val="minor"/>
      </rPr>
      <t>Vanceboro</t>
    </r>
  </si>
  <si>
    <r>
      <t xml:space="preserve">Union 122 </t>
    </r>
    <r>
      <rPr>
        <b/>
        <sz val="12"/>
        <color rgb="FF010101"/>
        <rFont val="Aptos Narrow"/>
        <scheme val="minor"/>
      </rPr>
      <t xml:space="preserve">New </t>
    </r>
    <r>
      <rPr>
        <sz val="12"/>
        <color rgb="FF010101"/>
        <rFont val="Aptos Narrow"/>
        <scheme val="minor"/>
      </rPr>
      <t>Sweden</t>
    </r>
  </si>
  <si>
    <t>State of Maine, Non-Employer Entity</t>
  </si>
  <si>
    <t>CSD No. 18 Wells - Ogunquit</t>
  </si>
  <si>
    <t>CSD No. 19 Five Town CSD</t>
  </si>
  <si>
    <t>Andover School Department</t>
  </si>
  <si>
    <t>TCAND</t>
  </si>
  <si>
    <t>Medway School Department</t>
  </si>
  <si>
    <t>Millinocket School Department</t>
  </si>
  <si>
    <t>Maine School of Science and Mathematics</t>
  </si>
  <si>
    <t>Northport School Department</t>
  </si>
  <si>
    <t>TCNOR</t>
  </si>
  <si>
    <t>Otis School Department</t>
  </si>
  <si>
    <t>Portland School Department</t>
  </si>
  <si>
    <t>Saco School Department</t>
  </si>
  <si>
    <t>Sanford School Department</t>
  </si>
  <si>
    <t>Scarborough School Department</t>
  </si>
  <si>
    <t>South Portland School Department</t>
  </si>
  <si>
    <t>Saint George Municipal School Unit</t>
  </si>
  <si>
    <t>TCSTG</t>
  </si>
  <si>
    <t>West Bath School Department</t>
  </si>
  <si>
    <t>TCWBA</t>
  </si>
  <si>
    <t>Winthrop School Department</t>
  </si>
  <si>
    <t>Wiscasset School Department</t>
  </si>
  <si>
    <t>Yarmouth School Department</t>
  </si>
  <si>
    <t>RSU No. 79 - Presque Isle</t>
  </si>
  <si>
    <t>RSU No. 3 - Unity</t>
  </si>
  <si>
    <t>RSU No. 6 - Bar Mills</t>
  </si>
  <si>
    <t>RSU No. 9 - Farmington</t>
  </si>
  <si>
    <t>RSU No. 11 - Gardiner</t>
  </si>
  <si>
    <t>RSU No. 15 - Gray</t>
  </si>
  <si>
    <t>RSU No. 17 - South Paris</t>
  </si>
  <si>
    <t>RSU No. 22 - Hampden</t>
  </si>
  <si>
    <t>MSAD 24 Van Buren</t>
  </si>
  <si>
    <t>MSAD 27 Fort Kent</t>
  </si>
  <si>
    <t>RSU No. 29 - Houlton</t>
  </si>
  <si>
    <t>MSAD 32 Ashland</t>
  </si>
  <si>
    <t>MSAD 33 Saint Agatha</t>
  </si>
  <si>
    <t>RSU No. 35 - Eliot</t>
  </si>
  <si>
    <t>RSU No. 40 - Waldoboro</t>
  </si>
  <si>
    <t>MSAD 42 Mars Hill</t>
  </si>
  <si>
    <t>RSU No. 44 - Bethel</t>
  </si>
  <si>
    <t>RSU No. 49 - Fairfield</t>
  </si>
  <si>
    <t>RSU No. 51 - Cumberland Center</t>
  </si>
  <si>
    <t>RSU No. 52 - Turner</t>
  </si>
  <si>
    <t>MSAD 53 Pittsfield</t>
  </si>
  <si>
    <t>RSU No. 54 - Skowhegan</t>
  </si>
  <si>
    <t>RSU No. 55 - Cornish</t>
  </si>
  <si>
    <t>RSU No. 57 - Waterboro</t>
  </si>
  <si>
    <t>RSU No. 60 - North Berwick</t>
  </si>
  <si>
    <t>RSU No. 61 - Bridgton</t>
  </si>
  <si>
    <t>RSU No. 64 - East Corinth</t>
  </si>
  <si>
    <t>RSU No. 67 - Lincoln</t>
  </si>
  <si>
    <t>MSAD 68 Dover-Foxcroft</t>
  </si>
  <si>
    <t>RSU No. 72 - Fryeburg</t>
  </si>
  <si>
    <t>MSAD 74 North Anson</t>
  </si>
  <si>
    <t>RSU No. 75 - Topsham</t>
  </si>
  <si>
    <t>Pleasant Point School</t>
  </si>
  <si>
    <t>Indian Island</t>
  </si>
  <si>
    <t>Maine Indian Education</t>
  </si>
  <si>
    <t>Region No. 2 Southern Aroostook County</t>
  </si>
  <si>
    <t>Region No. 4 United Technologies Center</t>
  </si>
  <si>
    <t>Region No. 7 Waldo County</t>
  </si>
  <si>
    <t>Region No. 8 Mid-Coast School of Technology</t>
  </si>
  <si>
    <t>Region No. 9 School of Applied Technology</t>
  </si>
  <si>
    <t>Region No. 10 Cumberland Sagadahoc County</t>
  </si>
  <si>
    <t>Region No. 11 Oxford Hill Technical School</t>
  </si>
  <si>
    <t>Regional School Unit No. 1</t>
  </si>
  <si>
    <t>Regional School Unit No. 2</t>
  </si>
  <si>
    <t>Regional School Unit No. 4</t>
  </si>
  <si>
    <t>Regional School Unit No. 5</t>
  </si>
  <si>
    <t>Regional School Unit No. 10</t>
  </si>
  <si>
    <t>Regional School Unit No. 12</t>
  </si>
  <si>
    <t>Regional School Unit No. 13</t>
  </si>
  <si>
    <t>Regional School Unit No. 14</t>
  </si>
  <si>
    <t>Regional School Unit No. 16</t>
  </si>
  <si>
    <t>Regional School Unit No. 18</t>
  </si>
  <si>
    <t>Regional School Unit No. 19</t>
  </si>
  <si>
    <t>Regional School Unit No. 20</t>
  </si>
  <si>
    <t>Regional School Unit No. 21</t>
  </si>
  <si>
    <t>Regional School Unit No. 23</t>
  </si>
  <si>
    <t>Regional School Unit No. 24</t>
  </si>
  <si>
    <t>Regional School Unit No. 25</t>
  </si>
  <si>
    <t>Regional School Unit No. 26</t>
  </si>
  <si>
    <t>Regional School Unit No. 34</t>
  </si>
  <si>
    <t>Regional School Unit No. 38</t>
  </si>
  <si>
    <t>Regional School Unit No. 39</t>
  </si>
  <si>
    <t>Regional School Unit No. 50</t>
  </si>
  <si>
    <t>Regional School Unit No. 71</t>
  </si>
  <si>
    <t>TS071</t>
  </si>
  <si>
    <t>Regional School Unit No. 73</t>
  </si>
  <si>
    <t>Regional School Unit No. 78</t>
  </si>
  <si>
    <t>School Agent - Carrabassett Valley</t>
  </si>
  <si>
    <t>School Agent - Coplin Plantation</t>
  </si>
  <si>
    <t>School Agent - Pleasant Ridge Plantation</t>
  </si>
  <si>
    <t>AOS No. 43 Central Office</t>
  </si>
  <si>
    <t>AOS No. 43 Howland</t>
  </si>
  <si>
    <t>Regional School Unit No. 70</t>
  </si>
  <si>
    <t>Regional School Unit No. 84</t>
  </si>
  <si>
    <t>AOS No. 77 Central Office</t>
  </si>
  <si>
    <t>AOS No. 77 Lubec</t>
  </si>
  <si>
    <t>AOS No. 77 Charlotte</t>
  </si>
  <si>
    <t>AOS No. 77 Eastport</t>
  </si>
  <si>
    <t>AOS No. 77 Pembroke</t>
  </si>
  <si>
    <t>AOS No. 81 Airline</t>
  </si>
  <si>
    <t>AOS No. 90 Central Office</t>
  </si>
  <si>
    <t>AOS No. 90 Lee</t>
  </si>
  <si>
    <t>AOS No. 90 East Range</t>
  </si>
  <si>
    <t>AOS No. 90 Baileyville</t>
  </si>
  <si>
    <t>AOS No. 90 Princeton</t>
  </si>
  <si>
    <t>AOS No. 91 Bar Harbor</t>
  </si>
  <si>
    <t>AOS No. 91 Cranberry Isle</t>
  </si>
  <si>
    <t>AOS No. 91 Frenchboro</t>
  </si>
  <si>
    <t>AOS No. 91 Mt Desert</t>
  </si>
  <si>
    <t>AOS No. 91 Southwest Harbor</t>
  </si>
  <si>
    <t>AOS No. 91 Tremont</t>
  </si>
  <si>
    <t>AOS No. 91 Swans Island</t>
  </si>
  <si>
    <t>AOS No. 91 Trenton</t>
  </si>
  <si>
    <t>AOS No. 92 Vassalboro</t>
  </si>
  <si>
    <t>AOS No. 92 Winslow</t>
  </si>
  <si>
    <t>AOS No. 93 Central Office</t>
  </si>
  <si>
    <t>AOS No. 94</t>
  </si>
  <si>
    <t>AOS No. 95 Fort Kent</t>
  </si>
  <si>
    <t>AOS No. 95 St. John Valley</t>
  </si>
  <si>
    <t>TT096D</t>
  </si>
  <si>
    <t>AOS No. 96 Wesley</t>
  </si>
  <si>
    <t>TT096I</t>
  </si>
  <si>
    <t>AOS No. 96 Machiasport</t>
  </si>
  <si>
    <t>AOS No. 97 Fayette</t>
  </si>
  <si>
    <t>AOS No. 97 Winthrop</t>
  </si>
  <si>
    <t>AOS No. 98 Boothbay Harbor</t>
  </si>
  <si>
    <t>AOS No. 98 Georgetown</t>
  </si>
  <si>
    <t>Union 69 Appleton</t>
  </si>
  <si>
    <t>Union 76 Sedgewick</t>
  </si>
  <si>
    <t>Greenbush School Department</t>
  </si>
  <si>
    <t>Milford School Department</t>
  </si>
  <si>
    <t>Union 93 Surry</t>
  </si>
  <si>
    <t>Union 102 Machias</t>
  </si>
  <si>
    <t>TU1022</t>
  </si>
  <si>
    <t>Vanceboro School Department</t>
  </si>
  <si>
    <t>Union 122 New Sweden</t>
  </si>
  <si>
    <t>School Agent - Carrabassett</t>
  </si>
  <si>
    <t>AOS No. 96 Whitneyville</t>
  </si>
  <si>
    <t>TT096H</t>
  </si>
  <si>
    <t>Regional School Unit No. 56</t>
  </si>
  <si>
    <t>TS056</t>
  </si>
  <si>
    <t>Maine Ocean School</t>
  </si>
  <si>
    <t>TCMOS</t>
  </si>
  <si>
    <t>Sebago Public Schools</t>
  </si>
  <si>
    <t>TCSEB</t>
  </si>
  <si>
    <t>Regional School Unit No. 89</t>
  </si>
  <si>
    <t>TS089</t>
  </si>
  <si>
    <t>Limestone Public Schools</t>
  </si>
  <si>
    <t>TCLMS</t>
  </si>
  <si>
    <t>district_name</t>
  </si>
  <si>
    <t>Western Maine Regional Service Center</t>
  </si>
  <si>
    <t>TSC001</t>
  </si>
  <si>
    <t>state_contributions</t>
  </si>
  <si>
    <t>total_contributions</t>
  </si>
  <si>
    <t>Year</t>
  </si>
  <si>
    <t>Region No. 4 Southern Penobscot County</t>
  </si>
  <si>
    <t>State</t>
  </si>
  <si>
    <t>Maine</t>
  </si>
  <si>
    <t>state_abv</t>
  </si>
  <si>
    <t>ME</t>
  </si>
  <si>
    <t>plan</t>
  </si>
  <si>
    <t>Maine Public Employees Retirement System - State Employee &amp; Teacher Plan</t>
  </si>
  <si>
    <t>LEAID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</si>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</sst>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00%"/>
  </numFmts>
  <fonts count="3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7"/>
      <color theme="1"/>
      <name val="Times New Roman"/>
      <family val="1"/>
    </font>
    <font>
      <sz val="12"/>
      <color theme="1"/>
      <name val="Aptos Narrow"/>
      <scheme val="minor"/>
    </font>
    <font>
      <sz val="12"/>
      <color rgb="FF030303"/>
      <name val="Aptos Narrow"/>
      <scheme val="minor"/>
    </font>
    <font>
      <sz val="12"/>
      <color rgb="FF2F2F2F"/>
      <name val="Aptos Narrow"/>
      <scheme val="minor"/>
    </font>
    <font>
      <sz val="12"/>
      <color rgb="FF424242"/>
      <name val="Aptos Narrow"/>
      <scheme val="minor"/>
    </font>
    <font>
      <sz val="12"/>
      <color rgb="FF0F0F0F"/>
      <name val="Aptos Narrow"/>
      <scheme val="minor"/>
    </font>
    <font>
      <sz val="12"/>
      <color rgb="FF000000"/>
      <name val="Aptos Narrow"/>
      <scheme val="minor"/>
    </font>
    <font>
      <sz val="12"/>
      <color rgb="FF212121"/>
      <name val="Aptos Narrow"/>
      <scheme val="minor"/>
    </font>
    <font>
      <b/>
      <sz val="12"/>
      <color theme="1"/>
      <name val="Aptos Narrow"/>
      <scheme val="minor"/>
    </font>
    <font>
      <sz val="12"/>
      <color rgb="FF6D6D6D"/>
      <name val="Aptos Narrow"/>
      <scheme val="minor"/>
    </font>
    <font>
      <sz val="12"/>
      <color rgb="FF383838"/>
      <name val="Aptos Narrow"/>
      <scheme val="minor"/>
    </font>
    <font>
      <sz val="12"/>
      <color rgb="FF4D4D4D"/>
      <name val="Aptos Narrow"/>
      <scheme val="minor"/>
    </font>
    <font>
      <sz val="12"/>
      <color rgb="FF5B5B5B"/>
      <name val="Aptos Narrow"/>
      <scheme val="minor"/>
    </font>
    <font>
      <sz val="12"/>
      <color rgb="FF939393"/>
      <name val="Aptos Narrow"/>
      <scheme val="minor"/>
    </font>
    <font>
      <sz val="12"/>
      <color rgb="FF505050"/>
      <name val="Aptos Narrow"/>
      <scheme val="minor"/>
    </font>
    <font>
      <sz val="12"/>
      <color rgb="FF676767"/>
      <name val="Aptos Narrow"/>
      <scheme val="minor"/>
    </font>
    <font>
      <sz val="12"/>
      <color rgb="FF232323"/>
      <name val="Aptos Narrow"/>
      <scheme val="minor"/>
    </font>
    <font>
      <sz val="12"/>
      <color rgb="FF363636"/>
      <name val="Aptos Narrow"/>
      <scheme val="minor"/>
    </font>
    <font>
      <b/>
      <sz val="12"/>
      <color rgb="FF000000"/>
      <name val="Aptos Narrow"/>
      <scheme val="minor"/>
    </font>
    <font>
      <b/>
      <sz val="12"/>
      <color rgb="FF505050"/>
      <name val="Aptos Narrow"/>
      <scheme val="minor"/>
    </font>
    <font>
      <b/>
      <sz val="12"/>
      <color rgb="FF0F0F0F"/>
      <name val="Aptos Narrow"/>
      <scheme val="minor"/>
    </font>
    <font>
      <b/>
      <sz val="12"/>
      <color rgb="FF363636"/>
      <name val="Aptos Narrow"/>
      <scheme val="minor"/>
    </font>
    <font>
      <sz val="12"/>
      <color rgb="FF797979"/>
      <name val="Aptos Narrow"/>
      <scheme val="minor"/>
    </font>
    <font>
      <i/>
      <sz val="12"/>
      <color theme="1"/>
      <name val="Aptos Narrow"/>
      <scheme val="minor"/>
    </font>
    <font>
      <sz val="12"/>
      <color rgb="FF010101"/>
      <name val="Aptos Narrow"/>
      <scheme val="minor"/>
    </font>
    <font>
      <sz val="12"/>
      <color rgb="FF111111"/>
      <name val="Aptos Narrow"/>
      <scheme val="minor"/>
    </font>
    <font>
      <sz val="12"/>
      <color rgb="FF7E7E7E"/>
      <name val="Aptos Narrow"/>
      <scheme val="minor"/>
    </font>
    <font>
      <sz val="12"/>
      <color rgb="FF565656"/>
      <name val="Aptos Narrow"/>
      <scheme val="minor"/>
    </font>
    <font>
      <sz val="12"/>
      <color rgb="FF9A9A9A"/>
      <name val="Aptos Narrow"/>
      <scheme val="minor"/>
    </font>
    <font>
      <b/>
      <sz val="12"/>
      <color rgb="FF010101"/>
      <name val="Aptos Narrow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164" fontId="3" fillId="0" borderId="0" xfId="1" applyNumberFormat="1" applyFont="1"/>
    <xf numFmtId="0" fontId="4" fillId="0" borderId="0" xfId="0" applyFont="1"/>
    <xf numFmtId="3" fontId="4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10" fillId="0" borderId="0" xfId="0" applyFont="1"/>
    <xf numFmtId="0" fontId="8" fillId="0" borderId="0" xfId="0" applyFont="1"/>
    <xf numFmtId="3" fontId="9" fillId="0" borderId="0" xfId="0" applyNumberFormat="1" applyFont="1"/>
    <xf numFmtId="3" fontId="3" fillId="0" borderId="0" xfId="0" applyNumberFormat="1" applyFont="1"/>
    <xf numFmtId="3" fontId="8" fillId="0" borderId="0" xfId="0" applyNumberFormat="1" applyFont="1"/>
    <xf numFmtId="10" fontId="3" fillId="0" borderId="0" xfId="0" applyNumberFormat="1" applyFont="1"/>
    <xf numFmtId="0" fontId="26" fillId="0" borderId="0" xfId="0" applyFont="1"/>
    <xf numFmtId="3" fontId="26" fillId="0" borderId="0" xfId="0" applyNumberFormat="1" applyFont="1"/>
    <xf numFmtId="0" fontId="27" fillId="0" borderId="0" xfId="0" applyFont="1"/>
    <xf numFmtId="3" fontId="27" fillId="0" borderId="0" xfId="0" applyNumberFormat="1" applyFont="1"/>
    <xf numFmtId="165" fontId="3" fillId="0" borderId="0" xfId="1" applyNumberFormat="1" applyFont="1"/>
    <xf numFmtId="10" fontId="2" fillId="0" borderId="0" xfId="0" applyNumberFormat="1" applyFont="1"/>
    <xf numFmtId="10" fontId="32" fillId="0" borderId="0" xfId="0" applyNumberFormat="1" applyFont="1"/>
    <xf numFmtId="166" fontId="0" fillId="0" borderId="0" xfId="2" applyNumberFormat="1" applyFont="1"/>
    <xf numFmtId="1" fontId="0" fillId="0" borderId="0" xfId="1" applyNumberFormat="1" applyFont="1"/>
    <xf numFmtId="1" fontId="3" fillId="0" borderId="0" xfId="0" applyNumberFormat="1" applyFont="1"/>
    <xf numFmtId="1" fontId="0" fillId="0" borderId="0" xfId="0" applyNumberFormat="1"/>
    <xf numFmtId="166" fontId="3" fillId="0" borderId="0" xfId="2" applyNumberFormat="1" applyFont="1"/>
    <xf numFmtId="1" fontId="3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C7D6-84A1-4C42-AF1B-CBCA12D2EA01}">
  <sheetPr>
    <tabColor rgb="FF002060"/>
  </sheetPr>
  <dimension ref="A1:K1982"/>
  <sheetViews>
    <sheetView tabSelected="1" workbookViewId="0">
      <selection activeCell="E10" sqref="E10"/>
    </sheetView>
  </sheetViews>
  <sheetFormatPr baseColWidth="10" defaultRowHeight="16" x14ac:dyDescent="0.2"/>
  <cols>
    <col min="5" max="5" width="36.6640625" customWidth="1"/>
    <col min="6" max="6" width="38.6640625" bestFit="1" customWidth="1"/>
    <col min="7" max="7" width="13.5" bestFit="1" customWidth="1"/>
    <col min="8" max="8" width="18.83203125" bestFit="1" customWidth="1"/>
    <col min="9" max="9" width="17.1640625" bestFit="1" customWidth="1"/>
    <col min="10" max="10" width="16.83203125" bestFit="1" customWidth="1"/>
  </cols>
  <sheetData>
    <row r="1" spans="1:11" x14ac:dyDescent="0.2">
      <c r="A1" t="s">
        <v>647</v>
      </c>
      <c r="B1" t="s">
        <v>639</v>
      </c>
      <c r="C1" t="s">
        <v>641</v>
      </c>
      <c r="D1" t="s">
        <v>643</v>
      </c>
      <c r="E1" t="s">
        <v>645</v>
      </c>
      <c r="F1" t="s">
        <v>634</v>
      </c>
      <c r="G1" t="s">
        <v>364</v>
      </c>
      <c r="H1" t="s">
        <v>363</v>
      </c>
      <c r="I1" t="s">
        <v>637</v>
      </c>
      <c r="J1" t="s">
        <v>638</v>
      </c>
    </row>
    <row r="2" spans="1:11" x14ac:dyDescent="0.2">
      <c r="A2">
        <f>K2</f>
        <v>2306780</v>
      </c>
      <c r="B2">
        <v>2015</v>
      </c>
      <c r="C2" t="s">
        <v>642</v>
      </c>
      <c r="D2" t="s">
        <v>644</v>
      </c>
      <c r="E2" t="s">
        <v>646</v>
      </c>
      <c r="F2" t="s">
        <v>2</v>
      </c>
      <c r="G2" t="s">
        <v>3</v>
      </c>
      <c r="I2">
        <v>0</v>
      </c>
      <c r="J2">
        <v>0</v>
      </c>
      <c r="K2">
        <f>IFERROR(VLOOKUP(F2,'LEAID Match'!$A$2:$B$236,2,FALSE),"")</f>
        <v>2306780</v>
      </c>
    </row>
    <row r="3" spans="1:11" x14ac:dyDescent="0.2">
      <c r="A3">
        <f t="shared" ref="A3:A66" si="0">K3</f>
        <v>2306780</v>
      </c>
      <c r="B3">
        <v>2016</v>
      </c>
      <c r="C3" t="s">
        <v>642</v>
      </c>
      <c r="D3" t="s">
        <v>644</v>
      </c>
      <c r="E3" t="s">
        <v>646</v>
      </c>
      <c r="F3" s="1" t="s">
        <v>2</v>
      </c>
      <c r="G3" s="1" t="s">
        <v>3</v>
      </c>
      <c r="H3" s="22"/>
      <c r="I3">
        <v>0</v>
      </c>
      <c r="J3">
        <v>0</v>
      </c>
      <c r="K3">
        <f>IFERROR(VLOOKUP(F3,'LEAID Match'!$A$2:$B$236,2,FALSE),"")</f>
        <v>2306780</v>
      </c>
    </row>
    <row r="4" spans="1:11" x14ac:dyDescent="0.2">
      <c r="A4">
        <f t="shared" si="0"/>
        <v>2306780</v>
      </c>
      <c r="B4">
        <v>2017</v>
      </c>
      <c r="C4" t="s">
        <v>642</v>
      </c>
      <c r="D4" t="s">
        <v>644</v>
      </c>
      <c r="E4" t="s">
        <v>646</v>
      </c>
      <c r="F4" t="s">
        <v>2</v>
      </c>
      <c r="G4" t="s">
        <v>3</v>
      </c>
      <c r="I4">
        <v>0</v>
      </c>
      <c r="J4">
        <v>0</v>
      </c>
      <c r="K4">
        <f>IFERROR(VLOOKUP(F4,'LEAID Match'!$A$2:$B$236,2,FALSE),"")</f>
        <v>2306780</v>
      </c>
    </row>
    <row r="5" spans="1:11" x14ac:dyDescent="0.2">
      <c r="A5">
        <f t="shared" si="0"/>
        <v>2306780</v>
      </c>
      <c r="B5">
        <v>2018</v>
      </c>
      <c r="C5" t="s">
        <v>642</v>
      </c>
      <c r="D5" t="s">
        <v>644</v>
      </c>
      <c r="E5" t="s">
        <v>646</v>
      </c>
      <c r="F5" t="s">
        <v>2</v>
      </c>
      <c r="G5" t="s">
        <v>3</v>
      </c>
      <c r="I5">
        <v>0</v>
      </c>
      <c r="J5">
        <v>0</v>
      </c>
      <c r="K5">
        <f>IFERROR(VLOOKUP(F5,'LEAID Match'!$A$2:$B$236,2,FALSE),"")</f>
        <v>2306780</v>
      </c>
    </row>
    <row r="6" spans="1:11" x14ac:dyDescent="0.2">
      <c r="A6">
        <f t="shared" si="0"/>
        <v>2306780</v>
      </c>
      <c r="B6">
        <v>2019</v>
      </c>
      <c r="C6" t="s">
        <v>642</v>
      </c>
      <c r="D6" t="s">
        <v>644</v>
      </c>
      <c r="E6" t="s">
        <v>646</v>
      </c>
      <c r="F6" t="s">
        <v>2</v>
      </c>
      <c r="G6" t="s">
        <v>3</v>
      </c>
      <c r="I6">
        <v>0</v>
      </c>
      <c r="J6">
        <v>0</v>
      </c>
      <c r="K6">
        <f>IFERROR(VLOOKUP(F6,'LEAID Match'!$A$2:$B$236,2,FALSE),"")</f>
        <v>2306780</v>
      </c>
    </row>
    <row r="7" spans="1:11" x14ac:dyDescent="0.2">
      <c r="A7">
        <f t="shared" si="0"/>
        <v>2306780</v>
      </c>
      <c r="B7">
        <v>2020</v>
      </c>
      <c r="C7" t="s">
        <v>642</v>
      </c>
      <c r="D7" t="s">
        <v>644</v>
      </c>
      <c r="E7" t="s">
        <v>646</v>
      </c>
      <c r="F7" t="s">
        <v>2</v>
      </c>
      <c r="G7" t="s">
        <v>3</v>
      </c>
      <c r="I7">
        <v>0</v>
      </c>
      <c r="J7">
        <v>0</v>
      </c>
      <c r="K7">
        <f>IFERROR(VLOOKUP(F7,'LEAID Match'!$A$2:$B$236,2,FALSE),"")</f>
        <v>2306780</v>
      </c>
    </row>
    <row r="8" spans="1:11" x14ac:dyDescent="0.2">
      <c r="A8">
        <f t="shared" si="0"/>
        <v>2306780</v>
      </c>
      <c r="B8">
        <v>2021</v>
      </c>
      <c r="C8" t="s">
        <v>642</v>
      </c>
      <c r="D8" t="s">
        <v>644</v>
      </c>
      <c r="E8" t="s">
        <v>646</v>
      </c>
      <c r="F8" t="s">
        <v>2</v>
      </c>
      <c r="G8" t="s">
        <v>3</v>
      </c>
      <c r="I8">
        <v>0</v>
      </c>
      <c r="J8">
        <v>0</v>
      </c>
      <c r="K8">
        <f>IFERROR(VLOOKUP(F8,'LEAID Match'!$A$2:$B$236,2,FALSE),"")</f>
        <v>2306780</v>
      </c>
    </row>
    <row r="9" spans="1:11" x14ac:dyDescent="0.2">
      <c r="A9">
        <f t="shared" si="0"/>
        <v>2306780</v>
      </c>
      <c r="B9">
        <v>2022</v>
      </c>
      <c r="C9" t="s">
        <v>642</v>
      </c>
      <c r="D9" t="s">
        <v>644</v>
      </c>
      <c r="E9" t="s">
        <v>646</v>
      </c>
      <c r="F9" t="s">
        <v>2</v>
      </c>
      <c r="G9" t="s">
        <v>3</v>
      </c>
      <c r="I9">
        <v>0</v>
      </c>
      <c r="J9">
        <v>0</v>
      </c>
      <c r="K9">
        <f>IFERROR(VLOOKUP(F9,'LEAID Match'!$A$2:$B$236,2,FALSE),"")</f>
        <v>2306780</v>
      </c>
    </row>
    <row r="10" spans="1:11" x14ac:dyDescent="0.2">
      <c r="A10">
        <f t="shared" si="0"/>
        <v>2308340</v>
      </c>
      <c r="B10">
        <v>2015</v>
      </c>
      <c r="C10" t="s">
        <v>642</v>
      </c>
      <c r="D10" t="s">
        <v>644</v>
      </c>
      <c r="E10" t="s">
        <v>646</v>
      </c>
      <c r="F10" t="s">
        <v>4</v>
      </c>
      <c r="G10" t="s">
        <v>5</v>
      </c>
      <c r="I10">
        <v>0</v>
      </c>
      <c r="J10">
        <v>0</v>
      </c>
      <c r="K10">
        <f>IFERROR(VLOOKUP(F10,'LEAID Match'!$A$2:$B$236,2,FALSE),"")</f>
        <v>2308340</v>
      </c>
    </row>
    <row r="11" spans="1:11" x14ac:dyDescent="0.2">
      <c r="A11">
        <f t="shared" si="0"/>
        <v>2308340</v>
      </c>
      <c r="B11">
        <v>2016</v>
      </c>
      <c r="C11" t="s">
        <v>642</v>
      </c>
      <c r="D11" t="s">
        <v>644</v>
      </c>
      <c r="E11" t="s">
        <v>646</v>
      </c>
      <c r="F11" s="1" t="s">
        <v>4</v>
      </c>
      <c r="G11" s="1" t="s">
        <v>5</v>
      </c>
      <c r="H11" s="22"/>
      <c r="I11">
        <v>0</v>
      </c>
      <c r="J11">
        <v>0</v>
      </c>
      <c r="K11">
        <f>IFERROR(VLOOKUP(F11,'LEAID Match'!$A$2:$B$236,2,FALSE),"")</f>
        <v>2308340</v>
      </c>
    </row>
    <row r="12" spans="1:11" x14ac:dyDescent="0.2">
      <c r="A12">
        <f t="shared" si="0"/>
        <v>2308340</v>
      </c>
      <c r="B12">
        <v>2017</v>
      </c>
      <c r="C12" t="s">
        <v>642</v>
      </c>
      <c r="D12" t="s">
        <v>644</v>
      </c>
      <c r="E12" t="s">
        <v>646</v>
      </c>
      <c r="F12" t="s">
        <v>4</v>
      </c>
      <c r="G12" t="s">
        <v>5</v>
      </c>
      <c r="I12">
        <v>0</v>
      </c>
      <c r="J12">
        <v>0</v>
      </c>
      <c r="K12">
        <f>IFERROR(VLOOKUP(F12,'LEAID Match'!$A$2:$B$236,2,FALSE),"")</f>
        <v>2308340</v>
      </c>
    </row>
    <row r="13" spans="1:11" x14ac:dyDescent="0.2">
      <c r="A13">
        <f t="shared" si="0"/>
        <v>2308340</v>
      </c>
      <c r="B13">
        <v>2018</v>
      </c>
      <c r="C13" t="s">
        <v>642</v>
      </c>
      <c r="D13" t="s">
        <v>644</v>
      </c>
      <c r="E13" t="s">
        <v>646</v>
      </c>
      <c r="F13" t="s">
        <v>4</v>
      </c>
      <c r="G13" t="s">
        <v>5</v>
      </c>
      <c r="I13">
        <v>0</v>
      </c>
      <c r="J13">
        <v>0</v>
      </c>
      <c r="K13">
        <f>IFERROR(VLOOKUP(F13,'LEAID Match'!$A$2:$B$236,2,FALSE),"")</f>
        <v>2308340</v>
      </c>
    </row>
    <row r="14" spans="1:11" x14ac:dyDescent="0.2">
      <c r="A14">
        <f t="shared" si="0"/>
        <v>2308340</v>
      </c>
      <c r="B14">
        <v>2019</v>
      </c>
      <c r="C14" t="s">
        <v>642</v>
      </c>
      <c r="D14" t="s">
        <v>644</v>
      </c>
      <c r="E14" t="s">
        <v>646</v>
      </c>
      <c r="F14" t="s">
        <v>4</v>
      </c>
      <c r="G14" t="s">
        <v>5</v>
      </c>
      <c r="I14">
        <v>0</v>
      </c>
      <c r="J14">
        <v>0</v>
      </c>
      <c r="K14">
        <f>IFERROR(VLOOKUP(F14,'LEAID Match'!$A$2:$B$236,2,FALSE),"")</f>
        <v>2308340</v>
      </c>
    </row>
    <row r="15" spans="1:11" x14ac:dyDescent="0.2">
      <c r="A15">
        <f t="shared" si="0"/>
        <v>2308340</v>
      </c>
      <c r="B15">
        <v>2020</v>
      </c>
      <c r="C15" t="s">
        <v>642</v>
      </c>
      <c r="D15" t="s">
        <v>644</v>
      </c>
      <c r="E15" t="s">
        <v>646</v>
      </c>
      <c r="F15" t="s">
        <v>4</v>
      </c>
      <c r="G15" t="s">
        <v>5</v>
      </c>
      <c r="I15">
        <v>0</v>
      </c>
      <c r="J15">
        <v>0</v>
      </c>
      <c r="K15">
        <f>IFERROR(VLOOKUP(F15,'LEAID Match'!$A$2:$B$236,2,FALSE),"")</f>
        <v>2308340</v>
      </c>
    </row>
    <row r="16" spans="1:11" x14ac:dyDescent="0.2">
      <c r="A16">
        <f t="shared" si="0"/>
        <v>2308340</v>
      </c>
      <c r="B16">
        <v>2021</v>
      </c>
      <c r="C16" t="s">
        <v>642</v>
      </c>
      <c r="D16" t="s">
        <v>644</v>
      </c>
      <c r="E16" t="s">
        <v>646</v>
      </c>
      <c r="F16" t="s">
        <v>4</v>
      </c>
      <c r="G16" t="s">
        <v>5</v>
      </c>
      <c r="I16">
        <v>0</v>
      </c>
      <c r="J16">
        <v>0</v>
      </c>
      <c r="K16">
        <f>IFERROR(VLOOKUP(F16,'LEAID Match'!$A$2:$B$236,2,FALSE),"")</f>
        <v>2308340</v>
      </c>
    </row>
    <row r="17" spans="1:11" x14ac:dyDescent="0.2">
      <c r="A17">
        <f t="shared" si="0"/>
        <v>2308340</v>
      </c>
      <c r="B17">
        <v>2022</v>
      </c>
      <c r="C17" t="s">
        <v>642</v>
      </c>
      <c r="D17" t="s">
        <v>644</v>
      </c>
      <c r="E17" t="s">
        <v>646</v>
      </c>
      <c r="F17" t="s">
        <v>4</v>
      </c>
      <c r="G17" t="s">
        <v>5</v>
      </c>
      <c r="I17">
        <v>0</v>
      </c>
      <c r="J17">
        <v>0</v>
      </c>
      <c r="K17">
        <f>IFERROR(VLOOKUP(F17,'LEAID Match'!$A$2:$B$236,2,FALSE),"")</f>
        <v>2308340</v>
      </c>
    </row>
    <row r="18" spans="1:11" x14ac:dyDescent="0.2">
      <c r="A18">
        <f t="shared" si="0"/>
        <v>2304895</v>
      </c>
      <c r="B18">
        <v>2015</v>
      </c>
      <c r="C18" t="s">
        <v>642</v>
      </c>
      <c r="D18" t="s">
        <v>644</v>
      </c>
      <c r="E18" t="s">
        <v>646</v>
      </c>
      <c r="F18" t="s">
        <v>6</v>
      </c>
      <c r="G18" t="s">
        <v>7</v>
      </c>
      <c r="H18">
        <v>12858</v>
      </c>
      <c r="I18">
        <v>246534.67450886415</v>
      </c>
      <c r="J18">
        <v>259392.67450886415</v>
      </c>
      <c r="K18">
        <f>IFERROR(VLOOKUP(F18,'LEAID Match'!$A$2:$B$236,2,FALSE),"")</f>
        <v>2304895</v>
      </c>
    </row>
    <row r="19" spans="1:11" x14ac:dyDescent="0.2">
      <c r="A19">
        <f t="shared" si="0"/>
        <v>2304895</v>
      </c>
      <c r="B19">
        <v>2016</v>
      </c>
      <c r="C19" t="s">
        <v>642</v>
      </c>
      <c r="D19" t="s">
        <v>644</v>
      </c>
      <c r="E19" t="s">
        <v>646</v>
      </c>
      <c r="F19" s="1" t="s">
        <v>6</v>
      </c>
      <c r="G19" s="1" t="s">
        <v>7</v>
      </c>
      <c r="H19" s="22">
        <v>9376</v>
      </c>
      <c r="I19">
        <v>178187.15076357481</v>
      </c>
      <c r="J19">
        <v>187563.15076357481</v>
      </c>
      <c r="K19">
        <f>IFERROR(VLOOKUP(F19,'LEAID Match'!$A$2:$B$236,2,FALSE),"")</f>
        <v>2304895</v>
      </c>
    </row>
    <row r="20" spans="1:11" x14ac:dyDescent="0.2">
      <c r="A20">
        <f t="shared" si="0"/>
        <v>2304895</v>
      </c>
      <c r="B20">
        <v>2017</v>
      </c>
      <c r="C20" t="s">
        <v>642</v>
      </c>
      <c r="D20" t="s">
        <v>644</v>
      </c>
      <c r="E20" t="s">
        <v>646</v>
      </c>
      <c r="F20" t="s">
        <v>6</v>
      </c>
      <c r="G20" t="s">
        <v>7</v>
      </c>
      <c r="H20">
        <v>9195</v>
      </c>
      <c r="I20">
        <v>175324.72399372724</v>
      </c>
      <c r="J20">
        <v>184519.72399372724</v>
      </c>
      <c r="K20">
        <f>IFERROR(VLOOKUP(F20,'LEAID Match'!$A$2:$B$236,2,FALSE),"")</f>
        <v>2304895</v>
      </c>
    </row>
    <row r="21" spans="1:11" x14ac:dyDescent="0.2">
      <c r="A21">
        <f t="shared" si="0"/>
        <v>2304895</v>
      </c>
      <c r="B21">
        <v>2018</v>
      </c>
      <c r="C21" t="s">
        <v>642</v>
      </c>
      <c r="D21" t="s">
        <v>644</v>
      </c>
      <c r="E21" t="s">
        <v>646</v>
      </c>
      <c r="F21" t="s">
        <v>6</v>
      </c>
      <c r="G21" t="s">
        <v>7</v>
      </c>
      <c r="H21">
        <v>9751</v>
      </c>
      <c r="I21">
        <v>197645.88412924946</v>
      </c>
      <c r="J21">
        <v>207396.88412924946</v>
      </c>
      <c r="K21">
        <f>IFERROR(VLOOKUP(F21,'LEAID Match'!$A$2:$B$236,2,FALSE),"")</f>
        <v>2304895</v>
      </c>
    </row>
    <row r="22" spans="1:11" x14ac:dyDescent="0.2">
      <c r="A22">
        <f t="shared" si="0"/>
        <v>2304895</v>
      </c>
      <c r="B22">
        <v>2019</v>
      </c>
      <c r="C22" t="s">
        <v>642</v>
      </c>
      <c r="D22" t="s">
        <v>644</v>
      </c>
      <c r="E22" t="s">
        <v>646</v>
      </c>
      <c r="F22" t="s">
        <v>6</v>
      </c>
      <c r="G22" t="s">
        <v>7</v>
      </c>
      <c r="H22">
        <v>7782</v>
      </c>
      <c r="I22">
        <v>166721.85128695102</v>
      </c>
      <c r="J22">
        <v>174503.85128695102</v>
      </c>
      <c r="K22">
        <f>IFERROR(VLOOKUP(F22,'LEAID Match'!$A$2:$B$236,2,FALSE),"")</f>
        <v>2304895</v>
      </c>
    </row>
    <row r="23" spans="1:11" x14ac:dyDescent="0.2">
      <c r="A23">
        <f t="shared" si="0"/>
        <v>2304895</v>
      </c>
      <c r="B23">
        <v>2020</v>
      </c>
      <c r="C23" t="s">
        <v>642</v>
      </c>
      <c r="D23" t="s">
        <v>644</v>
      </c>
      <c r="E23" t="s">
        <v>646</v>
      </c>
      <c r="F23" t="s">
        <v>6</v>
      </c>
      <c r="G23" t="s">
        <v>7</v>
      </c>
      <c r="H23">
        <v>10566</v>
      </c>
      <c r="I23">
        <v>235430.84132358842</v>
      </c>
      <c r="J23">
        <v>245996.84132358842</v>
      </c>
      <c r="K23">
        <f>IFERROR(VLOOKUP(F23,'LEAID Match'!$A$2:$B$236,2,FALSE),"")</f>
        <v>2304895</v>
      </c>
    </row>
    <row r="24" spans="1:11" x14ac:dyDescent="0.2">
      <c r="A24">
        <f t="shared" si="0"/>
        <v>2304895</v>
      </c>
      <c r="B24">
        <v>2021</v>
      </c>
      <c r="C24" t="s">
        <v>642</v>
      </c>
      <c r="D24" t="s">
        <v>644</v>
      </c>
      <c r="E24" t="s">
        <v>646</v>
      </c>
      <c r="F24" t="s">
        <v>6</v>
      </c>
      <c r="G24" t="s">
        <v>7</v>
      </c>
      <c r="H24">
        <v>35987</v>
      </c>
      <c r="I24">
        <v>604558.22343262634</v>
      </c>
      <c r="J24">
        <v>640545.22343262634</v>
      </c>
      <c r="K24">
        <f>IFERROR(VLOOKUP(F24,'LEAID Match'!$A$2:$B$236,2,FALSE),"")</f>
        <v>2304895</v>
      </c>
    </row>
    <row r="25" spans="1:11" x14ac:dyDescent="0.2">
      <c r="A25">
        <f t="shared" si="0"/>
        <v>2304895</v>
      </c>
      <c r="B25">
        <v>2022</v>
      </c>
      <c r="C25" t="s">
        <v>642</v>
      </c>
      <c r="D25" t="s">
        <v>644</v>
      </c>
      <c r="E25" t="s">
        <v>646</v>
      </c>
      <c r="F25" t="s">
        <v>6</v>
      </c>
      <c r="G25" t="s">
        <v>7</v>
      </c>
      <c r="H25">
        <v>47998</v>
      </c>
      <c r="I25">
        <v>690929.90105884243</v>
      </c>
      <c r="J25">
        <v>738927.90105884243</v>
      </c>
      <c r="K25">
        <f>IFERROR(VLOOKUP(F25,'LEAID Match'!$A$2:$B$236,2,FALSE),"")</f>
        <v>2304895</v>
      </c>
    </row>
    <row r="26" spans="1:11" x14ac:dyDescent="0.2">
      <c r="A26">
        <f t="shared" si="0"/>
        <v>2308400</v>
      </c>
      <c r="B26">
        <v>2015</v>
      </c>
      <c r="C26" t="s">
        <v>642</v>
      </c>
      <c r="D26" t="s">
        <v>644</v>
      </c>
      <c r="E26" t="s">
        <v>646</v>
      </c>
      <c r="F26" t="s">
        <v>8</v>
      </c>
      <c r="G26" t="s">
        <v>9</v>
      </c>
      <c r="H26">
        <v>32</v>
      </c>
      <c r="I26">
        <v>613.55650834372784</v>
      </c>
      <c r="J26">
        <v>645.55650834372784</v>
      </c>
      <c r="K26">
        <f>IFERROR(VLOOKUP(F26,'LEAID Match'!$A$2:$B$236,2,FALSE),"")</f>
        <v>2308400</v>
      </c>
    </row>
    <row r="27" spans="1:11" x14ac:dyDescent="0.2">
      <c r="A27">
        <f t="shared" si="0"/>
        <v>2308400</v>
      </c>
      <c r="B27">
        <v>2016</v>
      </c>
      <c r="C27" t="s">
        <v>642</v>
      </c>
      <c r="D27" t="s">
        <v>644</v>
      </c>
      <c r="E27" t="s">
        <v>646</v>
      </c>
      <c r="F27" s="1" t="s">
        <v>8</v>
      </c>
      <c r="G27" s="1" t="s">
        <v>9</v>
      </c>
      <c r="H27" s="22">
        <v>24</v>
      </c>
      <c r="I27">
        <v>456.11045417297305</v>
      </c>
      <c r="J27">
        <v>480.11045417297305</v>
      </c>
      <c r="K27">
        <f>IFERROR(VLOOKUP(F27,'LEAID Match'!$A$2:$B$236,2,FALSE),"")</f>
        <v>2308400</v>
      </c>
    </row>
    <row r="28" spans="1:11" x14ac:dyDescent="0.2">
      <c r="A28">
        <f t="shared" si="0"/>
        <v>2308400</v>
      </c>
      <c r="B28">
        <v>2017</v>
      </c>
      <c r="C28" t="s">
        <v>642</v>
      </c>
      <c r="D28" t="s">
        <v>644</v>
      </c>
      <c r="E28" t="s">
        <v>646</v>
      </c>
      <c r="F28" t="s">
        <v>8</v>
      </c>
      <c r="G28" t="s">
        <v>9</v>
      </c>
      <c r="H28">
        <v>1028</v>
      </c>
      <c r="I28">
        <v>19601.285075100768</v>
      </c>
      <c r="J28">
        <v>20629.285075100768</v>
      </c>
      <c r="K28">
        <f>IFERROR(VLOOKUP(F28,'LEAID Match'!$A$2:$B$236,2,FALSE),"")</f>
        <v>2308400</v>
      </c>
    </row>
    <row r="29" spans="1:11" x14ac:dyDescent="0.2">
      <c r="A29">
        <f t="shared" si="0"/>
        <v>2308400</v>
      </c>
      <c r="B29">
        <v>2018</v>
      </c>
      <c r="C29" t="s">
        <v>642</v>
      </c>
      <c r="D29" t="s">
        <v>644</v>
      </c>
      <c r="E29" t="s">
        <v>646</v>
      </c>
      <c r="F29" t="s">
        <v>8</v>
      </c>
      <c r="G29" t="s">
        <v>9</v>
      </c>
      <c r="H29">
        <v>1986</v>
      </c>
      <c r="I29">
        <v>40254.81754493789</v>
      </c>
      <c r="J29">
        <v>42240.81754493789</v>
      </c>
      <c r="K29">
        <f>IFERROR(VLOOKUP(F29,'LEAID Match'!$A$2:$B$236,2,FALSE),"")</f>
        <v>2308400</v>
      </c>
    </row>
    <row r="30" spans="1:11" x14ac:dyDescent="0.2">
      <c r="A30">
        <f t="shared" si="0"/>
        <v>2308400</v>
      </c>
      <c r="B30">
        <v>2019</v>
      </c>
      <c r="C30" t="s">
        <v>642</v>
      </c>
      <c r="D30" t="s">
        <v>644</v>
      </c>
      <c r="E30" t="s">
        <v>646</v>
      </c>
      <c r="F30" t="s">
        <v>8</v>
      </c>
      <c r="G30" t="s">
        <v>9</v>
      </c>
      <c r="H30">
        <v>1945</v>
      </c>
      <c r="I30">
        <v>41669.750803536335</v>
      </c>
      <c r="J30">
        <v>43614.750803536335</v>
      </c>
      <c r="K30">
        <f>IFERROR(VLOOKUP(F30,'LEAID Match'!$A$2:$B$236,2,FALSE),"")</f>
        <v>2308400</v>
      </c>
    </row>
    <row r="31" spans="1:11" x14ac:dyDescent="0.2">
      <c r="A31">
        <f t="shared" si="0"/>
        <v>2308400</v>
      </c>
      <c r="B31">
        <v>2020</v>
      </c>
      <c r="C31" t="s">
        <v>642</v>
      </c>
      <c r="D31" t="s">
        <v>644</v>
      </c>
      <c r="E31" t="s">
        <v>646</v>
      </c>
      <c r="F31" t="s">
        <v>8</v>
      </c>
      <c r="G31" t="s">
        <v>9</v>
      </c>
      <c r="H31">
        <v>3914</v>
      </c>
      <c r="I31">
        <v>87211.462515665829</v>
      </c>
      <c r="J31">
        <v>91125.462515665829</v>
      </c>
      <c r="K31">
        <f>IFERROR(VLOOKUP(F31,'LEAID Match'!$A$2:$B$236,2,FALSE),"")</f>
        <v>2308400</v>
      </c>
    </row>
    <row r="32" spans="1:11" x14ac:dyDescent="0.2">
      <c r="A32">
        <f t="shared" si="0"/>
        <v>2308400</v>
      </c>
      <c r="B32">
        <v>2021</v>
      </c>
      <c r="C32" t="s">
        <v>642</v>
      </c>
      <c r="D32" t="s">
        <v>644</v>
      </c>
      <c r="E32" t="s">
        <v>646</v>
      </c>
      <c r="F32" t="s">
        <v>8</v>
      </c>
      <c r="G32" t="s">
        <v>9</v>
      </c>
      <c r="H32">
        <v>1902</v>
      </c>
      <c r="I32">
        <v>31952.364491868044</v>
      </c>
      <c r="J32">
        <v>33854.364491868044</v>
      </c>
      <c r="K32">
        <f>IFERROR(VLOOKUP(F32,'LEAID Match'!$A$2:$B$236,2,FALSE),"")</f>
        <v>2308400</v>
      </c>
    </row>
    <row r="33" spans="1:11" x14ac:dyDescent="0.2">
      <c r="A33">
        <f t="shared" si="0"/>
        <v>2308400</v>
      </c>
      <c r="B33">
        <v>2022</v>
      </c>
      <c r="C33" t="s">
        <v>642</v>
      </c>
      <c r="D33" t="s">
        <v>644</v>
      </c>
      <c r="E33" t="s">
        <v>646</v>
      </c>
      <c r="F33" t="s">
        <v>8</v>
      </c>
      <c r="G33" t="s">
        <v>9</v>
      </c>
      <c r="H33">
        <v>2592</v>
      </c>
      <c r="I33">
        <v>37311.769314232253</v>
      </c>
      <c r="J33">
        <v>39903.769314232253</v>
      </c>
      <c r="K33">
        <f>IFERROR(VLOOKUP(F33,'LEAID Match'!$A$2:$B$236,2,FALSE),"")</f>
        <v>2308400</v>
      </c>
    </row>
    <row r="34" spans="1:11" x14ac:dyDescent="0.2">
      <c r="A34">
        <f t="shared" si="0"/>
        <v>2313490</v>
      </c>
      <c r="B34">
        <v>2015</v>
      </c>
      <c r="C34" t="s">
        <v>642</v>
      </c>
      <c r="D34" t="s">
        <v>644</v>
      </c>
      <c r="E34" t="s">
        <v>646</v>
      </c>
      <c r="F34" t="s">
        <v>483</v>
      </c>
      <c r="G34" t="s">
        <v>10</v>
      </c>
      <c r="H34">
        <v>17509</v>
      </c>
      <c r="I34">
        <v>335711.27826844784</v>
      </c>
      <c r="J34">
        <v>353220.27826844784</v>
      </c>
      <c r="K34">
        <f>IFERROR(VLOOKUP(F34,'LEAID Match'!$A$2:$B$236,2,FALSE),"")</f>
        <v>2313490</v>
      </c>
    </row>
    <row r="35" spans="1:11" x14ac:dyDescent="0.2">
      <c r="A35">
        <f t="shared" si="0"/>
        <v>2313490</v>
      </c>
      <c r="B35">
        <v>2016</v>
      </c>
      <c r="C35" t="s">
        <v>642</v>
      </c>
      <c r="D35" t="s">
        <v>644</v>
      </c>
      <c r="E35" t="s">
        <v>646</v>
      </c>
      <c r="F35" s="1" t="s">
        <v>483</v>
      </c>
      <c r="G35" s="1" t="s">
        <v>10</v>
      </c>
      <c r="H35" s="22">
        <v>12861</v>
      </c>
      <c r="I35">
        <v>244418.18962994192</v>
      </c>
      <c r="J35">
        <v>257279.18962994192</v>
      </c>
      <c r="K35">
        <f>IFERROR(VLOOKUP(F35,'LEAID Match'!$A$2:$B$236,2,FALSE),"")</f>
        <v>2313490</v>
      </c>
    </row>
    <row r="36" spans="1:11" x14ac:dyDescent="0.2">
      <c r="A36">
        <f t="shared" si="0"/>
        <v>2313490</v>
      </c>
      <c r="B36">
        <v>2017</v>
      </c>
      <c r="C36" t="s">
        <v>642</v>
      </c>
      <c r="D36" t="s">
        <v>644</v>
      </c>
      <c r="E36" t="s">
        <v>646</v>
      </c>
      <c r="F36" t="s">
        <v>483</v>
      </c>
      <c r="G36" t="s">
        <v>10</v>
      </c>
      <c r="H36">
        <v>17994</v>
      </c>
      <c r="I36">
        <v>343098.75840599538</v>
      </c>
      <c r="J36">
        <v>361092.75840599538</v>
      </c>
      <c r="K36">
        <f>IFERROR(VLOOKUP(F36,'LEAID Match'!$A$2:$B$236,2,FALSE),"")</f>
        <v>2313490</v>
      </c>
    </row>
    <row r="37" spans="1:11" x14ac:dyDescent="0.2">
      <c r="A37">
        <f t="shared" si="0"/>
        <v>2313490</v>
      </c>
      <c r="B37">
        <v>2018</v>
      </c>
      <c r="C37" t="s">
        <v>642</v>
      </c>
      <c r="D37" t="s">
        <v>644</v>
      </c>
      <c r="E37" t="s">
        <v>646</v>
      </c>
      <c r="F37" t="s">
        <v>483</v>
      </c>
      <c r="G37" t="s">
        <v>10</v>
      </c>
      <c r="H37">
        <v>19357</v>
      </c>
      <c r="I37">
        <v>392352.72065325419</v>
      </c>
      <c r="J37">
        <v>411709.72065325419</v>
      </c>
      <c r="K37">
        <f>IFERROR(VLOOKUP(F37,'LEAID Match'!$A$2:$B$236,2,FALSE),"")</f>
        <v>2313490</v>
      </c>
    </row>
    <row r="38" spans="1:11" x14ac:dyDescent="0.2">
      <c r="A38">
        <f t="shared" si="0"/>
        <v>2313490</v>
      </c>
      <c r="B38">
        <v>2019</v>
      </c>
      <c r="C38" t="s">
        <v>642</v>
      </c>
      <c r="D38" t="s">
        <v>644</v>
      </c>
      <c r="E38" t="s">
        <v>646</v>
      </c>
      <c r="F38" t="s">
        <v>483</v>
      </c>
      <c r="G38" t="s">
        <v>10</v>
      </c>
      <c r="H38">
        <v>26369</v>
      </c>
      <c r="I38">
        <v>564930.41590665793</v>
      </c>
      <c r="J38">
        <v>591299.41590665793</v>
      </c>
      <c r="K38">
        <f>IFERROR(VLOOKUP(F38,'LEAID Match'!$A$2:$B$236,2,FALSE),"")</f>
        <v>2313490</v>
      </c>
    </row>
    <row r="39" spans="1:11" x14ac:dyDescent="0.2">
      <c r="A39">
        <f t="shared" si="0"/>
        <v>2313490</v>
      </c>
      <c r="B39">
        <v>2020</v>
      </c>
      <c r="C39" t="s">
        <v>642</v>
      </c>
      <c r="D39" t="s">
        <v>644</v>
      </c>
      <c r="E39" t="s">
        <v>646</v>
      </c>
      <c r="F39" t="s">
        <v>483</v>
      </c>
      <c r="G39" t="s">
        <v>10</v>
      </c>
      <c r="H39">
        <v>42431</v>
      </c>
      <c r="I39">
        <v>945444.44711349439</v>
      </c>
      <c r="J39">
        <v>987875.44711349439</v>
      </c>
      <c r="K39">
        <f>IFERROR(VLOOKUP(F39,'LEAID Match'!$A$2:$B$236,2,FALSE),"")</f>
        <v>2313490</v>
      </c>
    </row>
    <row r="40" spans="1:11" x14ac:dyDescent="0.2">
      <c r="A40">
        <f t="shared" si="0"/>
        <v>2313490</v>
      </c>
      <c r="B40">
        <v>2021</v>
      </c>
      <c r="C40" t="s">
        <v>642</v>
      </c>
      <c r="D40" t="s">
        <v>644</v>
      </c>
      <c r="E40" t="s">
        <v>646</v>
      </c>
      <c r="F40" t="s">
        <v>483</v>
      </c>
      <c r="G40" t="s">
        <v>10</v>
      </c>
      <c r="H40">
        <v>41449</v>
      </c>
      <c r="I40">
        <v>696316.2754066448</v>
      </c>
      <c r="J40">
        <v>737765.2754066448</v>
      </c>
      <c r="K40">
        <f>IFERROR(VLOOKUP(F40,'LEAID Match'!$A$2:$B$236,2,FALSE),"")</f>
        <v>2313490</v>
      </c>
    </row>
    <row r="41" spans="1:11" x14ac:dyDescent="0.2">
      <c r="A41">
        <f t="shared" si="0"/>
        <v>2313490</v>
      </c>
      <c r="B41">
        <v>2022</v>
      </c>
      <c r="C41" t="s">
        <v>642</v>
      </c>
      <c r="D41" t="s">
        <v>644</v>
      </c>
      <c r="E41" t="s">
        <v>646</v>
      </c>
      <c r="F41" t="s">
        <v>483</v>
      </c>
      <c r="G41" t="s">
        <v>10</v>
      </c>
      <c r="H41">
        <v>83037</v>
      </c>
      <c r="I41">
        <v>1195315.3505192527</v>
      </c>
      <c r="J41">
        <v>1278352.3505192527</v>
      </c>
      <c r="K41">
        <f>IFERROR(VLOOKUP(F41,'LEAID Match'!$A$2:$B$236,2,FALSE),"")</f>
        <v>2313490</v>
      </c>
    </row>
    <row r="42" spans="1:11" x14ac:dyDescent="0.2">
      <c r="A42">
        <f t="shared" si="0"/>
        <v>2300053</v>
      </c>
      <c r="B42">
        <v>2015</v>
      </c>
      <c r="C42" t="s">
        <v>642</v>
      </c>
      <c r="D42" t="s">
        <v>644</v>
      </c>
      <c r="E42" t="s">
        <v>646</v>
      </c>
      <c r="F42" t="s">
        <v>484</v>
      </c>
      <c r="G42" t="s">
        <v>11</v>
      </c>
      <c r="H42">
        <v>14959</v>
      </c>
      <c r="I42">
        <v>286818.49400980701</v>
      </c>
      <c r="J42">
        <v>301777.49400980701</v>
      </c>
      <c r="K42">
        <f>IFERROR(VLOOKUP(F42,'LEAID Match'!$A$2:$B$236,2,FALSE),"")</f>
        <v>2300053</v>
      </c>
    </row>
    <row r="43" spans="1:11" x14ac:dyDescent="0.2">
      <c r="A43">
        <f t="shared" si="0"/>
        <v>2300053</v>
      </c>
      <c r="B43">
        <v>2016</v>
      </c>
      <c r="C43" t="s">
        <v>642</v>
      </c>
      <c r="D43" t="s">
        <v>644</v>
      </c>
      <c r="E43" t="s">
        <v>646</v>
      </c>
      <c r="F43" s="1" t="s">
        <v>484</v>
      </c>
      <c r="G43" s="1" t="s">
        <v>11</v>
      </c>
      <c r="H43" s="22">
        <v>9438</v>
      </c>
      <c r="I43">
        <v>179365.43610352164</v>
      </c>
      <c r="J43">
        <v>188803.43610352164</v>
      </c>
      <c r="K43">
        <f>IFERROR(VLOOKUP(F43,'LEAID Match'!$A$2:$B$236,2,FALSE),"")</f>
        <v>2300053</v>
      </c>
    </row>
    <row r="44" spans="1:11" x14ac:dyDescent="0.2">
      <c r="A44">
        <f t="shared" si="0"/>
        <v>2300053</v>
      </c>
      <c r="B44">
        <v>2017</v>
      </c>
      <c r="C44" t="s">
        <v>642</v>
      </c>
      <c r="D44" t="s">
        <v>644</v>
      </c>
      <c r="E44" t="s">
        <v>646</v>
      </c>
      <c r="F44" t="s">
        <v>484</v>
      </c>
      <c r="G44" t="s">
        <v>11</v>
      </c>
      <c r="H44">
        <v>6281</v>
      </c>
      <c r="I44">
        <v>119762.32641703107</v>
      </c>
      <c r="J44">
        <v>126043.32641703107</v>
      </c>
      <c r="K44">
        <f>IFERROR(VLOOKUP(F44,'LEAID Match'!$A$2:$B$236,2,FALSE),"")</f>
        <v>2300053</v>
      </c>
    </row>
    <row r="45" spans="1:11" x14ac:dyDescent="0.2">
      <c r="A45">
        <f t="shared" si="0"/>
        <v>2300053</v>
      </c>
      <c r="B45">
        <v>2018</v>
      </c>
      <c r="C45" t="s">
        <v>642</v>
      </c>
      <c r="D45" t="s">
        <v>644</v>
      </c>
      <c r="E45" t="s">
        <v>646</v>
      </c>
      <c r="F45" t="s">
        <v>484</v>
      </c>
      <c r="G45" t="s">
        <v>11</v>
      </c>
      <c r="H45">
        <v>8720</v>
      </c>
      <c r="I45">
        <v>176748.2421912681</v>
      </c>
      <c r="J45">
        <v>185468.2421912681</v>
      </c>
      <c r="K45">
        <f>IFERROR(VLOOKUP(F45,'LEAID Match'!$A$2:$B$236,2,FALSE),"")</f>
        <v>2300053</v>
      </c>
    </row>
    <row r="46" spans="1:11" x14ac:dyDescent="0.2">
      <c r="A46">
        <f t="shared" si="0"/>
        <v>2300053</v>
      </c>
      <c r="B46">
        <v>2019</v>
      </c>
      <c r="C46" t="s">
        <v>642</v>
      </c>
      <c r="D46" t="s">
        <v>644</v>
      </c>
      <c r="E46" t="s">
        <v>646</v>
      </c>
      <c r="F46" t="s">
        <v>484</v>
      </c>
      <c r="G46" t="s">
        <v>11</v>
      </c>
      <c r="H46">
        <v>6981</v>
      </c>
      <c r="I46">
        <v>149561.19812827103</v>
      </c>
      <c r="J46">
        <v>156542.19812827103</v>
      </c>
      <c r="K46">
        <f>IFERROR(VLOOKUP(F46,'LEAID Match'!$A$2:$B$236,2,FALSE),"")</f>
        <v>2300053</v>
      </c>
    </row>
    <row r="47" spans="1:11" x14ac:dyDescent="0.2">
      <c r="A47">
        <f t="shared" si="0"/>
        <v>2300053</v>
      </c>
      <c r="B47">
        <v>2020</v>
      </c>
      <c r="C47" t="s">
        <v>642</v>
      </c>
      <c r="D47" t="s">
        <v>644</v>
      </c>
      <c r="E47" t="s">
        <v>646</v>
      </c>
      <c r="F47" t="s">
        <v>484</v>
      </c>
      <c r="G47" t="s">
        <v>11</v>
      </c>
      <c r="H47">
        <v>8218</v>
      </c>
      <c r="I47">
        <v>183112.87658501323</v>
      </c>
      <c r="J47">
        <v>191330.87658501323</v>
      </c>
      <c r="K47">
        <f>IFERROR(VLOOKUP(F47,'LEAID Match'!$A$2:$B$236,2,FALSE),"")</f>
        <v>2300053</v>
      </c>
    </row>
    <row r="48" spans="1:11" x14ac:dyDescent="0.2">
      <c r="A48">
        <f t="shared" si="0"/>
        <v>2300053</v>
      </c>
      <c r="B48">
        <v>2021</v>
      </c>
      <c r="C48" t="s">
        <v>642</v>
      </c>
      <c r="D48" t="s">
        <v>644</v>
      </c>
      <c r="E48" t="s">
        <v>646</v>
      </c>
      <c r="F48" t="s">
        <v>484</v>
      </c>
      <c r="G48" t="s">
        <v>11</v>
      </c>
      <c r="H48">
        <v>20514</v>
      </c>
      <c r="I48">
        <v>344621.87444068404</v>
      </c>
      <c r="J48">
        <v>365135.87444068404</v>
      </c>
      <c r="K48">
        <f>IFERROR(VLOOKUP(F48,'LEAID Match'!$A$2:$B$236,2,FALSE),"")</f>
        <v>2300053</v>
      </c>
    </row>
    <row r="49" spans="1:11" x14ac:dyDescent="0.2">
      <c r="A49">
        <f t="shared" si="0"/>
        <v>2300053</v>
      </c>
      <c r="B49">
        <v>2022</v>
      </c>
      <c r="C49" t="s">
        <v>642</v>
      </c>
      <c r="D49" t="s">
        <v>644</v>
      </c>
      <c r="E49" t="s">
        <v>646</v>
      </c>
      <c r="F49" t="s">
        <v>484</v>
      </c>
      <c r="G49" t="s">
        <v>11</v>
      </c>
      <c r="H49">
        <v>14224</v>
      </c>
      <c r="I49">
        <v>204754.0921009412</v>
      </c>
      <c r="J49">
        <v>218978.0921009412</v>
      </c>
      <c r="K49">
        <f>IFERROR(VLOOKUP(F49,'LEAID Match'!$A$2:$B$236,2,FALSE),"")</f>
        <v>2300053</v>
      </c>
    </row>
    <row r="50" spans="1:11" x14ac:dyDescent="0.2">
      <c r="A50">
        <f t="shared" si="0"/>
        <v>0</v>
      </c>
      <c r="B50">
        <v>2015</v>
      </c>
      <c r="C50" t="s">
        <v>642</v>
      </c>
      <c r="D50" t="s">
        <v>644</v>
      </c>
      <c r="E50" t="s">
        <v>646</v>
      </c>
      <c r="F50" t="s">
        <v>12</v>
      </c>
      <c r="G50" t="s">
        <v>13</v>
      </c>
      <c r="I50">
        <v>0</v>
      </c>
      <c r="J50">
        <v>0</v>
      </c>
      <c r="K50">
        <f>IFERROR(VLOOKUP(F50,'LEAID Match'!$A$2:$B$236,2,FALSE),"")</f>
        <v>0</v>
      </c>
    </row>
    <row r="51" spans="1:11" x14ac:dyDescent="0.2">
      <c r="A51">
        <f t="shared" si="0"/>
        <v>0</v>
      </c>
      <c r="B51">
        <v>2016</v>
      </c>
      <c r="C51" t="s">
        <v>642</v>
      </c>
      <c r="D51" t="s">
        <v>644</v>
      </c>
      <c r="E51" t="s">
        <v>646</v>
      </c>
      <c r="F51" s="1" t="s">
        <v>12</v>
      </c>
      <c r="G51" s="1" t="s">
        <v>13</v>
      </c>
      <c r="H51" s="22"/>
      <c r="I51">
        <v>0</v>
      </c>
      <c r="J51">
        <v>0</v>
      </c>
      <c r="K51">
        <f>IFERROR(VLOOKUP(F51,'LEAID Match'!$A$2:$B$236,2,FALSE),"")</f>
        <v>0</v>
      </c>
    </row>
    <row r="52" spans="1:11" x14ac:dyDescent="0.2">
      <c r="A52">
        <f t="shared" si="0"/>
        <v>0</v>
      </c>
      <c r="B52">
        <v>2017</v>
      </c>
      <c r="C52" t="s">
        <v>642</v>
      </c>
      <c r="D52" t="s">
        <v>644</v>
      </c>
      <c r="E52" t="s">
        <v>646</v>
      </c>
      <c r="F52" t="s">
        <v>12</v>
      </c>
      <c r="G52" t="s">
        <v>13</v>
      </c>
      <c r="I52">
        <v>0</v>
      </c>
      <c r="J52">
        <v>0</v>
      </c>
      <c r="K52">
        <f>IFERROR(VLOOKUP(F52,'LEAID Match'!$A$2:$B$236,2,FALSE),"")</f>
        <v>0</v>
      </c>
    </row>
    <row r="53" spans="1:11" x14ac:dyDescent="0.2">
      <c r="A53">
        <f t="shared" si="0"/>
        <v>0</v>
      </c>
      <c r="B53">
        <v>2018</v>
      </c>
      <c r="C53" t="s">
        <v>642</v>
      </c>
      <c r="D53" t="s">
        <v>644</v>
      </c>
      <c r="E53" t="s">
        <v>646</v>
      </c>
      <c r="F53" t="s">
        <v>12</v>
      </c>
      <c r="G53" t="s">
        <v>13</v>
      </c>
      <c r="I53">
        <v>0</v>
      </c>
      <c r="J53">
        <v>0</v>
      </c>
      <c r="K53">
        <f>IFERROR(VLOOKUP(F53,'LEAID Match'!$A$2:$B$236,2,FALSE),"")</f>
        <v>0</v>
      </c>
    </row>
    <row r="54" spans="1:11" x14ac:dyDescent="0.2">
      <c r="A54">
        <f t="shared" si="0"/>
        <v>0</v>
      </c>
      <c r="B54">
        <v>2019</v>
      </c>
      <c r="C54" t="s">
        <v>642</v>
      </c>
      <c r="D54" t="s">
        <v>644</v>
      </c>
      <c r="E54" t="s">
        <v>646</v>
      </c>
      <c r="F54" t="s">
        <v>12</v>
      </c>
      <c r="G54" t="s">
        <v>13</v>
      </c>
      <c r="I54">
        <v>0</v>
      </c>
      <c r="J54">
        <v>0</v>
      </c>
      <c r="K54">
        <f>IFERROR(VLOOKUP(F54,'LEAID Match'!$A$2:$B$236,2,FALSE),"")</f>
        <v>0</v>
      </c>
    </row>
    <row r="55" spans="1:11" x14ac:dyDescent="0.2">
      <c r="A55">
        <f t="shared" si="0"/>
        <v>0</v>
      </c>
      <c r="B55">
        <v>2020</v>
      </c>
      <c r="C55" t="s">
        <v>642</v>
      </c>
      <c r="D55" t="s">
        <v>644</v>
      </c>
      <c r="E55" t="s">
        <v>646</v>
      </c>
      <c r="F55" t="s">
        <v>12</v>
      </c>
      <c r="G55" t="s">
        <v>13</v>
      </c>
      <c r="I55">
        <v>0</v>
      </c>
      <c r="J55">
        <v>0</v>
      </c>
      <c r="K55">
        <f>IFERROR(VLOOKUP(F55,'LEAID Match'!$A$2:$B$236,2,FALSE),"")</f>
        <v>0</v>
      </c>
    </row>
    <row r="56" spans="1:11" x14ac:dyDescent="0.2">
      <c r="A56">
        <f t="shared" si="0"/>
        <v>0</v>
      </c>
      <c r="B56">
        <v>2021</v>
      </c>
      <c r="C56" t="s">
        <v>642</v>
      </c>
      <c r="D56" t="s">
        <v>644</v>
      </c>
      <c r="E56" t="s">
        <v>646</v>
      </c>
      <c r="F56" t="s">
        <v>12</v>
      </c>
      <c r="G56" t="s">
        <v>13</v>
      </c>
      <c r="I56">
        <v>0</v>
      </c>
      <c r="J56">
        <v>0</v>
      </c>
      <c r="K56">
        <f>IFERROR(VLOOKUP(F56,'LEAID Match'!$A$2:$B$236,2,FALSE),"")</f>
        <v>0</v>
      </c>
    </row>
    <row r="57" spans="1:11" x14ac:dyDescent="0.2">
      <c r="A57">
        <f t="shared" si="0"/>
        <v>0</v>
      </c>
      <c r="B57">
        <v>2022</v>
      </c>
      <c r="C57" t="s">
        <v>642</v>
      </c>
      <c r="D57" t="s">
        <v>644</v>
      </c>
      <c r="E57" t="s">
        <v>646</v>
      </c>
      <c r="F57" t="s">
        <v>12</v>
      </c>
      <c r="G57" t="s">
        <v>13</v>
      </c>
      <c r="I57">
        <v>0</v>
      </c>
      <c r="J57">
        <v>0</v>
      </c>
      <c r="K57">
        <f>IFERROR(VLOOKUP(F57,'LEAID Match'!$A$2:$B$236,2,FALSE),"")</f>
        <v>0</v>
      </c>
    </row>
    <row r="58" spans="1:11" x14ac:dyDescent="0.2">
      <c r="A58">
        <f t="shared" si="0"/>
        <v>0</v>
      </c>
      <c r="B58">
        <v>2015</v>
      </c>
      <c r="C58" t="s">
        <v>642</v>
      </c>
      <c r="D58" t="s">
        <v>644</v>
      </c>
      <c r="E58" t="s">
        <v>646</v>
      </c>
      <c r="F58" t="s">
        <v>14</v>
      </c>
      <c r="G58" t="s">
        <v>15</v>
      </c>
      <c r="I58">
        <v>0</v>
      </c>
      <c r="J58">
        <v>0</v>
      </c>
      <c r="K58">
        <f>IFERROR(VLOOKUP(F58,'LEAID Match'!$A$2:$B$236,2,FALSE),"")</f>
        <v>0</v>
      </c>
    </row>
    <row r="59" spans="1:11" x14ac:dyDescent="0.2">
      <c r="A59">
        <f t="shared" si="0"/>
        <v>0</v>
      </c>
      <c r="B59">
        <v>2016</v>
      </c>
      <c r="C59" t="s">
        <v>642</v>
      </c>
      <c r="D59" t="s">
        <v>644</v>
      </c>
      <c r="E59" t="s">
        <v>646</v>
      </c>
      <c r="F59" s="1" t="s">
        <v>14</v>
      </c>
      <c r="G59" s="1" t="s">
        <v>15</v>
      </c>
      <c r="H59" s="22"/>
      <c r="I59">
        <v>0</v>
      </c>
      <c r="J59">
        <v>0</v>
      </c>
      <c r="K59">
        <f>IFERROR(VLOOKUP(F59,'LEAID Match'!$A$2:$B$236,2,FALSE),"")</f>
        <v>0</v>
      </c>
    </row>
    <row r="60" spans="1:11" x14ac:dyDescent="0.2">
      <c r="A60">
        <f t="shared" si="0"/>
        <v>0</v>
      </c>
      <c r="B60">
        <v>2017</v>
      </c>
      <c r="C60" t="s">
        <v>642</v>
      </c>
      <c r="D60" t="s">
        <v>644</v>
      </c>
      <c r="E60" t="s">
        <v>646</v>
      </c>
      <c r="F60" t="s">
        <v>14</v>
      </c>
      <c r="G60" t="s">
        <v>15</v>
      </c>
      <c r="I60">
        <v>0</v>
      </c>
      <c r="J60">
        <v>0</v>
      </c>
      <c r="K60">
        <f>IFERROR(VLOOKUP(F60,'LEAID Match'!$A$2:$B$236,2,FALSE),"")</f>
        <v>0</v>
      </c>
    </row>
    <row r="61" spans="1:11" x14ac:dyDescent="0.2">
      <c r="A61">
        <f t="shared" si="0"/>
        <v>0</v>
      </c>
      <c r="B61">
        <v>2018</v>
      </c>
      <c r="C61" t="s">
        <v>642</v>
      </c>
      <c r="D61" t="s">
        <v>644</v>
      </c>
      <c r="E61" t="s">
        <v>646</v>
      </c>
      <c r="F61" t="s">
        <v>14</v>
      </c>
      <c r="G61" t="s">
        <v>15</v>
      </c>
      <c r="I61">
        <v>0</v>
      </c>
      <c r="J61">
        <v>0</v>
      </c>
      <c r="K61">
        <f>IFERROR(VLOOKUP(F61,'LEAID Match'!$A$2:$B$236,2,FALSE),"")</f>
        <v>0</v>
      </c>
    </row>
    <row r="62" spans="1:11" x14ac:dyDescent="0.2">
      <c r="A62">
        <f t="shared" si="0"/>
        <v>0</v>
      </c>
      <c r="B62">
        <v>2019</v>
      </c>
      <c r="C62" t="s">
        <v>642</v>
      </c>
      <c r="D62" t="s">
        <v>644</v>
      </c>
      <c r="E62" t="s">
        <v>646</v>
      </c>
      <c r="F62" t="s">
        <v>14</v>
      </c>
      <c r="G62" t="s">
        <v>15</v>
      </c>
      <c r="I62">
        <v>0</v>
      </c>
      <c r="J62">
        <v>0</v>
      </c>
      <c r="K62">
        <f>IFERROR(VLOOKUP(F62,'LEAID Match'!$A$2:$B$236,2,FALSE),"")</f>
        <v>0</v>
      </c>
    </row>
    <row r="63" spans="1:11" x14ac:dyDescent="0.2">
      <c r="A63">
        <f t="shared" si="0"/>
        <v>0</v>
      </c>
      <c r="B63">
        <v>2020</v>
      </c>
      <c r="C63" t="s">
        <v>642</v>
      </c>
      <c r="D63" t="s">
        <v>644</v>
      </c>
      <c r="E63" t="s">
        <v>646</v>
      </c>
      <c r="F63" t="s">
        <v>14</v>
      </c>
      <c r="G63" t="s">
        <v>15</v>
      </c>
      <c r="I63">
        <v>0</v>
      </c>
      <c r="J63">
        <v>0</v>
      </c>
      <c r="K63">
        <f>IFERROR(VLOOKUP(F63,'LEAID Match'!$A$2:$B$236,2,FALSE),"")</f>
        <v>0</v>
      </c>
    </row>
    <row r="64" spans="1:11" x14ac:dyDescent="0.2">
      <c r="A64">
        <f t="shared" si="0"/>
        <v>0</v>
      </c>
      <c r="B64">
        <v>2021</v>
      </c>
      <c r="C64" t="s">
        <v>642</v>
      </c>
      <c r="D64" t="s">
        <v>644</v>
      </c>
      <c r="E64" t="s">
        <v>646</v>
      </c>
      <c r="F64" t="s">
        <v>14</v>
      </c>
      <c r="G64" t="s">
        <v>15</v>
      </c>
      <c r="I64">
        <v>0</v>
      </c>
      <c r="J64">
        <v>0</v>
      </c>
      <c r="K64">
        <f>IFERROR(VLOOKUP(F64,'LEAID Match'!$A$2:$B$236,2,FALSE),"")</f>
        <v>0</v>
      </c>
    </row>
    <row r="65" spans="1:11" x14ac:dyDescent="0.2">
      <c r="A65">
        <f t="shared" si="0"/>
        <v>0</v>
      </c>
      <c r="B65">
        <v>2022</v>
      </c>
      <c r="C65" t="s">
        <v>642</v>
      </c>
      <c r="D65" t="s">
        <v>644</v>
      </c>
      <c r="E65" t="s">
        <v>646</v>
      </c>
      <c r="F65" t="s">
        <v>14</v>
      </c>
      <c r="G65" t="s">
        <v>15</v>
      </c>
      <c r="I65">
        <v>0</v>
      </c>
      <c r="J65">
        <v>0</v>
      </c>
      <c r="K65">
        <f>IFERROR(VLOOKUP(F65,'LEAID Match'!$A$2:$B$236,2,FALSE),"")</f>
        <v>0</v>
      </c>
    </row>
    <row r="66" spans="1:11" x14ac:dyDescent="0.2">
      <c r="A66">
        <f t="shared" si="0"/>
        <v>0</v>
      </c>
      <c r="B66">
        <v>2015</v>
      </c>
      <c r="C66" t="s">
        <v>642</v>
      </c>
      <c r="D66" t="s">
        <v>644</v>
      </c>
      <c r="E66" t="s">
        <v>646</v>
      </c>
      <c r="F66" t="s">
        <v>16</v>
      </c>
      <c r="G66" t="s">
        <v>17</v>
      </c>
      <c r="I66">
        <v>0</v>
      </c>
      <c r="J66">
        <v>0</v>
      </c>
      <c r="K66">
        <f>IFERROR(VLOOKUP(F66,'LEAID Match'!$A$2:$B$236,2,FALSE),"")</f>
        <v>0</v>
      </c>
    </row>
    <row r="67" spans="1:11" x14ac:dyDescent="0.2">
      <c r="A67">
        <f t="shared" ref="A67:A130" si="1">K67</f>
        <v>0</v>
      </c>
      <c r="B67">
        <v>2016</v>
      </c>
      <c r="C67" t="s">
        <v>642</v>
      </c>
      <c r="D67" t="s">
        <v>644</v>
      </c>
      <c r="E67" t="s">
        <v>646</v>
      </c>
      <c r="F67" s="1" t="s">
        <v>16</v>
      </c>
      <c r="G67" s="1" t="s">
        <v>17</v>
      </c>
      <c r="H67" s="22"/>
      <c r="I67">
        <v>0</v>
      </c>
      <c r="J67">
        <v>0</v>
      </c>
      <c r="K67">
        <f>IFERROR(VLOOKUP(F67,'LEAID Match'!$A$2:$B$236,2,FALSE),"")</f>
        <v>0</v>
      </c>
    </row>
    <row r="68" spans="1:11" x14ac:dyDescent="0.2">
      <c r="A68">
        <f t="shared" si="1"/>
        <v>0</v>
      </c>
      <c r="B68">
        <v>2017</v>
      </c>
      <c r="C68" t="s">
        <v>642</v>
      </c>
      <c r="D68" t="s">
        <v>644</v>
      </c>
      <c r="E68" t="s">
        <v>646</v>
      </c>
      <c r="F68" t="s">
        <v>16</v>
      </c>
      <c r="G68" t="s">
        <v>17</v>
      </c>
      <c r="I68">
        <v>0</v>
      </c>
      <c r="J68">
        <v>0</v>
      </c>
      <c r="K68">
        <f>IFERROR(VLOOKUP(F68,'LEAID Match'!$A$2:$B$236,2,FALSE),"")</f>
        <v>0</v>
      </c>
    </row>
    <row r="69" spans="1:11" x14ac:dyDescent="0.2">
      <c r="A69">
        <f t="shared" si="1"/>
        <v>0</v>
      </c>
      <c r="B69">
        <v>2018</v>
      </c>
      <c r="C69" t="s">
        <v>642</v>
      </c>
      <c r="D69" t="s">
        <v>644</v>
      </c>
      <c r="E69" t="s">
        <v>646</v>
      </c>
      <c r="F69" t="s">
        <v>16</v>
      </c>
      <c r="G69" t="s">
        <v>17</v>
      </c>
      <c r="I69">
        <v>0</v>
      </c>
      <c r="J69">
        <v>0</v>
      </c>
      <c r="K69">
        <f>IFERROR(VLOOKUP(F69,'LEAID Match'!$A$2:$B$236,2,FALSE),"")</f>
        <v>0</v>
      </c>
    </row>
    <row r="70" spans="1:11" x14ac:dyDescent="0.2">
      <c r="A70">
        <f t="shared" si="1"/>
        <v>0</v>
      </c>
      <c r="B70">
        <v>2019</v>
      </c>
      <c r="C70" t="s">
        <v>642</v>
      </c>
      <c r="D70" t="s">
        <v>644</v>
      </c>
      <c r="E70" t="s">
        <v>646</v>
      </c>
      <c r="F70" t="s">
        <v>16</v>
      </c>
      <c r="G70" t="s">
        <v>17</v>
      </c>
      <c r="I70">
        <v>0</v>
      </c>
      <c r="J70">
        <v>0</v>
      </c>
      <c r="K70">
        <f>IFERROR(VLOOKUP(F70,'LEAID Match'!$A$2:$B$236,2,FALSE),"")</f>
        <v>0</v>
      </c>
    </row>
    <row r="71" spans="1:11" x14ac:dyDescent="0.2">
      <c r="A71">
        <f t="shared" si="1"/>
        <v>0</v>
      </c>
      <c r="B71">
        <v>2020</v>
      </c>
      <c r="C71" t="s">
        <v>642</v>
      </c>
      <c r="D71" t="s">
        <v>644</v>
      </c>
      <c r="E71" t="s">
        <v>646</v>
      </c>
      <c r="F71" t="s">
        <v>16</v>
      </c>
      <c r="G71" t="s">
        <v>17</v>
      </c>
      <c r="I71">
        <v>0</v>
      </c>
      <c r="J71">
        <v>0</v>
      </c>
      <c r="K71">
        <f>IFERROR(VLOOKUP(F71,'LEAID Match'!$A$2:$B$236,2,FALSE),"")</f>
        <v>0</v>
      </c>
    </row>
    <row r="72" spans="1:11" x14ac:dyDescent="0.2">
      <c r="A72">
        <f t="shared" si="1"/>
        <v>0</v>
      </c>
      <c r="B72">
        <v>2021</v>
      </c>
      <c r="C72" t="s">
        <v>642</v>
      </c>
      <c r="D72" t="s">
        <v>644</v>
      </c>
      <c r="E72" t="s">
        <v>646</v>
      </c>
      <c r="F72" t="s">
        <v>16</v>
      </c>
      <c r="G72" t="s">
        <v>17</v>
      </c>
      <c r="I72">
        <v>0</v>
      </c>
      <c r="J72">
        <v>0</v>
      </c>
      <c r="K72">
        <f>IFERROR(VLOOKUP(F72,'LEAID Match'!$A$2:$B$236,2,FALSE),"")</f>
        <v>0</v>
      </c>
    </row>
    <row r="73" spans="1:11" x14ac:dyDescent="0.2">
      <c r="A73">
        <f t="shared" si="1"/>
        <v>0</v>
      </c>
      <c r="B73">
        <v>2022</v>
      </c>
      <c r="C73" t="s">
        <v>642</v>
      </c>
      <c r="D73" t="s">
        <v>644</v>
      </c>
      <c r="E73" t="s">
        <v>646</v>
      </c>
      <c r="F73" t="s">
        <v>16</v>
      </c>
      <c r="G73" t="s">
        <v>17</v>
      </c>
      <c r="I73">
        <v>0</v>
      </c>
      <c r="J73">
        <v>0</v>
      </c>
      <c r="K73">
        <f>IFERROR(VLOOKUP(F73,'LEAID Match'!$A$2:$B$236,2,FALSE),"")</f>
        <v>0</v>
      </c>
    </row>
    <row r="74" spans="1:11" x14ac:dyDescent="0.2">
      <c r="A74">
        <f t="shared" si="1"/>
        <v>0</v>
      </c>
      <c r="B74">
        <v>2015</v>
      </c>
      <c r="C74" t="s">
        <v>642</v>
      </c>
      <c r="D74" t="s">
        <v>644</v>
      </c>
      <c r="E74" t="s">
        <v>646</v>
      </c>
      <c r="F74" t="s">
        <v>18</v>
      </c>
      <c r="G74" t="s">
        <v>19</v>
      </c>
      <c r="I74">
        <v>0</v>
      </c>
      <c r="J74">
        <v>0</v>
      </c>
      <c r="K74">
        <f>IFERROR(VLOOKUP(F74,'LEAID Match'!$A$2:$B$236,2,FALSE),"")</f>
        <v>0</v>
      </c>
    </row>
    <row r="75" spans="1:11" x14ac:dyDescent="0.2">
      <c r="A75">
        <f t="shared" si="1"/>
        <v>0</v>
      </c>
      <c r="B75">
        <v>2016</v>
      </c>
      <c r="C75" t="s">
        <v>642</v>
      </c>
      <c r="D75" t="s">
        <v>644</v>
      </c>
      <c r="E75" t="s">
        <v>646</v>
      </c>
      <c r="F75" s="1" t="s">
        <v>18</v>
      </c>
      <c r="G75" s="1" t="s">
        <v>19</v>
      </c>
      <c r="H75" s="22"/>
      <c r="I75">
        <v>0</v>
      </c>
      <c r="J75">
        <v>0</v>
      </c>
      <c r="K75">
        <f>IFERROR(VLOOKUP(F75,'LEAID Match'!$A$2:$B$236,2,FALSE),"")</f>
        <v>0</v>
      </c>
    </row>
    <row r="76" spans="1:11" x14ac:dyDescent="0.2">
      <c r="A76">
        <f t="shared" si="1"/>
        <v>0</v>
      </c>
      <c r="B76">
        <v>2017</v>
      </c>
      <c r="C76" t="s">
        <v>642</v>
      </c>
      <c r="D76" t="s">
        <v>644</v>
      </c>
      <c r="E76" t="s">
        <v>646</v>
      </c>
      <c r="F76" t="s">
        <v>18</v>
      </c>
      <c r="G76" t="s">
        <v>19</v>
      </c>
      <c r="I76">
        <v>0</v>
      </c>
      <c r="J76">
        <v>0</v>
      </c>
      <c r="K76">
        <f>IFERROR(VLOOKUP(F76,'LEAID Match'!$A$2:$B$236,2,FALSE),"")</f>
        <v>0</v>
      </c>
    </row>
    <row r="77" spans="1:11" x14ac:dyDescent="0.2">
      <c r="A77">
        <f t="shared" si="1"/>
        <v>0</v>
      </c>
      <c r="B77">
        <v>2018</v>
      </c>
      <c r="C77" t="s">
        <v>642</v>
      </c>
      <c r="D77" t="s">
        <v>644</v>
      </c>
      <c r="E77" t="s">
        <v>646</v>
      </c>
      <c r="F77" t="s">
        <v>18</v>
      </c>
      <c r="G77" t="s">
        <v>19</v>
      </c>
      <c r="I77">
        <v>0</v>
      </c>
      <c r="J77">
        <v>0</v>
      </c>
      <c r="K77">
        <f>IFERROR(VLOOKUP(F77,'LEAID Match'!$A$2:$B$236,2,FALSE),"")</f>
        <v>0</v>
      </c>
    </row>
    <row r="78" spans="1:11" x14ac:dyDescent="0.2">
      <c r="A78">
        <f t="shared" si="1"/>
        <v>0</v>
      </c>
      <c r="B78">
        <v>2019</v>
      </c>
      <c r="C78" t="s">
        <v>642</v>
      </c>
      <c r="D78" t="s">
        <v>644</v>
      </c>
      <c r="E78" t="s">
        <v>646</v>
      </c>
      <c r="F78" t="s">
        <v>18</v>
      </c>
      <c r="G78" t="s">
        <v>19</v>
      </c>
      <c r="I78">
        <v>0</v>
      </c>
      <c r="J78">
        <v>0</v>
      </c>
      <c r="K78">
        <f>IFERROR(VLOOKUP(F78,'LEAID Match'!$A$2:$B$236,2,FALSE),"")</f>
        <v>0</v>
      </c>
    </row>
    <row r="79" spans="1:11" x14ac:dyDescent="0.2">
      <c r="A79">
        <f t="shared" si="1"/>
        <v>0</v>
      </c>
      <c r="B79">
        <v>2020</v>
      </c>
      <c r="C79" t="s">
        <v>642</v>
      </c>
      <c r="D79" t="s">
        <v>644</v>
      </c>
      <c r="E79" t="s">
        <v>646</v>
      </c>
      <c r="F79" t="s">
        <v>18</v>
      </c>
      <c r="G79" t="s">
        <v>19</v>
      </c>
      <c r="I79">
        <v>0</v>
      </c>
      <c r="J79">
        <v>0</v>
      </c>
      <c r="K79">
        <f>IFERROR(VLOOKUP(F79,'LEAID Match'!$A$2:$B$236,2,FALSE),"")</f>
        <v>0</v>
      </c>
    </row>
    <row r="80" spans="1:11" x14ac:dyDescent="0.2">
      <c r="A80">
        <f t="shared" si="1"/>
        <v>0</v>
      </c>
      <c r="B80">
        <v>2021</v>
      </c>
      <c r="C80" t="s">
        <v>642</v>
      </c>
      <c r="D80" t="s">
        <v>644</v>
      </c>
      <c r="E80" t="s">
        <v>646</v>
      </c>
      <c r="F80" t="s">
        <v>18</v>
      </c>
      <c r="G80" t="s">
        <v>19</v>
      </c>
      <c r="I80">
        <v>0</v>
      </c>
      <c r="J80">
        <v>0</v>
      </c>
      <c r="K80">
        <f>IFERROR(VLOOKUP(F80,'LEAID Match'!$A$2:$B$236,2,FALSE),"")</f>
        <v>0</v>
      </c>
    </row>
    <row r="81" spans="1:11" x14ac:dyDescent="0.2">
      <c r="A81">
        <f t="shared" si="1"/>
        <v>0</v>
      </c>
      <c r="B81">
        <v>2022</v>
      </c>
      <c r="C81" t="s">
        <v>642</v>
      </c>
      <c r="D81" t="s">
        <v>644</v>
      </c>
      <c r="E81" t="s">
        <v>646</v>
      </c>
      <c r="F81" t="s">
        <v>18</v>
      </c>
      <c r="G81" t="s">
        <v>19</v>
      </c>
      <c r="I81">
        <v>0</v>
      </c>
      <c r="J81">
        <v>0</v>
      </c>
      <c r="K81">
        <f>IFERROR(VLOOKUP(F81,'LEAID Match'!$A$2:$B$236,2,FALSE),"")</f>
        <v>0</v>
      </c>
    </row>
    <row r="82" spans="1:11" x14ac:dyDescent="0.2">
      <c r="A82">
        <f t="shared" si="1"/>
        <v>0</v>
      </c>
      <c r="B82">
        <v>2015</v>
      </c>
      <c r="C82" t="s">
        <v>642</v>
      </c>
      <c r="D82" t="s">
        <v>644</v>
      </c>
      <c r="E82" t="s">
        <v>646</v>
      </c>
      <c r="F82" t="s">
        <v>20</v>
      </c>
      <c r="G82" t="s">
        <v>21</v>
      </c>
      <c r="I82">
        <v>0</v>
      </c>
      <c r="J82">
        <v>0</v>
      </c>
      <c r="K82">
        <f>IFERROR(VLOOKUP(F82,'LEAID Match'!$A$2:$B$236,2,FALSE),"")</f>
        <v>0</v>
      </c>
    </row>
    <row r="83" spans="1:11" x14ac:dyDescent="0.2">
      <c r="A83">
        <f t="shared" si="1"/>
        <v>0</v>
      </c>
      <c r="B83">
        <v>2016</v>
      </c>
      <c r="C83" t="s">
        <v>642</v>
      </c>
      <c r="D83" t="s">
        <v>644</v>
      </c>
      <c r="E83" t="s">
        <v>646</v>
      </c>
      <c r="F83" s="1" t="s">
        <v>20</v>
      </c>
      <c r="G83" s="1" t="s">
        <v>21</v>
      </c>
      <c r="H83" s="22"/>
      <c r="I83">
        <v>0</v>
      </c>
      <c r="J83">
        <v>0</v>
      </c>
      <c r="K83">
        <f>IFERROR(VLOOKUP(F83,'LEAID Match'!$A$2:$B$236,2,FALSE),"")</f>
        <v>0</v>
      </c>
    </row>
    <row r="84" spans="1:11" x14ac:dyDescent="0.2">
      <c r="A84">
        <f t="shared" si="1"/>
        <v>0</v>
      </c>
      <c r="B84">
        <v>2017</v>
      </c>
      <c r="C84" t="s">
        <v>642</v>
      </c>
      <c r="D84" t="s">
        <v>644</v>
      </c>
      <c r="E84" t="s">
        <v>646</v>
      </c>
      <c r="F84" t="s">
        <v>20</v>
      </c>
      <c r="G84" t="s">
        <v>21</v>
      </c>
      <c r="I84">
        <v>0</v>
      </c>
      <c r="J84">
        <v>0</v>
      </c>
      <c r="K84">
        <f>IFERROR(VLOOKUP(F84,'LEAID Match'!$A$2:$B$236,2,FALSE),"")</f>
        <v>0</v>
      </c>
    </row>
    <row r="85" spans="1:11" x14ac:dyDescent="0.2">
      <c r="A85">
        <f t="shared" si="1"/>
        <v>0</v>
      </c>
      <c r="B85">
        <v>2018</v>
      </c>
      <c r="C85" t="s">
        <v>642</v>
      </c>
      <c r="D85" t="s">
        <v>644</v>
      </c>
      <c r="E85" t="s">
        <v>646</v>
      </c>
      <c r="F85" t="s">
        <v>20</v>
      </c>
      <c r="G85" t="s">
        <v>21</v>
      </c>
      <c r="I85">
        <v>0</v>
      </c>
      <c r="J85">
        <v>0</v>
      </c>
      <c r="K85">
        <f>IFERROR(VLOOKUP(F85,'LEAID Match'!$A$2:$B$236,2,FALSE),"")</f>
        <v>0</v>
      </c>
    </row>
    <row r="86" spans="1:11" x14ac:dyDescent="0.2">
      <c r="A86">
        <f t="shared" si="1"/>
        <v>0</v>
      </c>
      <c r="B86">
        <v>2019</v>
      </c>
      <c r="C86" t="s">
        <v>642</v>
      </c>
      <c r="D86" t="s">
        <v>644</v>
      </c>
      <c r="E86" t="s">
        <v>646</v>
      </c>
      <c r="F86" t="s">
        <v>20</v>
      </c>
      <c r="G86" t="s">
        <v>21</v>
      </c>
      <c r="I86">
        <v>0</v>
      </c>
      <c r="J86">
        <v>0</v>
      </c>
      <c r="K86">
        <f>IFERROR(VLOOKUP(F86,'LEAID Match'!$A$2:$B$236,2,FALSE),"")</f>
        <v>0</v>
      </c>
    </row>
    <row r="87" spans="1:11" x14ac:dyDescent="0.2">
      <c r="A87">
        <f t="shared" si="1"/>
        <v>0</v>
      </c>
      <c r="B87">
        <v>2020</v>
      </c>
      <c r="C87" t="s">
        <v>642</v>
      </c>
      <c r="D87" t="s">
        <v>644</v>
      </c>
      <c r="E87" t="s">
        <v>646</v>
      </c>
      <c r="F87" t="s">
        <v>20</v>
      </c>
      <c r="G87" t="s">
        <v>21</v>
      </c>
      <c r="I87">
        <v>0</v>
      </c>
      <c r="J87">
        <v>0</v>
      </c>
      <c r="K87">
        <f>IFERROR(VLOOKUP(F87,'LEAID Match'!$A$2:$B$236,2,FALSE),"")</f>
        <v>0</v>
      </c>
    </row>
    <row r="88" spans="1:11" x14ac:dyDescent="0.2">
      <c r="A88">
        <f t="shared" si="1"/>
        <v>0</v>
      </c>
      <c r="B88">
        <v>2021</v>
      </c>
      <c r="C88" t="s">
        <v>642</v>
      </c>
      <c r="D88" t="s">
        <v>644</v>
      </c>
      <c r="E88" t="s">
        <v>646</v>
      </c>
      <c r="F88" t="s">
        <v>20</v>
      </c>
      <c r="G88" t="s">
        <v>21</v>
      </c>
      <c r="I88">
        <v>0</v>
      </c>
      <c r="J88">
        <v>0</v>
      </c>
      <c r="K88">
        <f>IFERROR(VLOOKUP(F88,'LEAID Match'!$A$2:$B$236,2,FALSE),"")</f>
        <v>0</v>
      </c>
    </row>
    <row r="89" spans="1:11" x14ac:dyDescent="0.2">
      <c r="A89">
        <f t="shared" si="1"/>
        <v>0</v>
      </c>
      <c r="B89">
        <v>2022</v>
      </c>
      <c r="C89" t="s">
        <v>642</v>
      </c>
      <c r="D89" t="s">
        <v>644</v>
      </c>
      <c r="E89" t="s">
        <v>646</v>
      </c>
      <c r="F89" t="s">
        <v>20</v>
      </c>
      <c r="G89" t="s">
        <v>21</v>
      </c>
      <c r="I89">
        <v>0</v>
      </c>
      <c r="J89">
        <v>0</v>
      </c>
      <c r="K89">
        <f>IFERROR(VLOOKUP(F89,'LEAID Match'!$A$2:$B$236,2,FALSE),"")</f>
        <v>0</v>
      </c>
    </row>
    <row r="90" spans="1:11" x14ac:dyDescent="0.2">
      <c r="A90">
        <f t="shared" si="1"/>
        <v>0</v>
      </c>
      <c r="B90">
        <v>2015</v>
      </c>
      <c r="C90" t="s">
        <v>642</v>
      </c>
      <c r="D90" t="s">
        <v>644</v>
      </c>
      <c r="E90" t="s">
        <v>646</v>
      </c>
      <c r="F90" t="s">
        <v>22</v>
      </c>
      <c r="G90" t="s">
        <v>23</v>
      </c>
      <c r="I90">
        <v>0</v>
      </c>
      <c r="J90">
        <v>0</v>
      </c>
      <c r="K90">
        <f>IFERROR(VLOOKUP(F90,'LEAID Match'!$A$2:$B$236,2,FALSE),"")</f>
        <v>0</v>
      </c>
    </row>
    <row r="91" spans="1:11" x14ac:dyDescent="0.2">
      <c r="A91">
        <f t="shared" si="1"/>
        <v>0</v>
      </c>
      <c r="B91">
        <v>2016</v>
      </c>
      <c r="C91" t="s">
        <v>642</v>
      </c>
      <c r="D91" t="s">
        <v>644</v>
      </c>
      <c r="E91" t="s">
        <v>646</v>
      </c>
      <c r="F91" s="1" t="s">
        <v>22</v>
      </c>
      <c r="G91" s="1" t="s">
        <v>23</v>
      </c>
      <c r="H91" s="22"/>
      <c r="I91">
        <v>0</v>
      </c>
      <c r="J91">
        <v>0</v>
      </c>
      <c r="K91">
        <f>IFERROR(VLOOKUP(F91,'LEAID Match'!$A$2:$B$236,2,FALSE),"")</f>
        <v>0</v>
      </c>
    </row>
    <row r="92" spans="1:11" x14ac:dyDescent="0.2">
      <c r="A92">
        <f t="shared" si="1"/>
        <v>0</v>
      </c>
      <c r="B92">
        <v>2017</v>
      </c>
      <c r="C92" t="s">
        <v>642</v>
      </c>
      <c r="D92" t="s">
        <v>644</v>
      </c>
      <c r="E92" t="s">
        <v>646</v>
      </c>
      <c r="F92" t="s">
        <v>22</v>
      </c>
      <c r="G92" t="s">
        <v>23</v>
      </c>
      <c r="I92">
        <v>0</v>
      </c>
      <c r="J92">
        <v>0</v>
      </c>
      <c r="K92">
        <f>IFERROR(VLOOKUP(F92,'LEAID Match'!$A$2:$B$236,2,FALSE),"")</f>
        <v>0</v>
      </c>
    </row>
    <row r="93" spans="1:11" x14ac:dyDescent="0.2">
      <c r="A93">
        <f t="shared" si="1"/>
        <v>0</v>
      </c>
      <c r="B93">
        <v>2018</v>
      </c>
      <c r="C93" t="s">
        <v>642</v>
      </c>
      <c r="D93" t="s">
        <v>644</v>
      </c>
      <c r="E93" t="s">
        <v>646</v>
      </c>
      <c r="F93" t="s">
        <v>22</v>
      </c>
      <c r="G93" t="s">
        <v>23</v>
      </c>
      <c r="I93">
        <v>0</v>
      </c>
      <c r="J93">
        <v>0</v>
      </c>
      <c r="K93">
        <f>IFERROR(VLOOKUP(F93,'LEAID Match'!$A$2:$B$236,2,FALSE),"")</f>
        <v>0</v>
      </c>
    </row>
    <row r="94" spans="1:11" x14ac:dyDescent="0.2">
      <c r="A94">
        <f t="shared" si="1"/>
        <v>0</v>
      </c>
      <c r="B94">
        <v>2019</v>
      </c>
      <c r="C94" t="s">
        <v>642</v>
      </c>
      <c r="D94" t="s">
        <v>644</v>
      </c>
      <c r="E94" t="s">
        <v>646</v>
      </c>
      <c r="F94" t="s">
        <v>22</v>
      </c>
      <c r="G94" t="s">
        <v>23</v>
      </c>
      <c r="I94">
        <v>0</v>
      </c>
      <c r="J94">
        <v>0</v>
      </c>
      <c r="K94">
        <f>IFERROR(VLOOKUP(F94,'LEAID Match'!$A$2:$B$236,2,FALSE),"")</f>
        <v>0</v>
      </c>
    </row>
    <row r="95" spans="1:11" x14ac:dyDescent="0.2">
      <c r="A95">
        <f t="shared" si="1"/>
        <v>0</v>
      </c>
      <c r="B95">
        <v>2020</v>
      </c>
      <c r="C95" t="s">
        <v>642</v>
      </c>
      <c r="D95" t="s">
        <v>644</v>
      </c>
      <c r="E95" t="s">
        <v>646</v>
      </c>
      <c r="F95" t="s">
        <v>22</v>
      </c>
      <c r="G95" t="s">
        <v>23</v>
      </c>
      <c r="I95">
        <v>0</v>
      </c>
      <c r="J95">
        <v>0</v>
      </c>
      <c r="K95">
        <f>IFERROR(VLOOKUP(F95,'LEAID Match'!$A$2:$B$236,2,FALSE),"")</f>
        <v>0</v>
      </c>
    </row>
    <row r="96" spans="1:11" x14ac:dyDescent="0.2">
      <c r="A96">
        <f t="shared" si="1"/>
        <v>0</v>
      </c>
      <c r="B96">
        <v>2021</v>
      </c>
      <c r="C96" t="s">
        <v>642</v>
      </c>
      <c r="D96" t="s">
        <v>644</v>
      </c>
      <c r="E96" t="s">
        <v>646</v>
      </c>
      <c r="F96" t="s">
        <v>22</v>
      </c>
      <c r="G96" t="s">
        <v>23</v>
      </c>
      <c r="I96">
        <v>0</v>
      </c>
      <c r="J96">
        <v>0</v>
      </c>
      <c r="K96">
        <f>IFERROR(VLOOKUP(F96,'LEAID Match'!$A$2:$B$236,2,FALSE),"")</f>
        <v>0</v>
      </c>
    </row>
    <row r="97" spans="1:11" x14ac:dyDescent="0.2">
      <c r="A97">
        <f t="shared" si="1"/>
        <v>0</v>
      </c>
      <c r="B97">
        <v>2022</v>
      </c>
      <c r="C97" t="s">
        <v>642</v>
      </c>
      <c r="D97" t="s">
        <v>644</v>
      </c>
      <c r="E97" t="s">
        <v>646</v>
      </c>
      <c r="F97" t="s">
        <v>22</v>
      </c>
      <c r="G97" t="s">
        <v>23</v>
      </c>
      <c r="I97">
        <v>0</v>
      </c>
      <c r="J97">
        <v>0</v>
      </c>
      <c r="K97">
        <f>IFERROR(VLOOKUP(F97,'LEAID Match'!$A$2:$B$236,2,FALSE),"")</f>
        <v>0</v>
      </c>
    </row>
    <row r="98" spans="1:11" x14ac:dyDescent="0.2">
      <c r="A98">
        <f t="shared" si="1"/>
        <v>0</v>
      </c>
      <c r="B98">
        <v>2015</v>
      </c>
      <c r="C98" t="s">
        <v>642</v>
      </c>
      <c r="D98" t="s">
        <v>644</v>
      </c>
      <c r="E98" t="s">
        <v>646</v>
      </c>
      <c r="F98" t="s">
        <v>24</v>
      </c>
      <c r="G98" t="s">
        <v>25</v>
      </c>
      <c r="I98">
        <v>0</v>
      </c>
      <c r="J98">
        <v>0</v>
      </c>
      <c r="K98">
        <f>IFERROR(VLOOKUP(F98,'LEAID Match'!$A$2:$B$236,2,FALSE),"")</f>
        <v>0</v>
      </c>
    </row>
    <row r="99" spans="1:11" x14ac:dyDescent="0.2">
      <c r="A99">
        <f t="shared" si="1"/>
        <v>0</v>
      </c>
      <c r="B99">
        <v>2016</v>
      </c>
      <c r="C99" t="s">
        <v>642</v>
      </c>
      <c r="D99" t="s">
        <v>644</v>
      </c>
      <c r="E99" t="s">
        <v>646</v>
      </c>
      <c r="F99" s="1" t="s">
        <v>24</v>
      </c>
      <c r="G99" s="1" t="s">
        <v>25</v>
      </c>
      <c r="H99" s="22"/>
      <c r="I99">
        <v>0</v>
      </c>
      <c r="J99">
        <v>0</v>
      </c>
      <c r="K99">
        <f>IFERROR(VLOOKUP(F99,'LEAID Match'!$A$2:$B$236,2,FALSE),"")</f>
        <v>0</v>
      </c>
    </row>
    <row r="100" spans="1:11" x14ac:dyDescent="0.2">
      <c r="A100">
        <f t="shared" si="1"/>
        <v>0</v>
      </c>
      <c r="B100">
        <v>2017</v>
      </c>
      <c r="C100" t="s">
        <v>642</v>
      </c>
      <c r="D100" t="s">
        <v>644</v>
      </c>
      <c r="E100" t="s">
        <v>646</v>
      </c>
      <c r="F100" t="s">
        <v>24</v>
      </c>
      <c r="G100" t="s">
        <v>25</v>
      </c>
      <c r="I100">
        <v>0</v>
      </c>
      <c r="J100">
        <v>0</v>
      </c>
      <c r="K100">
        <f>IFERROR(VLOOKUP(F100,'LEAID Match'!$A$2:$B$236,2,FALSE),"")</f>
        <v>0</v>
      </c>
    </row>
    <row r="101" spans="1:11" x14ac:dyDescent="0.2">
      <c r="A101">
        <f t="shared" si="1"/>
        <v>0</v>
      </c>
      <c r="B101">
        <v>2018</v>
      </c>
      <c r="C101" t="s">
        <v>642</v>
      </c>
      <c r="D101" t="s">
        <v>644</v>
      </c>
      <c r="E101" t="s">
        <v>646</v>
      </c>
      <c r="F101" t="s">
        <v>24</v>
      </c>
      <c r="G101" t="s">
        <v>25</v>
      </c>
      <c r="I101">
        <v>0</v>
      </c>
      <c r="J101">
        <v>0</v>
      </c>
      <c r="K101">
        <f>IFERROR(VLOOKUP(F101,'LEAID Match'!$A$2:$B$236,2,FALSE),"")</f>
        <v>0</v>
      </c>
    </row>
    <row r="102" spans="1:11" x14ac:dyDescent="0.2">
      <c r="A102">
        <f t="shared" si="1"/>
        <v>0</v>
      </c>
      <c r="B102">
        <v>2019</v>
      </c>
      <c r="C102" t="s">
        <v>642</v>
      </c>
      <c r="D102" t="s">
        <v>644</v>
      </c>
      <c r="E102" t="s">
        <v>646</v>
      </c>
      <c r="F102" t="s">
        <v>24</v>
      </c>
      <c r="G102" t="s">
        <v>25</v>
      </c>
      <c r="I102">
        <v>0</v>
      </c>
      <c r="J102">
        <v>0</v>
      </c>
      <c r="K102">
        <f>IFERROR(VLOOKUP(F102,'LEAID Match'!$A$2:$B$236,2,FALSE),"")</f>
        <v>0</v>
      </c>
    </row>
    <row r="103" spans="1:11" x14ac:dyDescent="0.2">
      <c r="A103">
        <f t="shared" si="1"/>
        <v>0</v>
      </c>
      <c r="B103">
        <v>2020</v>
      </c>
      <c r="C103" t="s">
        <v>642</v>
      </c>
      <c r="D103" t="s">
        <v>644</v>
      </c>
      <c r="E103" t="s">
        <v>646</v>
      </c>
      <c r="F103" t="s">
        <v>24</v>
      </c>
      <c r="G103" t="s">
        <v>25</v>
      </c>
      <c r="I103">
        <v>0</v>
      </c>
      <c r="J103">
        <v>0</v>
      </c>
      <c r="K103">
        <f>IFERROR(VLOOKUP(F103,'LEAID Match'!$A$2:$B$236,2,FALSE),"")</f>
        <v>0</v>
      </c>
    </row>
    <row r="104" spans="1:11" x14ac:dyDescent="0.2">
      <c r="A104">
        <f t="shared" si="1"/>
        <v>0</v>
      </c>
      <c r="B104">
        <v>2021</v>
      </c>
      <c r="C104" t="s">
        <v>642</v>
      </c>
      <c r="D104" t="s">
        <v>644</v>
      </c>
      <c r="E104" t="s">
        <v>646</v>
      </c>
      <c r="F104" t="s">
        <v>24</v>
      </c>
      <c r="G104" t="s">
        <v>25</v>
      </c>
      <c r="I104">
        <v>0</v>
      </c>
      <c r="J104">
        <v>0</v>
      </c>
      <c r="K104">
        <f>IFERROR(VLOOKUP(F104,'LEAID Match'!$A$2:$B$236,2,FALSE),"")</f>
        <v>0</v>
      </c>
    </row>
    <row r="105" spans="1:11" x14ac:dyDescent="0.2">
      <c r="A105">
        <f t="shared" si="1"/>
        <v>0</v>
      </c>
      <c r="B105">
        <v>2022</v>
      </c>
      <c r="C105" t="s">
        <v>642</v>
      </c>
      <c r="D105" t="s">
        <v>644</v>
      </c>
      <c r="E105" t="s">
        <v>646</v>
      </c>
      <c r="F105" t="s">
        <v>24</v>
      </c>
      <c r="G105" t="s">
        <v>25</v>
      </c>
      <c r="I105">
        <v>0</v>
      </c>
      <c r="J105">
        <v>0</v>
      </c>
      <c r="K105">
        <f>IFERROR(VLOOKUP(F105,'LEAID Match'!$A$2:$B$236,2,FALSE),"")</f>
        <v>0</v>
      </c>
    </row>
    <row r="106" spans="1:11" x14ac:dyDescent="0.2">
      <c r="A106">
        <f t="shared" si="1"/>
        <v>0</v>
      </c>
      <c r="B106">
        <v>2015</v>
      </c>
      <c r="C106" t="s">
        <v>642</v>
      </c>
      <c r="D106" t="s">
        <v>644</v>
      </c>
      <c r="E106" t="s">
        <v>646</v>
      </c>
      <c r="F106" t="s">
        <v>26</v>
      </c>
      <c r="G106" t="s">
        <v>27</v>
      </c>
      <c r="I106">
        <v>0</v>
      </c>
      <c r="J106">
        <v>0</v>
      </c>
      <c r="K106">
        <f>IFERROR(VLOOKUP(F106,'LEAID Match'!$A$2:$B$236,2,FALSE),"")</f>
        <v>0</v>
      </c>
    </row>
    <row r="107" spans="1:11" x14ac:dyDescent="0.2">
      <c r="A107">
        <f t="shared" si="1"/>
        <v>0</v>
      </c>
      <c r="B107">
        <v>2016</v>
      </c>
      <c r="C107" t="s">
        <v>642</v>
      </c>
      <c r="D107" t="s">
        <v>644</v>
      </c>
      <c r="E107" t="s">
        <v>646</v>
      </c>
      <c r="F107" s="1" t="s">
        <v>26</v>
      </c>
      <c r="G107" s="1" t="s">
        <v>27</v>
      </c>
      <c r="H107" s="22"/>
      <c r="I107">
        <v>0</v>
      </c>
      <c r="J107">
        <v>0</v>
      </c>
      <c r="K107">
        <f>IFERROR(VLOOKUP(F107,'LEAID Match'!$A$2:$B$236,2,FALSE),"")</f>
        <v>0</v>
      </c>
    </row>
    <row r="108" spans="1:11" x14ac:dyDescent="0.2">
      <c r="A108">
        <f t="shared" si="1"/>
        <v>0</v>
      </c>
      <c r="B108">
        <v>2017</v>
      </c>
      <c r="C108" t="s">
        <v>642</v>
      </c>
      <c r="D108" t="s">
        <v>644</v>
      </c>
      <c r="E108" t="s">
        <v>646</v>
      </c>
      <c r="F108" t="s">
        <v>26</v>
      </c>
      <c r="G108" t="s">
        <v>27</v>
      </c>
      <c r="I108">
        <v>0</v>
      </c>
      <c r="J108">
        <v>0</v>
      </c>
      <c r="K108">
        <f>IFERROR(VLOOKUP(F108,'LEAID Match'!$A$2:$B$236,2,FALSE),"")</f>
        <v>0</v>
      </c>
    </row>
    <row r="109" spans="1:11" x14ac:dyDescent="0.2">
      <c r="A109">
        <f t="shared" si="1"/>
        <v>0</v>
      </c>
      <c r="B109">
        <v>2018</v>
      </c>
      <c r="C109" t="s">
        <v>642</v>
      </c>
      <c r="D109" t="s">
        <v>644</v>
      </c>
      <c r="E109" t="s">
        <v>646</v>
      </c>
      <c r="F109" t="s">
        <v>26</v>
      </c>
      <c r="G109" t="s">
        <v>27</v>
      </c>
      <c r="I109">
        <v>0</v>
      </c>
      <c r="J109">
        <v>0</v>
      </c>
      <c r="K109">
        <f>IFERROR(VLOOKUP(F109,'LEAID Match'!$A$2:$B$236,2,FALSE),"")</f>
        <v>0</v>
      </c>
    </row>
    <row r="110" spans="1:11" x14ac:dyDescent="0.2">
      <c r="A110">
        <f t="shared" si="1"/>
        <v>0</v>
      </c>
      <c r="B110">
        <v>2019</v>
      </c>
      <c r="C110" t="s">
        <v>642</v>
      </c>
      <c r="D110" t="s">
        <v>644</v>
      </c>
      <c r="E110" t="s">
        <v>646</v>
      </c>
      <c r="F110" t="s">
        <v>26</v>
      </c>
      <c r="G110" t="s">
        <v>27</v>
      </c>
      <c r="I110">
        <v>0</v>
      </c>
      <c r="J110">
        <v>0</v>
      </c>
      <c r="K110">
        <f>IFERROR(VLOOKUP(F110,'LEAID Match'!$A$2:$B$236,2,FALSE),"")</f>
        <v>0</v>
      </c>
    </row>
    <row r="111" spans="1:11" x14ac:dyDescent="0.2">
      <c r="A111">
        <f t="shared" si="1"/>
        <v>0</v>
      </c>
      <c r="B111">
        <v>2020</v>
      </c>
      <c r="C111" t="s">
        <v>642</v>
      </c>
      <c r="D111" t="s">
        <v>644</v>
      </c>
      <c r="E111" t="s">
        <v>646</v>
      </c>
      <c r="F111" t="s">
        <v>26</v>
      </c>
      <c r="G111" t="s">
        <v>27</v>
      </c>
      <c r="I111">
        <v>0</v>
      </c>
      <c r="J111">
        <v>0</v>
      </c>
      <c r="K111">
        <f>IFERROR(VLOOKUP(F111,'LEAID Match'!$A$2:$B$236,2,FALSE),"")</f>
        <v>0</v>
      </c>
    </row>
    <row r="112" spans="1:11" x14ac:dyDescent="0.2">
      <c r="A112">
        <f t="shared" si="1"/>
        <v>0</v>
      </c>
      <c r="B112">
        <v>2021</v>
      </c>
      <c r="C112" t="s">
        <v>642</v>
      </c>
      <c r="D112" t="s">
        <v>644</v>
      </c>
      <c r="E112" t="s">
        <v>646</v>
      </c>
      <c r="F112" t="s">
        <v>26</v>
      </c>
      <c r="G112" t="s">
        <v>27</v>
      </c>
      <c r="I112">
        <v>0</v>
      </c>
      <c r="J112">
        <v>0</v>
      </c>
      <c r="K112">
        <f>IFERROR(VLOOKUP(F112,'LEAID Match'!$A$2:$B$236,2,FALSE),"")</f>
        <v>0</v>
      </c>
    </row>
    <row r="113" spans="1:11" x14ac:dyDescent="0.2">
      <c r="A113">
        <f t="shared" si="1"/>
        <v>0</v>
      </c>
      <c r="B113">
        <v>2022</v>
      </c>
      <c r="C113" t="s">
        <v>642</v>
      </c>
      <c r="D113" t="s">
        <v>644</v>
      </c>
      <c r="E113" t="s">
        <v>646</v>
      </c>
      <c r="F113" t="s">
        <v>26</v>
      </c>
      <c r="G113" t="s">
        <v>27</v>
      </c>
      <c r="I113">
        <v>0</v>
      </c>
      <c r="J113">
        <v>0</v>
      </c>
      <c r="K113">
        <f>IFERROR(VLOOKUP(F113,'LEAID Match'!$A$2:$B$236,2,FALSE),"")</f>
        <v>0</v>
      </c>
    </row>
    <row r="114" spans="1:11" x14ac:dyDescent="0.2">
      <c r="A114">
        <f t="shared" si="1"/>
        <v>0</v>
      </c>
      <c r="B114">
        <v>2015</v>
      </c>
      <c r="C114" t="s">
        <v>642</v>
      </c>
      <c r="D114" t="s">
        <v>644</v>
      </c>
      <c r="E114" t="s">
        <v>646</v>
      </c>
      <c r="F114" t="s">
        <v>28</v>
      </c>
      <c r="G114" t="s">
        <v>29</v>
      </c>
      <c r="I114">
        <v>0</v>
      </c>
      <c r="J114">
        <v>0</v>
      </c>
      <c r="K114">
        <f>IFERROR(VLOOKUP(F114,'LEAID Match'!$A$2:$B$236,2,FALSE),"")</f>
        <v>0</v>
      </c>
    </row>
    <row r="115" spans="1:11" x14ac:dyDescent="0.2">
      <c r="A115">
        <f t="shared" si="1"/>
        <v>0</v>
      </c>
      <c r="B115">
        <v>2016</v>
      </c>
      <c r="C115" t="s">
        <v>642</v>
      </c>
      <c r="D115" t="s">
        <v>644</v>
      </c>
      <c r="E115" t="s">
        <v>646</v>
      </c>
      <c r="F115" s="1" t="s">
        <v>28</v>
      </c>
      <c r="G115" s="1" t="s">
        <v>29</v>
      </c>
      <c r="H115" s="22"/>
      <c r="I115">
        <v>0</v>
      </c>
      <c r="J115">
        <v>0</v>
      </c>
      <c r="K115">
        <f>IFERROR(VLOOKUP(F115,'LEAID Match'!$A$2:$B$236,2,FALSE),"")</f>
        <v>0</v>
      </c>
    </row>
    <row r="116" spans="1:11" x14ac:dyDescent="0.2">
      <c r="A116">
        <f t="shared" si="1"/>
        <v>0</v>
      </c>
      <c r="B116">
        <v>2017</v>
      </c>
      <c r="C116" t="s">
        <v>642</v>
      </c>
      <c r="D116" t="s">
        <v>644</v>
      </c>
      <c r="E116" t="s">
        <v>646</v>
      </c>
      <c r="F116" t="s">
        <v>28</v>
      </c>
      <c r="G116" t="s">
        <v>29</v>
      </c>
      <c r="I116">
        <v>0</v>
      </c>
      <c r="J116">
        <v>0</v>
      </c>
      <c r="K116">
        <f>IFERROR(VLOOKUP(F116,'LEAID Match'!$A$2:$B$236,2,FALSE),"")</f>
        <v>0</v>
      </c>
    </row>
    <row r="117" spans="1:11" x14ac:dyDescent="0.2">
      <c r="A117">
        <f t="shared" si="1"/>
        <v>0</v>
      </c>
      <c r="B117">
        <v>2018</v>
      </c>
      <c r="C117" t="s">
        <v>642</v>
      </c>
      <c r="D117" t="s">
        <v>644</v>
      </c>
      <c r="E117" t="s">
        <v>646</v>
      </c>
      <c r="F117" t="s">
        <v>28</v>
      </c>
      <c r="G117" t="s">
        <v>29</v>
      </c>
      <c r="I117">
        <v>0</v>
      </c>
      <c r="J117">
        <v>0</v>
      </c>
      <c r="K117">
        <f>IFERROR(VLOOKUP(F117,'LEAID Match'!$A$2:$B$236,2,FALSE),"")</f>
        <v>0</v>
      </c>
    </row>
    <row r="118" spans="1:11" x14ac:dyDescent="0.2">
      <c r="A118">
        <f t="shared" si="1"/>
        <v>0</v>
      </c>
      <c r="B118">
        <v>2019</v>
      </c>
      <c r="C118" t="s">
        <v>642</v>
      </c>
      <c r="D118" t="s">
        <v>644</v>
      </c>
      <c r="E118" t="s">
        <v>646</v>
      </c>
      <c r="F118" t="s">
        <v>28</v>
      </c>
      <c r="G118" t="s">
        <v>29</v>
      </c>
      <c r="I118">
        <v>0</v>
      </c>
      <c r="J118">
        <v>0</v>
      </c>
      <c r="K118">
        <f>IFERROR(VLOOKUP(F118,'LEAID Match'!$A$2:$B$236,2,FALSE),"")</f>
        <v>0</v>
      </c>
    </row>
    <row r="119" spans="1:11" x14ac:dyDescent="0.2">
      <c r="A119">
        <f t="shared" si="1"/>
        <v>0</v>
      </c>
      <c r="B119">
        <v>2020</v>
      </c>
      <c r="C119" t="s">
        <v>642</v>
      </c>
      <c r="D119" t="s">
        <v>644</v>
      </c>
      <c r="E119" t="s">
        <v>646</v>
      </c>
      <c r="F119" t="s">
        <v>28</v>
      </c>
      <c r="G119" t="s">
        <v>29</v>
      </c>
      <c r="I119">
        <v>0</v>
      </c>
      <c r="J119">
        <v>0</v>
      </c>
      <c r="K119">
        <f>IFERROR(VLOOKUP(F119,'LEAID Match'!$A$2:$B$236,2,FALSE),"")</f>
        <v>0</v>
      </c>
    </row>
    <row r="120" spans="1:11" x14ac:dyDescent="0.2">
      <c r="A120">
        <f t="shared" si="1"/>
        <v>0</v>
      </c>
      <c r="B120">
        <v>2021</v>
      </c>
      <c r="C120" t="s">
        <v>642</v>
      </c>
      <c r="D120" t="s">
        <v>644</v>
      </c>
      <c r="E120" t="s">
        <v>646</v>
      </c>
      <c r="F120" t="s">
        <v>28</v>
      </c>
      <c r="G120" t="s">
        <v>29</v>
      </c>
      <c r="I120">
        <v>0</v>
      </c>
      <c r="J120">
        <v>0</v>
      </c>
      <c r="K120">
        <f>IFERROR(VLOOKUP(F120,'LEAID Match'!$A$2:$B$236,2,FALSE),"")</f>
        <v>0</v>
      </c>
    </row>
    <row r="121" spans="1:11" x14ac:dyDescent="0.2">
      <c r="A121">
        <f t="shared" si="1"/>
        <v>0</v>
      </c>
      <c r="B121">
        <v>2022</v>
      </c>
      <c r="C121" t="s">
        <v>642</v>
      </c>
      <c r="D121" t="s">
        <v>644</v>
      </c>
      <c r="E121" t="s">
        <v>646</v>
      </c>
      <c r="F121" t="s">
        <v>28</v>
      </c>
      <c r="G121" t="s">
        <v>29</v>
      </c>
      <c r="I121">
        <v>0</v>
      </c>
      <c r="J121">
        <v>0</v>
      </c>
      <c r="K121">
        <f>IFERROR(VLOOKUP(F121,'LEAID Match'!$A$2:$B$236,2,FALSE),"")</f>
        <v>0</v>
      </c>
    </row>
    <row r="122" spans="1:11" x14ac:dyDescent="0.2">
      <c r="A122">
        <f t="shared" si="1"/>
        <v>0</v>
      </c>
      <c r="B122">
        <v>2015</v>
      </c>
      <c r="C122" t="s">
        <v>642</v>
      </c>
      <c r="D122" t="s">
        <v>644</v>
      </c>
      <c r="E122" t="s">
        <v>646</v>
      </c>
      <c r="F122" t="s">
        <v>30</v>
      </c>
      <c r="G122" t="s">
        <v>31</v>
      </c>
      <c r="I122">
        <v>0</v>
      </c>
      <c r="J122">
        <v>0</v>
      </c>
      <c r="K122">
        <f>IFERROR(VLOOKUP(F122,'LEAID Match'!$A$2:$B$236,2,FALSE),"")</f>
        <v>0</v>
      </c>
    </row>
    <row r="123" spans="1:11" x14ac:dyDescent="0.2">
      <c r="A123">
        <f t="shared" si="1"/>
        <v>0</v>
      </c>
      <c r="B123">
        <v>2016</v>
      </c>
      <c r="C123" t="s">
        <v>642</v>
      </c>
      <c r="D123" t="s">
        <v>644</v>
      </c>
      <c r="E123" t="s">
        <v>646</v>
      </c>
      <c r="F123" s="1" t="s">
        <v>30</v>
      </c>
      <c r="G123" s="1" t="s">
        <v>31</v>
      </c>
      <c r="H123" s="22"/>
      <c r="I123">
        <v>0</v>
      </c>
      <c r="J123">
        <v>0</v>
      </c>
      <c r="K123">
        <f>IFERROR(VLOOKUP(F123,'LEAID Match'!$A$2:$B$236,2,FALSE),"")</f>
        <v>0</v>
      </c>
    </row>
    <row r="124" spans="1:11" x14ac:dyDescent="0.2">
      <c r="A124">
        <f t="shared" si="1"/>
        <v>0</v>
      </c>
      <c r="B124">
        <v>2017</v>
      </c>
      <c r="C124" t="s">
        <v>642</v>
      </c>
      <c r="D124" t="s">
        <v>644</v>
      </c>
      <c r="E124" t="s">
        <v>646</v>
      </c>
      <c r="F124" t="s">
        <v>30</v>
      </c>
      <c r="G124" t="s">
        <v>31</v>
      </c>
      <c r="I124">
        <v>0</v>
      </c>
      <c r="J124">
        <v>0</v>
      </c>
      <c r="K124">
        <f>IFERROR(VLOOKUP(F124,'LEAID Match'!$A$2:$B$236,2,FALSE),"")</f>
        <v>0</v>
      </c>
    </row>
    <row r="125" spans="1:11" x14ac:dyDescent="0.2">
      <c r="A125">
        <f t="shared" si="1"/>
        <v>0</v>
      </c>
      <c r="B125">
        <v>2018</v>
      </c>
      <c r="C125" t="s">
        <v>642</v>
      </c>
      <c r="D125" t="s">
        <v>644</v>
      </c>
      <c r="E125" t="s">
        <v>646</v>
      </c>
      <c r="F125" t="s">
        <v>30</v>
      </c>
      <c r="G125" t="s">
        <v>31</v>
      </c>
      <c r="I125">
        <v>0</v>
      </c>
      <c r="J125">
        <v>0</v>
      </c>
      <c r="K125">
        <f>IFERROR(VLOOKUP(F125,'LEAID Match'!$A$2:$B$236,2,FALSE),"")</f>
        <v>0</v>
      </c>
    </row>
    <row r="126" spans="1:11" x14ac:dyDescent="0.2">
      <c r="A126">
        <f t="shared" si="1"/>
        <v>0</v>
      </c>
      <c r="B126">
        <v>2019</v>
      </c>
      <c r="C126" t="s">
        <v>642</v>
      </c>
      <c r="D126" t="s">
        <v>644</v>
      </c>
      <c r="E126" t="s">
        <v>646</v>
      </c>
      <c r="F126" t="s">
        <v>30</v>
      </c>
      <c r="G126" t="s">
        <v>31</v>
      </c>
      <c r="I126">
        <v>0</v>
      </c>
      <c r="J126">
        <v>0</v>
      </c>
      <c r="K126">
        <f>IFERROR(VLOOKUP(F126,'LEAID Match'!$A$2:$B$236,2,FALSE),"")</f>
        <v>0</v>
      </c>
    </row>
    <row r="127" spans="1:11" x14ac:dyDescent="0.2">
      <c r="A127">
        <f t="shared" si="1"/>
        <v>0</v>
      </c>
      <c r="B127">
        <v>2020</v>
      </c>
      <c r="C127" t="s">
        <v>642</v>
      </c>
      <c r="D127" t="s">
        <v>644</v>
      </c>
      <c r="E127" t="s">
        <v>646</v>
      </c>
      <c r="F127" t="s">
        <v>30</v>
      </c>
      <c r="G127" t="s">
        <v>31</v>
      </c>
      <c r="I127">
        <v>0</v>
      </c>
      <c r="J127">
        <v>0</v>
      </c>
      <c r="K127">
        <f>IFERROR(VLOOKUP(F127,'LEAID Match'!$A$2:$B$236,2,FALSE),"")</f>
        <v>0</v>
      </c>
    </row>
    <row r="128" spans="1:11" x14ac:dyDescent="0.2">
      <c r="A128">
        <f t="shared" si="1"/>
        <v>0</v>
      </c>
      <c r="B128">
        <v>2021</v>
      </c>
      <c r="C128" t="s">
        <v>642</v>
      </c>
      <c r="D128" t="s">
        <v>644</v>
      </c>
      <c r="E128" t="s">
        <v>646</v>
      </c>
      <c r="F128" t="s">
        <v>30</v>
      </c>
      <c r="G128" t="s">
        <v>31</v>
      </c>
      <c r="I128">
        <v>0</v>
      </c>
      <c r="J128">
        <v>0</v>
      </c>
      <c r="K128">
        <f>IFERROR(VLOOKUP(F128,'LEAID Match'!$A$2:$B$236,2,FALSE),"")</f>
        <v>0</v>
      </c>
    </row>
    <row r="129" spans="1:11" x14ac:dyDescent="0.2">
      <c r="A129">
        <f t="shared" si="1"/>
        <v>0</v>
      </c>
      <c r="B129">
        <v>2022</v>
      </c>
      <c r="C129" t="s">
        <v>642</v>
      </c>
      <c r="D129" t="s">
        <v>644</v>
      </c>
      <c r="E129" t="s">
        <v>646</v>
      </c>
      <c r="F129" t="s">
        <v>30</v>
      </c>
      <c r="G129" t="s">
        <v>31</v>
      </c>
      <c r="I129">
        <v>0</v>
      </c>
      <c r="J129">
        <v>0</v>
      </c>
      <c r="K129">
        <f>IFERROR(VLOOKUP(F129,'LEAID Match'!$A$2:$B$236,2,FALSE),"")</f>
        <v>0</v>
      </c>
    </row>
    <row r="130" spans="1:11" x14ac:dyDescent="0.2">
      <c r="A130">
        <f t="shared" si="1"/>
        <v>2302220</v>
      </c>
      <c r="B130">
        <v>2015</v>
      </c>
      <c r="C130" t="s">
        <v>642</v>
      </c>
      <c r="D130" t="s">
        <v>644</v>
      </c>
      <c r="E130" t="s">
        <v>646</v>
      </c>
      <c r="F130" t="s">
        <v>32</v>
      </c>
      <c r="G130" t="s">
        <v>33</v>
      </c>
      <c r="H130">
        <v>13906</v>
      </c>
      <c r="I130">
        <v>266628.65015712124</v>
      </c>
      <c r="J130">
        <v>280534.65015712124</v>
      </c>
      <c r="K130">
        <f>IFERROR(VLOOKUP(F130,'LEAID Match'!$A$2:$B$236,2,FALSE),"")</f>
        <v>2302220</v>
      </c>
    </row>
    <row r="131" spans="1:11" x14ac:dyDescent="0.2">
      <c r="A131">
        <f t="shared" ref="A131:A194" si="2">K131</f>
        <v>2302220</v>
      </c>
      <c r="B131">
        <v>2016</v>
      </c>
      <c r="C131" t="s">
        <v>642</v>
      </c>
      <c r="D131" t="s">
        <v>644</v>
      </c>
      <c r="E131" t="s">
        <v>646</v>
      </c>
      <c r="F131" s="1" t="s">
        <v>32</v>
      </c>
      <c r="G131" s="1" t="s">
        <v>33</v>
      </c>
      <c r="H131" s="22">
        <v>6230</v>
      </c>
      <c r="I131">
        <v>118398.67206240092</v>
      </c>
      <c r="J131">
        <v>124628.67206240092</v>
      </c>
      <c r="K131">
        <f>IFERROR(VLOOKUP(F131,'LEAID Match'!$A$2:$B$236,2,FALSE),"")</f>
        <v>2302220</v>
      </c>
    </row>
    <row r="132" spans="1:11" x14ac:dyDescent="0.2">
      <c r="A132">
        <f t="shared" si="2"/>
        <v>2302220</v>
      </c>
      <c r="B132">
        <v>2017</v>
      </c>
      <c r="C132" t="s">
        <v>642</v>
      </c>
      <c r="D132" t="s">
        <v>644</v>
      </c>
      <c r="E132" t="s">
        <v>646</v>
      </c>
      <c r="F132" t="s">
        <v>32</v>
      </c>
      <c r="G132" t="s">
        <v>33</v>
      </c>
      <c r="H132">
        <v>7571</v>
      </c>
      <c r="I132">
        <v>144359.26975057193</v>
      </c>
      <c r="J132">
        <v>151930.26975057193</v>
      </c>
      <c r="K132">
        <f>IFERROR(VLOOKUP(F132,'LEAID Match'!$A$2:$B$236,2,FALSE),"")</f>
        <v>2302220</v>
      </c>
    </row>
    <row r="133" spans="1:11" x14ac:dyDescent="0.2">
      <c r="A133">
        <f t="shared" si="2"/>
        <v>2302220</v>
      </c>
      <c r="B133">
        <v>2018</v>
      </c>
      <c r="C133" t="s">
        <v>642</v>
      </c>
      <c r="D133" t="s">
        <v>644</v>
      </c>
      <c r="E133" t="s">
        <v>646</v>
      </c>
      <c r="F133" t="s">
        <v>32</v>
      </c>
      <c r="G133" t="s">
        <v>33</v>
      </c>
      <c r="H133">
        <v>6256</v>
      </c>
      <c r="I133">
        <v>126804.70219593728</v>
      </c>
      <c r="J133">
        <v>133060.70219593728</v>
      </c>
      <c r="K133">
        <f>IFERROR(VLOOKUP(F133,'LEAID Match'!$A$2:$B$236,2,FALSE),"")</f>
        <v>2302220</v>
      </c>
    </row>
    <row r="134" spans="1:11" x14ac:dyDescent="0.2">
      <c r="A134">
        <f t="shared" si="2"/>
        <v>2302220</v>
      </c>
      <c r="B134">
        <v>2019</v>
      </c>
      <c r="C134" t="s">
        <v>642</v>
      </c>
      <c r="D134" t="s">
        <v>644</v>
      </c>
      <c r="E134" t="s">
        <v>646</v>
      </c>
      <c r="F134" t="s">
        <v>32</v>
      </c>
      <c r="G134" t="s">
        <v>33</v>
      </c>
      <c r="H134">
        <v>5858</v>
      </c>
      <c r="I134">
        <v>125502.00524787448</v>
      </c>
      <c r="J134">
        <v>131360.00524787448</v>
      </c>
      <c r="K134">
        <f>IFERROR(VLOOKUP(F134,'LEAID Match'!$A$2:$B$236,2,FALSE),"")</f>
        <v>2302220</v>
      </c>
    </row>
    <row r="135" spans="1:11" x14ac:dyDescent="0.2">
      <c r="A135">
        <f t="shared" si="2"/>
        <v>2302220</v>
      </c>
      <c r="B135">
        <v>2020</v>
      </c>
      <c r="C135" t="s">
        <v>642</v>
      </c>
      <c r="D135" t="s">
        <v>644</v>
      </c>
      <c r="E135" t="s">
        <v>646</v>
      </c>
      <c r="F135" t="s">
        <v>32</v>
      </c>
      <c r="G135" t="s">
        <v>33</v>
      </c>
      <c r="H135">
        <v>6799</v>
      </c>
      <c r="I135">
        <v>151494.82208584875</v>
      </c>
      <c r="J135">
        <v>158293.82208584875</v>
      </c>
      <c r="K135">
        <f>IFERROR(VLOOKUP(F135,'LEAID Match'!$A$2:$B$236,2,FALSE),"")</f>
        <v>2302220</v>
      </c>
    </row>
    <row r="136" spans="1:11" x14ac:dyDescent="0.2">
      <c r="A136">
        <f t="shared" si="2"/>
        <v>2302220</v>
      </c>
      <c r="B136">
        <v>2021</v>
      </c>
      <c r="C136" t="s">
        <v>642</v>
      </c>
      <c r="D136" t="s">
        <v>644</v>
      </c>
      <c r="E136" t="s">
        <v>646</v>
      </c>
      <c r="F136" t="s">
        <v>32</v>
      </c>
      <c r="G136" t="s">
        <v>33</v>
      </c>
      <c r="H136">
        <v>7419</v>
      </c>
      <c r="I136">
        <v>124634.38073878497</v>
      </c>
      <c r="J136">
        <v>132053.38073878497</v>
      </c>
      <c r="K136">
        <f>IFERROR(VLOOKUP(F136,'LEAID Match'!$A$2:$B$236,2,FALSE),"")</f>
        <v>2302220</v>
      </c>
    </row>
    <row r="137" spans="1:11" x14ac:dyDescent="0.2">
      <c r="A137">
        <f t="shared" si="2"/>
        <v>2302220</v>
      </c>
      <c r="B137">
        <v>2022</v>
      </c>
      <c r="C137" t="s">
        <v>642</v>
      </c>
      <c r="D137" t="s">
        <v>644</v>
      </c>
      <c r="E137" t="s">
        <v>646</v>
      </c>
      <c r="F137" t="s">
        <v>32</v>
      </c>
      <c r="G137" t="s">
        <v>33</v>
      </c>
      <c r="H137">
        <v>22592</v>
      </c>
      <c r="I137">
        <v>325211.22389935766</v>
      </c>
      <c r="J137">
        <v>347803.22389935766</v>
      </c>
      <c r="K137">
        <f>IFERROR(VLOOKUP(F137,'LEAID Match'!$A$2:$B$236,2,FALSE),"")</f>
        <v>2302220</v>
      </c>
    </row>
    <row r="138" spans="1:11" x14ac:dyDescent="0.2">
      <c r="A138">
        <f t="shared" si="2"/>
        <v>2314823</v>
      </c>
      <c r="B138">
        <v>2016</v>
      </c>
      <c r="C138" t="s">
        <v>642</v>
      </c>
      <c r="D138" t="s">
        <v>644</v>
      </c>
      <c r="E138" t="s">
        <v>646</v>
      </c>
      <c r="F138" s="1" t="s">
        <v>485</v>
      </c>
      <c r="G138" s="1" t="s">
        <v>486</v>
      </c>
      <c r="H138" s="22">
        <v>1506</v>
      </c>
      <c r="I138">
        <v>28620.930999354059</v>
      </c>
      <c r="J138">
        <v>30126.930999354059</v>
      </c>
      <c r="K138">
        <f>IFERROR(VLOOKUP(F138,'LEAID Match'!$A$2:$B$236,2,FALSE),"")</f>
        <v>2314823</v>
      </c>
    </row>
    <row r="139" spans="1:11" x14ac:dyDescent="0.2">
      <c r="A139">
        <f t="shared" si="2"/>
        <v>2314823</v>
      </c>
      <c r="B139">
        <v>2017</v>
      </c>
      <c r="C139" t="s">
        <v>642</v>
      </c>
      <c r="D139" t="s">
        <v>644</v>
      </c>
      <c r="E139" t="s">
        <v>646</v>
      </c>
      <c r="F139" t="s">
        <v>485</v>
      </c>
      <c r="G139" t="s">
        <v>486</v>
      </c>
      <c r="H139">
        <v>501</v>
      </c>
      <c r="I139">
        <v>9552.7663644216791</v>
      </c>
      <c r="J139">
        <v>10053.766364421679</v>
      </c>
      <c r="K139">
        <f>IFERROR(VLOOKUP(F139,'LEAID Match'!$A$2:$B$236,2,FALSE),"")</f>
        <v>2314823</v>
      </c>
    </row>
    <row r="140" spans="1:11" x14ac:dyDescent="0.2">
      <c r="A140">
        <f t="shared" si="2"/>
        <v>2314823</v>
      </c>
      <c r="B140">
        <v>2018</v>
      </c>
      <c r="C140" t="s">
        <v>642</v>
      </c>
      <c r="D140" t="s">
        <v>644</v>
      </c>
      <c r="E140" t="s">
        <v>646</v>
      </c>
      <c r="F140" t="s">
        <v>485</v>
      </c>
      <c r="G140" t="s">
        <v>486</v>
      </c>
      <c r="I140">
        <v>0</v>
      </c>
      <c r="J140">
        <v>0</v>
      </c>
      <c r="K140">
        <f>IFERROR(VLOOKUP(F140,'LEAID Match'!$A$2:$B$236,2,FALSE),"")</f>
        <v>2314823</v>
      </c>
    </row>
    <row r="141" spans="1:11" x14ac:dyDescent="0.2">
      <c r="A141">
        <f t="shared" si="2"/>
        <v>2314823</v>
      </c>
      <c r="B141">
        <v>2019</v>
      </c>
      <c r="C141" t="s">
        <v>642</v>
      </c>
      <c r="D141" t="s">
        <v>644</v>
      </c>
      <c r="E141" t="s">
        <v>646</v>
      </c>
      <c r="F141" t="s">
        <v>485</v>
      </c>
      <c r="G141" t="s">
        <v>486</v>
      </c>
      <c r="H141">
        <v>3084</v>
      </c>
      <c r="I141">
        <v>66071.728266378428</v>
      </c>
      <c r="J141">
        <v>69155.728266378428</v>
      </c>
      <c r="K141">
        <f>IFERROR(VLOOKUP(F141,'LEAID Match'!$A$2:$B$236,2,FALSE),"")</f>
        <v>2314823</v>
      </c>
    </row>
    <row r="142" spans="1:11" x14ac:dyDescent="0.2">
      <c r="A142">
        <f t="shared" si="2"/>
        <v>2314823</v>
      </c>
      <c r="B142">
        <v>2020</v>
      </c>
      <c r="C142" t="s">
        <v>642</v>
      </c>
      <c r="D142" t="s">
        <v>644</v>
      </c>
      <c r="E142" t="s">
        <v>646</v>
      </c>
      <c r="F142" t="s">
        <v>485</v>
      </c>
      <c r="G142" t="s">
        <v>486</v>
      </c>
      <c r="H142">
        <v>2732</v>
      </c>
      <c r="I142">
        <v>60874.224729892456</v>
      </c>
      <c r="J142">
        <v>63606.224729892456</v>
      </c>
      <c r="K142">
        <f>IFERROR(VLOOKUP(F142,'LEAID Match'!$A$2:$B$236,2,FALSE),"")</f>
        <v>2314823</v>
      </c>
    </row>
    <row r="143" spans="1:11" x14ac:dyDescent="0.2">
      <c r="A143">
        <f t="shared" si="2"/>
        <v>2314823</v>
      </c>
      <c r="B143">
        <v>2021</v>
      </c>
      <c r="C143" t="s">
        <v>642</v>
      </c>
      <c r="D143" t="s">
        <v>644</v>
      </c>
      <c r="E143" t="s">
        <v>646</v>
      </c>
      <c r="F143" t="s">
        <v>485</v>
      </c>
      <c r="G143" t="s">
        <v>486</v>
      </c>
      <c r="H143">
        <v>2637</v>
      </c>
      <c r="I143">
        <v>44299.887047873832</v>
      </c>
      <c r="J143">
        <v>46936.887047873832</v>
      </c>
      <c r="K143">
        <f>IFERROR(VLOOKUP(F143,'LEAID Match'!$A$2:$B$236,2,FALSE),"")</f>
        <v>2314823</v>
      </c>
    </row>
    <row r="144" spans="1:11" x14ac:dyDescent="0.2">
      <c r="A144">
        <f t="shared" si="2"/>
        <v>2314823</v>
      </c>
      <c r="B144">
        <v>2022</v>
      </c>
      <c r="C144" t="s">
        <v>642</v>
      </c>
      <c r="D144" t="s">
        <v>644</v>
      </c>
      <c r="E144" t="s">
        <v>646</v>
      </c>
      <c r="F144" t="s">
        <v>485</v>
      </c>
      <c r="G144" t="s">
        <v>486</v>
      </c>
      <c r="H144">
        <v>3812</v>
      </c>
      <c r="I144">
        <v>54873.636043924904</v>
      </c>
      <c r="J144">
        <v>58685.636043924904</v>
      </c>
      <c r="K144">
        <f>IFERROR(VLOOKUP(F144,'LEAID Match'!$A$2:$B$236,2,FALSE),"")</f>
        <v>2314823</v>
      </c>
    </row>
    <row r="145" spans="1:11" x14ac:dyDescent="0.2">
      <c r="A145">
        <f t="shared" si="2"/>
        <v>2314817</v>
      </c>
      <c r="B145">
        <v>2015</v>
      </c>
      <c r="C145" t="s">
        <v>642</v>
      </c>
      <c r="D145" t="s">
        <v>644</v>
      </c>
      <c r="E145" t="s">
        <v>646</v>
      </c>
      <c r="F145" t="s">
        <v>34</v>
      </c>
      <c r="G145" t="s">
        <v>35</v>
      </c>
      <c r="H145">
        <v>9146</v>
      </c>
      <c r="I145">
        <v>175362.1195409917</v>
      </c>
      <c r="J145">
        <v>184508.1195409917</v>
      </c>
      <c r="K145">
        <f>IFERROR(VLOOKUP(F145,'LEAID Match'!$A$2:$B$236,2,FALSE),"")</f>
        <v>2314817</v>
      </c>
    </row>
    <row r="146" spans="1:11" x14ac:dyDescent="0.2">
      <c r="A146">
        <f t="shared" si="2"/>
        <v>2314817</v>
      </c>
      <c r="B146">
        <v>2016</v>
      </c>
      <c r="C146" t="s">
        <v>642</v>
      </c>
      <c r="D146" t="s">
        <v>644</v>
      </c>
      <c r="E146" t="s">
        <v>646</v>
      </c>
      <c r="F146" s="1" t="s">
        <v>34</v>
      </c>
      <c r="G146" s="1" t="s">
        <v>35</v>
      </c>
      <c r="H146" s="22">
        <v>6038</v>
      </c>
      <c r="I146">
        <v>114749.78842901714</v>
      </c>
      <c r="J146">
        <v>120787.78842901714</v>
      </c>
      <c r="K146">
        <f>IFERROR(VLOOKUP(F146,'LEAID Match'!$A$2:$B$236,2,FALSE),"")</f>
        <v>2314817</v>
      </c>
    </row>
    <row r="147" spans="1:11" x14ac:dyDescent="0.2">
      <c r="A147">
        <f t="shared" si="2"/>
        <v>2314817</v>
      </c>
      <c r="B147">
        <v>2017</v>
      </c>
      <c r="C147" t="s">
        <v>642</v>
      </c>
      <c r="D147" t="s">
        <v>644</v>
      </c>
      <c r="E147" t="s">
        <v>646</v>
      </c>
      <c r="F147" t="s">
        <v>34</v>
      </c>
      <c r="G147" t="s">
        <v>35</v>
      </c>
      <c r="H147">
        <v>6864</v>
      </c>
      <c r="I147">
        <v>130878.6194119569</v>
      </c>
      <c r="J147">
        <v>137742.6194119569</v>
      </c>
      <c r="K147">
        <f>IFERROR(VLOOKUP(F147,'LEAID Match'!$A$2:$B$236,2,FALSE),"")</f>
        <v>2314817</v>
      </c>
    </row>
    <row r="148" spans="1:11" x14ac:dyDescent="0.2">
      <c r="A148">
        <f t="shared" si="2"/>
        <v>2314817</v>
      </c>
      <c r="B148">
        <v>2018</v>
      </c>
      <c r="C148" t="s">
        <v>642</v>
      </c>
      <c r="D148" t="s">
        <v>644</v>
      </c>
      <c r="E148" t="s">
        <v>646</v>
      </c>
      <c r="F148" t="s">
        <v>34</v>
      </c>
      <c r="G148" t="s">
        <v>35</v>
      </c>
      <c r="H148">
        <v>9962</v>
      </c>
      <c r="I148">
        <v>201922.70512722625</v>
      </c>
      <c r="J148">
        <v>211884.70512722625</v>
      </c>
      <c r="K148">
        <f>IFERROR(VLOOKUP(F148,'LEAID Match'!$A$2:$B$236,2,FALSE),"")</f>
        <v>2314817</v>
      </c>
    </row>
    <row r="149" spans="1:11" x14ac:dyDescent="0.2">
      <c r="A149">
        <f t="shared" si="2"/>
        <v>2314817</v>
      </c>
      <c r="B149">
        <v>2019</v>
      </c>
      <c r="C149" t="s">
        <v>642</v>
      </c>
      <c r="D149" t="s">
        <v>644</v>
      </c>
      <c r="E149" t="s">
        <v>646</v>
      </c>
      <c r="F149" t="s">
        <v>34</v>
      </c>
      <c r="G149" t="s">
        <v>35</v>
      </c>
      <c r="H149">
        <v>6820</v>
      </c>
      <c r="I149">
        <v>146111.92826741276</v>
      </c>
      <c r="J149">
        <v>152931.92826741276</v>
      </c>
      <c r="K149">
        <f>IFERROR(VLOOKUP(F149,'LEAID Match'!$A$2:$B$236,2,FALSE),"")</f>
        <v>2314817</v>
      </c>
    </row>
    <row r="150" spans="1:11" x14ac:dyDescent="0.2">
      <c r="A150">
        <f t="shared" si="2"/>
        <v>2314817</v>
      </c>
      <c r="B150">
        <v>2020</v>
      </c>
      <c r="C150" t="s">
        <v>642</v>
      </c>
      <c r="D150" t="s">
        <v>644</v>
      </c>
      <c r="E150" t="s">
        <v>646</v>
      </c>
      <c r="F150" t="s">
        <v>34</v>
      </c>
      <c r="G150" t="s">
        <v>35</v>
      </c>
      <c r="H150">
        <v>5885</v>
      </c>
      <c r="I150">
        <v>131129.14075234885</v>
      </c>
      <c r="J150">
        <v>137014.14075234885</v>
      </c>
      <c r="K150">
        <f>IFERROR(VLOOKUP(F150,'LEAID Match'!$A$2:$B$236,2,FALSE),"")</f>
        <v>2314817</v>
      </c>
    </row>
    <row r="151" spans="1:11" x14ac:dyDescent="0.2">
      <c r="A151">
        <f t="shared" si="2"/>
        <v>2314817</v>
      </c>
      <c r="B151">
        <v>2021</v>
      </c>
      <c r="C151" t="s">
        <v>642</v>
      </c>
      <c r="D151" t="s">
        <v>644</v>
      </c>
      <c r="E151" t="s">
        <v>646</v>
      </c>
      <c r="F151" t="s">
        <v>34</v>
      </c>
      <c r="G151" t="s">
        <v>35</v>
      </c>
      <c r="H151">
        <v>7275</v>
      </c>
      <c r="I151">
        <v>122215.2742788328</v>
      </c>
      <c r="J151">
        <v>129490.2742788328</v>
      </c>
      <c r="K151">
        <f>IFERROR(VLOOKUP(F151,'LEAID Match'!$A$2:$B$236,2,FALSE),"")</f>
        <v>2314817</v>
      </c>
    </row>
    <row r="152" spans="1:11" x14ac:dyDescent="0.2">
      <c r="A152">
        <f t="shared" si="2"/>
        <v>2314817</v>
      </c>
      <c r="B152">
        <v>2022</v>
      </c>
      <c r="C152" t="s">
        <v>642</v>
      </c>
      <c r="D152" t="s">
        <v>644</v>
      </c>
      <c r="E152" t="s">
        <v>646</v>
      </c>
      <c r="F152" t="s">
        <v>34</v>
      </c>
      <c r="G152" t="s">
        <v>35</v>
      </c>
      <c r="H152">
        <v>8163</v>
      </c>
      <c r="I152">
        <v>117506.16238891894</v>
      </c>
      <c r="J152">
        <v>125669.16238891894</v>
      </c>
      <c r="K152">
        <f>IFERROR(VLOOKUP(F152,'LEAID Match'!$A$2:$B$236,2,FALSE),"")</f>
        <v>2314817</v>
      </c>
    </row>
    <row r="153" spans="1:11" x14ac:dyDescent="0.2">
      <c r="A153">
        <f t="shared" si="2"/>
        <v>2302610</v>
      </c>
      <c r="B153">
        <v>2015</v>
      </c>
      <c r="C153" t="s">
        <v>642</v>
      </c>
      <c r="D153" t="s">
        <v>644</v>
      </c>
      <c r="E153" t="s">
        <v>646</v>
      </c>
      <c r="F153" t="s">
        <v>36</v>
      </c>
      <c r="G153" t="s">
        <v>37</v>
      </c>
      <c r="H153">
        <v>194316</v>
      </c>
      <c r="I153">
        <v>3725745.2023537448</v>
      </c>
      <c r="J153">
        <v>3920061.2023537448</v>
      </c>
      <c r="K153">
        <f>IFERROR(VLOOKUP(F153,'LEAID Match'!$A$2:$B$236,2,FALSE),"")</f>
        <v>2302610</v>
      </c>
    </row>
    <row r="154" spans="1:11" x14ac:dyDescent="0.2">
      <c r="A154">
        <f t="shared" si="2"/>
        <v>2302610</v>
      </c>
      <c r="B154">
        <v>2016</v>
      </c>
      <c r="C154" t="s">
        <v>642</v>
      </c>
      <c r="D154" t="s">
        <v>644</v>
      </c>
      <c r="E154" t="s">
        <v>646</v>
      </c>
      <c r="F154" s="1" t="s">
        <v>36</v>
      </c>
      <c r="G154" s="1" t="s">
        <v>37</v>
      </c>
      <c r="H154" s="22">
        <v>149677</v>
      </c>
      <c r="I154">
        <v>2844551.8520520036</v>
      </c>
      <c r="J154">
        <v>2994228.8520520036</v>
      </c>
      <c r="K154">
        <f>IFERROR(VLOOKUP(F154,'LEAID Match'!$A$2:$B$236,2,FALSE),"")</f>
        <v>2302610</v>
      </c>
    </row>
    <row r="155" spans="1:11" x14ac:dyDescent="0.2">
      <c r="A155">
        <f t="shared" si="2"/>
        <v>2302610</v>
      </c>
      <c r="B155">
        <v>2017</v>
      </c>
      <c r="C155" t="s">
        <v>642</v>
      </c>
      <c r="D155" t="s">
        <v>644</v>
      </c>
      <c r="E155" t="s">
        <v>646</v>
      </c>
      <c r="F155" t="s">
        <v>36</v>
      </c>
      <c r="G155" t="s">
        <v>37</v>
      </c>
      <c r="H155">
        <v>172871</v>
      </c>
      <c r="I155">
        <v>3296200.1480717366</v>
      </c>
      <c r="J155">
        <v>3469071.1480717366</v>
      </c>
      <c r="K155">
        <f>IFERROR(VLOOKUP(F155,'LEAID Match'!$A$2:$B$236,2,FALSE),"")</f>
        <v>2302610</v>
      </c>
    </row>
    <row r="156" spans="1:11" x14ac:dyDescent="0.2">
      <c r="A156">
        <f t="shared" si="2"/>
        <v>2302610</v>
      </c>
      <c r="B156">
        <v>2018</v>
      </c>
      <c r="C156" t="s">
        <v>642</v>
      </c>
      <c r="D156" t="s">
        <v>644</v>
      </c>
      <c r="E156" t="s">
        <v>646</v>
      </c>
      <c r="F156" t="s">
        <v>36</v>
      </c>
      <c r="G156" t="s">
        <v>37</v>
      </c>
      <c r="H156">
        <v>136597</v>
      </c>
      <c r="I156">
        <v>2768724.7291973219</v>
      </c>
      <c r="J156">
        <v>2905321.7291973219</v>
      </c>
      <c r="K156">
        <f>IFERROR(VLOOKUP(F156,'LEAID Match'!$A$2:$B$236,2,FALSE),"")</f>
        <v>2302610</v>
      </c>
    </row>
    <row r="157" spans="1:11" x14ac:dyDescent="0.2">
      <c r="A157">
        <f t="shared" si="2"/>
        <v>2302610</v>
      </c>
      <c r="B157">
        <v>2019</v>
      </c>
      <c r="C157" t="s">
        <v>642</v>
      </c>
      <c r="D157" t="s">
        <v>644</v>
      </c>
      <c r="E157" t="s">
        <v>646</v>
      </c>
      <c r="F157" t="s">
        <v>36</v>
      </c>
      <c r="G157" t="s">
        <v>37</v>
      </c>
      <c r="H157">
        <v>137736</v>
      </c>
      <c r="I157">
        <v>2950861.0779824578</v>
      </c>
      <c r="J157">
        <v>3088597.0779824578</v>
      </c>
      <c r="K157">
        <f>IFERROR(VLOOKUP(F157,'LEAID Match'!$A$2:$B$236,2,FALSE),"")</f>
        <v>2302610</v>
      </c>
    </row>
    <row r="158" spans="1:11" x14ac:dyDescent="0.2">
      <c r="A158">
        <f t="shared" si="2"/>
        <v>2302610</v>
      </c>
      <c r="B158">
        <v>2020</v>
      </c>
      <c r="C158" t="s">
        <v>642</v>
      </c>
      <c r="D158" t="s">
        <v>644</v>
      </c>
      <c r="E158" t="s">
        <v>646</v>
      </c>
      <c r="F158" t="s">
        <v>36</v>
      </c>
      <c r="G158" t="s">
        <v>37</v>
      </c>
      <c r="H158">
        <v>151327</v>
      </c>
      <c r="I158">
        <v>3371857.1763178753</v>
      </c>
      <c r="J158">
        <v>3523184.1763178753</v>
      </c>
      <c r="K158">
        <f>IFERROR(VLOOKUP(F158,'LEAID Match'!$A$2:$B$236,2,FALSE),"")</f>
        <v>2302610</v>
      </c>
    </row>
    <row r="159" spans="1:11" x14ac:dyDescent="0.2">
      <c r="A159">
        <f t="shared" si="2"/>
        <v>2302610</v>
      </c>
      <c r="B159">
        <v>2021</v>
      </c>
      <c r="C159" t="s">
        <v>642</v>
      </c>
      <c r="D159" t="s">
        <v>644</v>
      </c>
      <c r="E159" t="s">
        <v>646</v>
      </c>
      <c r="F159" t="s">
        <v>36</v>
      </c>
      <c r="G159" t="s">
        <v>37</v>
      </c>
      <c r="H159">
        <v>144530</v>
      </c>
      <c r="I159">
        <v>2428010.1156728119</v>
      </c>
      <c r="J159">
        <v>2572540.1156728119</v>
      </c>
      <c r="K159">
        <f>IFERROR(VLOOKUP(F159,'LEAID Match'!$A$2:$B$236,2,FALSE),"")</f>
        <v>2302610</v>
      </c>
    </row>
    <row r="160" spans="1:11" x14ac:dyDescent="0.2">
      <c r="A160">
        <f t="shared" si="2"/>
        <v>2302610</v>
      </c>
      <c r="B160">
        <v>2022</v>
      </c>
      <c r="C160" t="s">
        <v>642</v>
      </c>
      <c r="D160" t="s">
        <v>644</v>
      </c>
      <c r="E160" t="s">
        <v>646</v>
      </c>
      <c r="F160" t="s">
        <v>36</v>
      </c>
      <c r="G160" t="s">
        <v>37</v>
      </c>
      <c r="H160">
        <v>360830</v>
      </c>
      <c r="I160">
        <v>5194138.0098975394</v>
      </c>
      <c r="J160">
        <v>5554968.0098975394</v>
      </c>
      <c r="K160">
        <f>IFERROR(VLOOKUP(F160,'LEAID Match'!$A$2:$B$236,2,FALSE),"")</f>
        <v>2302610</v>
      </c>
    </row>
    <row r="161" spans="1:11" x14ac:dyDescent="0.2">
      <c r="A161">
        <f t="shared" si="2"/>
        <v>2302640</v>
      </c>
      <c r="B161">
        <v>2015</v>
      </c>
      <c r="C161" t="s">
        <v>642</v>
      </c>
      <c r="D161" t="s">
        <v>644</v>
      </c>
      <c r="E161" t="s">
        <v>646</v>
      </c>
      <c r="F161" t="s">
        <v>38</v>
      </c>
      <c r="G161" t="s">
        <v>39</v>
      </c>
      <c r="H161">
        <v>171249</v>
      </c>
      <c r="I161">
        <v>3283466.8280423456</v>
      </c>
      <c r="J161">
        <v>3454715.8280423456</v>
      </c>
      <c r="K161">
        <f>IFERROR(VLOOKUP(F161,'LEAID Match'!$A$2:$B$236,2,FALSE),"")</f>
        <v>2302640</v>
      </c>
    </row>
    <row r="162" spans="1:11" x14ac:dyDescent="0.2">
      <c r="A162">
        <f t="shared" si="2"/>
        <v>2302640</v>
      </c>
      <c r="B162">
        <v>2016</v>
      </c>
      <c r="C162" t="s">
        <v>642</v>
      </c>
      <c r="D162" t="s">
        <v>644</v>
      </c>
      <c r="E162" t="s">
        <v>646</v>
      </c>
      <c r="F162" s="1" t="s">
        <v>38</v>
      </c>
      <c r="G162" s="1" t="s">
        <v>39</v>
      </c>
      <c r="H162" s="22">
        <v>120746</v>
      </c>
      <c r="I162">
        <v>2294729.7041487419</v>
      </c>
      <c r="J162">
        <v>2415475.7041487419</v>
      </c>
      <c r="K162">
        <f>IFERROR(VLOOKUP(F162,'LEAID Match'!$A$2:$B$236,2,FALSE),"")</f>
        <v>2302640</v>
      </c>
    </row>
    <row r="163" spans="1:11" x14ac:dyDescent="0.2">
      <c r="A163">
        <f t="shared" si="2"/>
        <v>2302640</v>
      </c>
      <c r="B163">
        <v>2017</v>
      </c>
      <c r="C163" t="s">
        <v>642</v>
      </c>
      <c r="D163" t="s">
        <v>644</v>
      </c>
      <c r="E163" t="s">
        <v>646</v>
      </c>
      <c r="F163" t="s">
        <v>38</v>
      </c>
      <c r="G163" t="s">
        <v>39</v>
      </c>
      <c r="H163">
        <v>118907</v>
      </c>
      <c r="I163">
        <v>2267247.0860165441</v>
      </c>
      <c r="J163">
        <v>2386154.0860165441</v>
      </c>
      <c r="K163">
        <f>IFERROR(VLOOKUP(F163,'LEAID Match'!$A$2:$B$236,2,FALSE),"")</f>
        <v>2302640</v>
      </c>
    </row>
    <row r="164" spans="1:11" x14ac:dyDescent="0.2">
      <c r="A164">
        <f t="shared" si="2"/>
        <v>2302640</v>
      </c>
      <c r="B164">
        <v>2018</v>
      </c>
      <c r="C164" t="s">
        <v>642</v>
      </c>
      <c r="D164" t="s">
        <v>644</v>
      </c>
      <c r="E164" t="s">
        <v>646</v>
      </c>
      <c r="F164" t="s">
        <v>38</v>
      </c>
      <c r="G164" t="s">
        <v>39</v>
      </c>
      <c r="H164">
        <v>135720</v>
      </c>
      <c r="I164">
        <v>2750948.558509049</v>
      </c>
      <c r="J164">
        <v>2886668.558509049</v>
      </c>
      <c r="K164">
        <f>IFERROR(VLOOKUP(F164,'LEAID Match'!$A$2:$B$236,2,FALSE),"")</f>
        <v>2302640</v>
      </c>
    </row>
    <row r="165" spans="1:11" x14ac:dyDescent="0.2">
      <c r="A165">
        <f t="shared" si="2"/>
        <v>2302640</v>
      </c>
      <c r="B165">
        <v>2019</v>
      </c>
      <c r="C165" t="s">
        <v>642</v>
      </c>
      <c r="D165" t="s">
        <v>644</v>
      </c>
      <c r="E165" t="s">
        <v>646</v>
      </c>
      <c r="F165" t="s">
        <v>38</v>
      </c>
      <c r="G165" t="s">
        <v>39</v>
      </c>
      <c r="H165">
        <v>127715</v>
      </c>
      <c r="I165">
        <v>2736170.8091895338</v>
      </c>
      <c r="J165">
        <v>2863885.8091895338</v>
      </c>
      <c r="K165">
        <f>IFERROR(VLOOKUP(F165,'LEAID Match'!$A$2:$B$236,2,FALSE),"")</f>
        <v>2302640</v>
      </c>
    </row>
    <row r="166" spans="1:11" x14ac:dyDescent="0.2">
      <c r="A166">
        <f t="shared" si="2"/>
        <v>2302640</v>
      </c>
      <c r="B166">
        <v>2020</v>
      </c>
      <c r="C166" t="s">
        <v>642</v>
      </c>
      <c r="D166" t="s">
        <v>644</v>
      </c>
      <c r="E166" t="s">
        <v>646</v>
      </c>
      <c r="F166" t="s">
        <v>38</v>
      </c>
      <c r="G166" t="s">
        <v>39</v>
      </c>
      <c r="H166">
        <v>160360</v>
      </c>
      <c r="I166">
        <v>3573129.823457377</v>
      </c>
      <c r="J166">
        <v>3733489.823457377</v>
      </c>
      <c r="K166">
        <f>IFERROR(VLOOKUP(F166,'LEAID Match'!$A$2:$B$236,2,FALSE),"")</f>
        <v>2302640</v>
      </c>
    </row>
    <row r="167" spans="1:11" x14ac:dyDescent="0.2">
      <c r="A167">
        <f t="shared" si="2"/>
        <v>2302640</v>
      </c>
      <c r="B167">
        <v>2021</v>
      </c>
      <c r="C167" t="s">
        <v>642</v>
      </c>
      <c r="D167" t="s">
        <v>644</v>
      </c>
      <c r="E167" t="s">
        <v>646</v>
      </c>
      <c r="F167" t="s">
        <v>38</v>
      </c>
      <c r="G167" t="s">
        <v>39</v>
      </c>
      <c r="H167">
        <v>210150</v>
      </c>
      <c r="I167">
        <v>3530383.4899926758</v>
      </c>
      <c r="J167">
        <v>3740533.4899926758</v>
      </c>
      <c r="K167">
        <f>IFERROR(VLOOKUP(F167,'LEAID Match'!$A$2:$B$236,2,FALSE),"")</f>
        <v>2302640</v>
      </c>
    </row>
    <row r="168" spans="1:11" x14ac:dyDescent="0.2">
      <c r="A168">
        <f t="shared" si="2"/>
        <v>2302640</v>
      </c>
      <c r="B168">
        <v>2022</v>
      </c>
      <c r="C168" t="s">
        <v>642</v>
      </c>
      <c r="D168" t="s">
        <v>644</v>
      </c>
      <c r="E168" t="s">
        <v>646</v>
      </c>
      <c r="F168" t="s">
        <v>38</v>
      </c>
      <c r="G168" t="s">
        <v>39</v>
      </c>
      <c r="H168">
        <v>280236</v>
      </c>
      <c r="I168">
        <v>4033989.5777558596</v>
      </c>
      <c r="J168">
        <v>4314225.5777558591</v>
      </c>
      <c r="K168">
        <f>IFERROR(VLOOKUP(F168,'LEAID Match'!$A$2:$B$236,2,FALSE),"")</f>
        <v>2302640</v>
      </c>
    </row>
    <row r="169" spans="1:11" x14ac:dyDescent="0.2">
      <c r="A169">
        <f t="shared" si="2"/>
        <v>2302820</v>
      </c>
      <c r="B169">
        <v>2015</v>
      </c>
      <c r="C169" t="s">
        <v>642</v>
      </c>
      <c r="D169" t="s">
        <v>644</v>
      </c>
      <c r="E169" t="s">
        <v>646</v>
      </c>
      <c r="F169" t="s">
        <v>40</v>
      </c>
      <c r="G169" t="s">
        <v>41</v>
      </c>
      <c r="H169">
        <v>169568</v>
      </c>
      <c r="I169">
        <v>3251235.937713414</v>
      </c>
      <c r="J169">
        <v>3420803.937713414</v>
      </c>
      <c r="K169">
        <f>IFERROR(VLOOKUP(F169,'LEAID Match'!$A$2:$B$236,2,FALSE),"")</f>
        <v>2302820</v>
      </c>
    </row>
    <row r="170" spans="1:11" x14ac:dyDescent="0.2">
      <c r="A170">
        <f t="shared" si="2"/>
        <v>2302820</v>
      </c>
      <c r="B170">
        <v>2016</v>
      </c>
      <c r="C170" t="s">
        <v>642</v>
      </c>
      <c r="D170" t="s">
        <v>644</v>
      </c>
      <c r="E170" t="s">
        <v>646</v>
      </c>
      <c r="F170" s="1" t="s">
        <v>40</v>
      </c>
      <c r="G170" s="1" t="s">
        <v>41</v>
      </c>
      <c r="H170" s="22">
        <v>141709</v>
      </c>
      <c r="I170">
        <v>2693123.1812665765</v>
      </c>
      <c r="J170">
        <v>2834832.1812665765</v>
      </c>
      <c r="K170">
        <f>IFERROR(VLOOKUP(F170,'LEAID Match'!$A$2:$B$236,2,FALSE),"")</f>
        <v>2302820</v>
      </c>
    </row>
    <row r="171" spans="1:11" x14ac:dyDescent="0.2">
      <c r="A171">
        <f t="shared" si="2"/>
        <v>2302820</v>
      </c>
      <c r="B171">
        <v>2017</v>
      </c>
      <c r="C171" t="s">
        <v>642</v>
      </c>
      <c r="D171" t="s">
        <v>644</v>
      </c>
      <c r="E171" t="s">
        <v>646</v>
      </c>
      <c r="F171" t="s">
        <v>40</v>
      </c>
      <c r="G171" t="s">
        <v>41</v>
      </c>
      <c r="H171">
        <v>160631</v>
      </c>
      <c r="I171">
        <v>3062815.1973720929</v>
      </c>
      <c r="J171">
        <v>3223446.1973720929</v>
      </c>
      <c r="K171">
        <f>IFERROR(VLOOKUP(F171,'LEAID Match'!$A$2:$B$236,2,FALSE),"")</f>
        <v>2302820</v>
      </c>
    </row>
    <row r="172" spans="1:11" x14ac:dyDescent="0.2">
      <c r="A172">
        <f t="shared" si="2"/>
        <v>2302820</v>
      </c>
      <c r="B172">
        <v>2018</v>
      </c>
      <c r="C172" t="s">
        <v>642</v>
      </c>
      <c r="D172" t="s">
        <v>644</v>
      </c>
      <c r="E172" t="s">
        <v>646</v>
      </c>
      <c r="F172" t="s">
        <v>40</v>
      </c>
      <c r="G172" t="s">
        <v>41</v>
      </c>
      <c r="H172">
        <v>188548</v>
      </c>
      <c r="I172">
        <v>3821734.8129219282</v>
      </c>
      <c r="J172">
        <v>4010282.8129219282</v>
      </c>
      <c r="K172">
        <f>IFERROR(VLOOKUP(F172,'LEAID Match'!$A$2:$B$236,2,FALSE),"")</f>
        <v>2302820</v>
      </c>
    </row>
    <row r="173" spans="1:11" x14ac:dyDescent="0.2">
      <c r="A173">
        <f t="shared" si="2"/>
        <v>2302820</v>
      </c>
      <c r="B173">
        <v>2019</v>
      </c>
      <c r="C173" t="s">
        <v>642</v>
      </c>
      <c r="D173" t="s">
        <v>644</v>
      </c>
      <c r="E173" t="s">
        <v>646</v>
      </c>
      <c r="F173" t="s">
        <v>40</v>
      </c>
      <c r="G173" t="s">
        <v>41</v>
      </c>
      <c r="H173">
        <v>202991</v>
      </c>
      <c r="I173">
        <v>4348886.5734502021</v>
      </c>
      <c r="J173">
        <v>4551877.5734502021</v>
      </c>
      <c r="K173">
        <f>IFERROR(VLOOKUP(F173,'LEAID Match'!$A$2:$B$236,2,FALSE),"")</f>
        <v>2302820</v>
      </c>
    </row>
    <row r="174" spans="1:11" x14ac:dyDescent="0.2">
      <c r="A174">
        <f t="shared" si="2"/>
        <v>2302820</v>
      </c>
      <c r="B174">
        <v>2020</v>
      </c>
      <c r="C174" t="s">
        <v>642</v>
      </c>
      <c r="D174" t="s">
        <v>644</v>
      </c>
      <c r="E174" t="s">
        <v>646</v>
      </c>
      <c r="F174" t="s">
        <v>40</v>
      </c>
      <c r="G174" t="s">
        <v>41</v>
      </c>
      <c r="H174">
        <v>241833</v>
      </c>
      <c r="I174">
        <v>5388505.2668755781</v>
      </c>
      <c r="J174">
        <v>5630338.2668755781</v>
      </c>
      <c r="K174">
        <f>IFERROR(VLOOKUP(F174,'LEAID Match'!$A$2:$B$236,2,FALSE),"")</f>
        <v>2302820</v>
      </c>
    </row>
    <row r="175" spans="1:11" x14ac:dyDescent="0.2">
      <c r="A175">
        <f t="shared" si="2"/>
        <v>2302820</v>
      </c>
      <c r="B175">
        <v>2021</v>
      </c>
      <c r="C175" t="s">
        <v>642</v>
      </c>
      <c r="D175" t="s">
        <v>644</v>
      </c>
      <c r="E175" t="s">
        <v>646</v>
      </c>
      <c r="F175" t="s">
        <v>40</v>
      </c>
      <c r="G175" t="s">
        <v>41</v>
      </c>
      <c r="H175">
        <v>231167</v>
      </c>
      <c r="I175">
        <v>3883455.4376927759</v>
      </c>
      <c r="J175">
        <v>4114622.4376927759</v>
      </c>
      <c r="K175">
        <f>IFERROR(VLOOKUP(F175,'LEAID Match'!$A$2:$B$236,2,FALSE),"")</f>
        <v>2302820</v>
      </c>
    </row>
    <row r="176" spans="1:11" x14ac:dyDescent="0.2">
      <c r="A176">
        <f t="shared" si="2"/>
        <v>2302820</v>
      </c>
      <c r="B176">
        <v>2022</v>
      </c>
      <c r="C176" t="s">
        <v>642</v>
      </c>
      <c r="D176" t="s">
        <v>644</v>
      </c>
      <c r="E176" t="s">
        <v>646</v>
      </c>
      <c r="F176" t="s">
        <v>40</v>
      </c>
      <c r="G176" t="s">
        <v>41</v>
      </c>
      <c r="H176">
        <v>230934</v>
      </c>
      <c r="I176">
        <v>3324288.6322580674</v>
      </c>
      <c r="J176">
        <v>3555222.6322580674</v>
      </c>
      <c r="K176">
        <f>IFERROR(VLOOKUP(F176,'LEAID Match'!$A$2:$B$236,2,FALSE),"")</f>
        <v>2302820</v>
      </c>
    </row>
    <row r="177" spans="1:11" x14ac:dyDescent="0.2">
      <c r="A177">
        <f t="shared" si="2"/>
        <v>2303150</v>
      </c>
      <c r="B177">
        <v>2015</v>
      </c>
      <c r="C177" t="s">
        <v>642</v>
      </c>
      <c r="D177" t="s">
        <v>644</v>
      </c>
      <c r="E177" t="s">
        <v>646</v>
      </c>
      <c r="F177" t="s">
        <v>42</v>
      </c>
      <c r="G177" t="s">
        <v>43</v>
      </c>
      <c r="H177">
        <v>129653</v>
      </c>
      <c r="I177">
        <v>2485920.0617590421</v>
      </c>
      <c r="J177">
        <v>2615573.0617590421</v>
      </c>
      <c r="K177">
        <f>IFERROR(VLOOKUP(F177,'LEAID Match'!$A$2:$B$236,2,FALSE),"")</f>
        <v>2303150</v>
      </c>
    </row>
    <row r="178" spans="1:11" x14ac:dyDescent="0.2">
      <c r="A178">
        <f t="shared" si="2"/>
        <v>2303150</v>
      </c>
      <c r="B178">
        <v>2016</v>
      </c>
      <c r="C178" t="s">
        <v>642</v>
      </c>
      <c r="D178" t="s">
        <v>644</v>
      </c>
      <c r="E178" t="s">
        <v>646</v>
      </c>
      <c r="F178" s="1" t="s">
        <v>42</v>
      </c>
      <c r="G178" s="1" t="s">
        <v>43</v>
      </c>
      <c r="H178" s="22">
        <v>113337</v>
      </c>
      <c r="I178">
        <v>2153924.6060250932</v>
      </c>
      <c r="J178">
        <v>2267261.6060250932</v>
      </c>
      <c r="K178">
        <f>IFERROR(VLOOKUP(F178,'LEAID Match'!$A$2:$B$236,2,FALSE),"")</f>
        <v>2303150</v>
      </c>
    </row>
    <row r="179" spans="1:11" x14ac:dyDescent="0.2">
      <c r="A179">
        <f t="shared" si="2"/>
        <v>2303150</v>
      </c>
      <c r="B179">
        <v>2017</v>
      </c>
      <c r="C179" t="s">
        <v>642</v>
      </c>
      <c r="D179" t="s">
        <v>644</v>
      </c>
      <c r="E179" t="s">
        <v>646</v>
      </c>
      <c r="F179" t="s">
        <v>42</v>
      </c>
      <c r="G179" t="s">
        <v>43</v>
      </c>
      <c r="H179">
        <v>77698</v>
      </c>
      <c r="I179">
        <v>1481498.6845964782</v>
      </c>
      <c r="J179">
        <v>1559196.6845964782</v>
      </c>
      <c r="K179">
        <f>IFERROR(VLOOKUP(F179,'LEAID Match'!$A$2:$B$236,2,FALSE),"")</f>
        <v>2303150</v>
      </c>
    </row>
    <row r="180" spans="1:11" x14ac:dyDescent="0.2">
      <c r="A180">
        <f t="shared" si="2"/>
        <v>2303150</v>
      </c>
      <c r="B180">
        <v>2018</v>
      </c>
      <c r="C180" t="s">
        <v>642</v>
      </c>
      <c r="D180" t="s">
        <v>644</v>
      </c>
      <c r="E180" t="s">
        <v>646</v>
      </c>
      <c r="F180" t="s">
        <v>42</v>
      </c>
      <c r="G180" t="s">
        <v>43</v>
      </c>
      <c r="H180">
        <v>122133</v>
      </c>
      <c r="I180">
        <v>2475549.6632507048</v>
      </c>
      <c r="J180">
        <v>2597682.6632507048</v>
      </c>
      <c r="K180">
        <f>IFERROR(VLOOKUP(F180,'LEAID Match'!$A$2:$B$236,2,FALSE),"")</f>
        <v>2303150</v>
      </c>
    </row>
    <row r="181" spans="1:11" x14ac:dyDescent="0.2">
      <c r="A181">
        <f t="shared" si="2"/>
        <v>2303150</v>
      </c>
      <c r="B181">
        <v>2019</v>
      </c>
      <c r="C181" t="s">
        <v>642</v>
      </c>
      <c r="D181" t="s">
        <v>644</v>
      </c>
      <c r="E181" t="s">
        <v>646</v>
      </c>
      <c r="F181" t="s">
        <v>42</v>
      </c>
      <c r="G181" t="s">
        <v>43</v>
      </c>
      <c r="H181">
        <v>78470</v>
      </c>
      <c r="I181">
        <v>1681144.1365313604</v>
      </c>
      <c r="J181">
        <v>1759614.1365313604</v>
      </c>
      <c r="K181">
        <f>IFERROR(VLOOKUP(F181,'LEAID Match'!$A$2:$B$236,2,FALSE),"")</f>
        <v>2303150</v>
      </c>
    </row>
    <row r="182" spans="1:11" x14ac:dyDescent="0.2">
      <c r="A182">
        <f t="shared" si="2"/>
        <v>2303150</v>
      </c>
      <c r="B182">
        <v>2020</v>
      </c>
      <c r="C182" t="s">
        <v>642</v>
      </c>
      <c r="D182" t="s">
        <v>644</v>
      </c>
      <c r="E182" t="s">
        <v>646</v>
      </c>
      <c r="F182" t="s">
        <v>42</v>
      </c>
      <c r="G182" t="s">
        <v>43</v>
      </c>
      <c r="H182">
        <v>103675</v>
      </c>
      <c r="I182">
        <v>2310078.7880203514</v>
      </c>
      <c r="J182">
        <v>2413753.7880203514</v>
      </c>
      <c r="K182">
        <f>IFERROR(VLOOKUP(F182,'LEAID Match'!$A$2:$B$236,2,FALSE),"")</f>
        <v>2303150</v>
      </c>
    </row>
    <row r="183" spans="1:11" x14ac:dyDescent="0.2">
      <c r="A183">
        <f t="shared" si="2"/>
        <v>2303150</v>
      </c>
      <c r="B183">
        <v>2021</v>
      </c>
      <c r="C183" t="s">
        <v>642</v>
      </c>
      <c r="D183" t="s">
        <v>644</v>
      </c>
      <c r="E183" t="s">
        <v>646</v>
      </c>
      <c r="F183" t="s">
        <v>42</v>
      </c>
      <c r="G183" t="s">
        <v>43</v>
      </c>
      <c r="H183">
        <v>198056</v>
      </c>
      <c r="I183">
        <v>3327212.1460575275</v>
      </c>
      <c r="J183">
        <v>3525268.1460575275</v>
      </c>
      <c r="K183">
        <f>IFERROR(VLOOKUP(F183,'LEAID Match'!$A$2:$B$236,2,FALSE),"")</f>
        <v>2303150</v>
      </c>
    </row>
    <row r="184" spans="1:11" x14ac:dyDescent="0.2">
      <c r="A184">
        <f t="shared" si="2"/>
        <v>2303150</v>
      </c>
      <c r="B184">
        <v>2022</v>
      </c>
      <c r="C184" t="s">
        <v>642</v>
      </c>
      <c r="D184" t="s">
        <v>644</v>
      </c>
      <c r="E184" t="s">
        <v>646</v>
      </c>
      <c r="F184" t="s">
        <v>42</v>
      </c>
      <c r="G184" t="s">
        <v>43</v>
      </c>
      <c r="H184">
        <v>184309</v>
      </c>
      <c r="I184">
        <v>2653123.0287564937</v>
      </c>
      <c r="J184">
        <v>2837432.0287564937</v>
      </c>
      <c r="K184">
        <f>IFERROR(VLOOKUP(F184,'LEAID Match'!$A$2:$B$236,2,FALSE),"")</f>
        <v>2303150</v>
      </c>
    </row>
    <row r="185" spans="1:11" x14ac:dyDescent="0.2">
      <c r="A185">
        <f t="shared" si="2"/>
        <v>2303510</v>
      </c>
      <c r="B185">
        <v>2015</v>
      </c>
      <c r="C185" t="s">
        <v>642</v>
      </c>
      <c r="D185" t="s">
        <v>644</v>
      </c>
      <c r="E185" t="s">
        <v>646</v>
      </c>
      <c r="F185" t="s">
        <v>44</v>
      </c>
      <c r="G185" t="s">
        <v>45</v>
      </c>
      <c r="H185">
        <v>21487</v>
      </c>
      <c r="I185">
        <v>411984.02171192749</v>
      </c>
      <c r="J185">
        <v>433471.02171192749</v>
      </c>
      <c r="K185">
        <f>IFERROR(VLOOKUP(F185,'LEAID Match'!$A$2:$B$236,2,FALSE),"")</f>
        <v>2303510</v>
      </c>
    </row>
    <row r="186" spans="1:11" x14ac:dyDescent="0.2">
      <c r="A186">
        <f t="shared" si="2"/>
        <v>2303510</v>
      </c>
      <c r="B186">
        <v>2016</v>
      </c>
      <c r="C186" t="s">
        <v>642</v>
      </c>
      <c r="D186" t="s">
        <v>644</v>
      </c>
      <c r="E186" t="s">
        <v>646</v>
      </c>
      <c r="F186" s="1" t="s">
        <v>44</v>
      </c>
      <c r="G186" s="1" t="s">
        <v>45</v>
      </c>
      <c r="H186" s="22">
        <v>11388</v>
      </c>
      <c r="I186">
        <v>216424.41050507571</v>
      </c>
      <c r="J186">
        <v>227812.41050507571</v>
      </c>
      <c r="K186">
        <f>IFERROR(VLOOKUP(F186,'LEAID Match'!$A$2:$B$236,2,FALSE),"")</f>
        <v>2303510</v>
      </c>
    </row>
    <row r="187" spans="1:11" x14ac:dyDescent="0.2">
      <c r="A187">
        <f t="shared" si="2"/>
        <v>2303510</v>
      </c>
      <c r="B187">
        <v>2017</v>
      </c>
      <c r="C187" t="s">
        <v>642</v>
      </c>
      <c r="D187" t="s">
        <v>644</v>
      </c>
      <c r="E187" t="s">
        <v>646</v>
      </c>
      <c r="F187" t="s">
        <v>44</v>
      </c>
      <c r="G187" t="s">
        <v>45</v>
      </c>
      <c r="H187">
        <v>18591</v>
      </c>
      <c r="I187">
        <v>354481.9949719829</v>
      </c>
      <c r="J187">
        <v>373072.9949719829</v>
      </c>
      <c r="K187">
        <f>IFERROR(VLOOKUP(F187,'LEAID Match'!$A$2:$B$236,2,FALSE),"")</f>
        <v>2303510</v>
      </c>
    </row>
    <row r="188" spans="1:11" x14ac:dyDescent="0.2">
      <c r="A188">
        <f t="shared" si="2"/>
        <v>2303510</v>
      </c>
      <c r="B188">
        <v>2018</v>
      </c>
      <c r="C188" t="s">
        <v>642</v>
      </c>
      <c r="D188" t="s">
        <v>644</v>
      </c>
      <c r="E188" t="s">
        <v>646</v>
      </c>
      <c r="F188" t="s">
        <v>44</v>
      </c>
      <c r="G188" t="s">
        <v>45</v>
      </c>
      <c r="H188">
        <v>26765</v>
      </c>
      <c r="I188">
        <v>542507.64934051491</v>
      </c>
      <c r="J188">
        <v>569272.64934051491</v>
      </c>
      <c r="K188">
        <f>IFERROR(VLOOKUP(F188,'LEAID Match'!$A$2:$B$236,2,FALSE),"")</f>
        <v>2303510</v>
      </c>
    </row>
    <row r="189" spans="1:11" x14ac:dyDescent="0.2">
      <c r="A189">
        <f t="shared" si="2"/>
        <v>2303510</v>
      </c>
      <c r="B189">
        <v>2019</v>
      </c>
      <c r="C189" t="s">
        <v>642</v>
      </c>
      <c r="D189" t="s">
        <v>644</v>
      </c>
      <c r="E189" t="s">
        <v>646</v>
      </c>
      <c r="F189" t="s">
        <v>44</v>
      </c>
      <c r="G189" t="s">
        <v>45</v>
      </c>
      <c r="H189">
        <v>29387</v>
      </c>
      <c r="I189">
        <v>629588.15777044848</v>
      </c>
      <c r="J189">
        <v>658975.15777044848</v>
      </c>
      <c r="K189">
        <f>IFERROR(VLOOKUP(F189,'LEAID Match'!$A$2:$B$236,2,FALSE),"")</f>
        <v>2303510</v>
      </c>
    </row>
    <row r="190" spans="1:11" x14ac:dyDescent="0.2">
      <c r="A190">
        <f t="shared" si="2"/>
        <v>2303510</v>
      </c>
      <c r="B190">
        <v>2020</v>
      </c>
      <c r="C190" t="s">
        <v>642</v>
      </c>
      <c r="D190" t="s">
        <v>644</v>
      </c>
      <c r="E190" t="s">
        <v>646</v>
      </c>
      <c r="F190" t="s">
        <v>44</v>
      </c>
      <c r="G190" t="s">
        <v>45</v>
      </c>
      <c r="H190">
        <v>28032</v>
      </c>
      <c r="I190">
        <v>624606.9793661586</v>
      </c>
      <c r="J190">
        <v>652638.9793661586</v>
      </c>
      <c r="K190">
        <f>IFERROR(VLOOKUP(F190,'LEAID Match'!$A$2:$B$236,2,FALSE),"")</f>
        <v>2303510</v>
      </c>
    </row>
    <row r="191" spans="1:11" x14ac:dyDescent="0.2">
      <c r="A191">
        <f t="shared" si="2"/>
        <v>2303510</v>
      </c>
      <c r="B191">
        <v>2021</v>
      </c>
      <c r="C191" t="s">
        <v>642</v>
      </c>
      <c r="D191" t="s">
        <v>644</v>
      </c>
      <c r="E191" t="s">
        <v>646</v>
      </c>
      <c r="F191" t="s">
        <v>44</v>
      </c>
      <c r="G191" t="s">
        <v>45</v>
      </c>
      <c r="H191">
        <v>59539</v>
      </c>
      <c r="I191">
        <v>1000216.5244381342</v>
      </c>
      <c r="J191">
        <v>1059755.5244381342</v>
      </c>
      <c r="K191">
        <f>IFERROR(VLOOKUP(F191,'LEAID Match'!$A$2:$B$236,2,FALSE),"")</f>
        <v>2303510</v>
      </c>
    </row>
    <row r="192" spans="1:11" x14ac:dyDescent="0.2">
      <c r="A192">
        <f t="shared" si="2"/>
        <v>2303510</v>
      </c>
      <c r="B192">
        <v>2022</v>
      </c>
      <c r="C192" t="s">
        <v>642</v>
      </c>
      <c r="D192" t="s">
        <v>644</v>
      </c>
      <c r="E192" t="s">
        <v>646</v>
      </c>
      <c r="F192" t="s">
        <v>44</v>
      </c>
      <c r="G192" t="s">
        <v>45</v>
      </c>
      <c r="H192">
        <v>49938</v>
      </c>
      <c r="I192">
        <v>718856.14815359958</v>
      </c>
      <c r="J192">
        <v>768794.14815359958</v>
      </c>
      <c r="K192">
        <f>IFERROR(VLOOKUP(F192,'LEAID Match'!$A$2:$B$236,2,FALSE),"")</f>
        <v>2303510</v>
      </c>
    </row>
    <row r="193" spans="1:11" x14ac:dyDescent="0.2">
      <c r="A193">
        <f t="shared" si="2"/>
        <v>2303780</v>
      </c>
      <c r="B193">
        <v>2015</v>
      </c>
      <c r="C193" t="s">
        <v>642</v>
      </c>
      <c r="D193" t="s">
        <v>644</v>
      </c>
      <c r="E193" t="s">
        <v>646</v>
      </c>
      <c r="F193" t="s">
        <v>46</v>
      </c>
      <c r="G193" t="s">
        <v>47</v>
      </c>
      <c r="H193">
        <v>59783</v>
      </c>
      <c r="I193">
        <v>1146257.7730722837</v>
      </c>
      <c r="J193">
        <v>1206040.7730722837</v>
      </c>
      <c r="K193">
        <f>IFERROR(VLOOKUP(F193,'LEAID Match'!$A$2:$B$236,2,FALSE),"")</f>
        <v>2303780</v>
      </c>
    </row>
    <row r="194" spans="1:11" x14ac:dyDescent="0.2">
      <c r="A194">
        <f t="shared" si="2"/>
        <v>2303780</v>
      </c>
      <c r="B194">
        <v>2016</v>
      </c>
      <c r="C194" t="s">
        <v>642</v>
      </c>
      <c r="D194" t="s">
        <v>644</v>
      </c>
      <c r="E194" t="s">
        <v>646</v>
      </c>
      <c r="F194" s="1" t="s">
        <v>46</v>
      </c>
      <c r="G194" s="1" t="s">
        <v>47</v>
      </c>
      <c r="H194" s="22">
        <v>52062</v>
      </c>
      <c r="I194">
        <v>989417.60271472181</v>
      </c>
      <c r="J194">
        <v>1041479.6027147218</v>
      </c>
      <c r="K194">
        <f>IFERROR(VLOOKUP(F194,'LEAID Match'!$A$2:$B$236,2,FALSE),"")</f>
        <v>2303780</v>
      </c>
    </row>
    <row r="195" spans="1:11" x14ac:dyDescent="0.2">
      <c r="A195">
        <f t="shared" ref="A195:A258" si="3">K195</f>
        <v>2303780</v>
      </c>
      <c r="B195">
        <v>2017</v>
      </c>
      <c r="C195" t="s">
        <v>642</v>
      </c>
      <c r="D195" t="s">
        <v>644</v>
      </c>
      <c r="E195" t="s">
        <v>646</v>
      </c>
      <c r="F195" t="s">
        <v>46</v>
      </c>
      <c r="G195" t="s">
        <v>47</v>
      </c>
      <c r="H195">
        <v>38866</v>
      </c>
      <c r="I195">
        <v>741073.48806309968</v>
      </c>
      <c r="J195">
        <v>779939.48806309968</v>
      </c>
      <c r="K195">
        <f>IFERROR(VLOOKUP(F195,'LEAID Match'!$A$2:$B$236,2,FALSE),"")</f>
        <v>2303780</v>
      </c>
    </row>
    <row r="196" spans="1:11" x14ac:dyDescent="0.2">
      <c r="A196">
        <f t="shared" si="3"/>
        <v>2303780</v>
      </c>
      <c r="B196">
        <v>2018</v>
      </c>
      <c r="C196" t="s">
        <v>642</v>
      </c>
      <c r="D196" t="s">
        <v>644</v>
      </c>
      <c r="E196" t="s">
        <v>646</v>
      </c>
      <c r="F196" t="s">
        <v>46</v>
      </c>
      <c r="G196" t="s">
        <v>47</v>
      </c>
      <c r="H196">
        <v>32833</v>
      </c>
      <c r="I196">
        <v>665501.72429654887</v>
      </c>
      <c r="J196">
        <v>698334.72429654887</v>
      </c>
      <c r="K196">
        <f>IFERROR(VLOOKUP(F196,'LEAID Match'!$A$2:$B$236,2,FALSE),"")</f>
        <v>2303780</v>
      </c>
    </row>
    <row r="197" spans="1:11" x14ac:dyDescent="0.2">
      <c r="A197">
        <f t="shared" si="3"/>
        <v>2303780</v>
      </c>
      <c r="B197">
        <v>2019</v>
      </c>
      <c r="C197" t="s">
        <v>642</v>
      </c>
      <c r="D197" t="s">
        <v>644</v>
      </c>
      <c r="E197" t="s">
        <v>646</v>
      </c>
      <c r="F197" t="s">
        <v>46</v>
      </c>
      <c r="G197" t="s">
        <v>47</v>
      </c>
      <c r="H197">
        <v>33599</v>
      </c>
      <c r="I197">
        <v>719826.1990992378</v>
      </c>
      <c r="J197">
        <v>753425.1990992378</v>
      </c>
      <c r="K197">
        <f>IFERROR(VLOOKUP(F197,'LEAID Match'!$A$2:$B$236,2,FALSE),"")</f>
        <v>2303780</v>
      </c>
    </row>
    <row r="198" spans="1:11" x14ac:dyDescent="0.2">
      <c r="A198">
        <f t="shared" si="3"/>
        <v>2303780</v>
      </c>
      <c r="B198">
        <v>2020</v>
      </c>
      <c r="C198" t="s">
        <v>642</v>
      </c>
      <c r="D198" t="s">
        <v>644</v>
      </c>
      <c r="E198" t="s">
        <v>646</v>
      </c>
      <c r="F198" t="s">
        <v>46</v>
      </c>
      <c r="G198" t="s">
        <v>47</v>
      </c>
      <c r="H198">
        <v>37494</v>
      </c>
      <c r="I198">
        <v>835438.57321470999</v>
      </c>
      <c r="J198">
        <v>872932.57321470999</v>
      </c>
      <c r="K198">
        <f>IFERROR(VLOOKUP(F198,'LEAID Match'!$A$2:$B$236,2,FALSE),"")</f>
        <v>2303780</v>
      </c>
    </row>
    <row r="199" spans="1:11" x14ac:dyDescent="0.2">
      <c r="A199">
        <f t="shared" si="3"/>
        <v>2303780</v>
      </c>
      <c r="B199">
        <v>2021</v>
      </c>
      <c r="C199" t="s">
        <v>642</v>
      </c>
      <c r="D199" t="s">
        <v>644</v>
      </c>
      <c r="E199" t="s">
        <v>646</v>
      </c>
      <c r="F199" t="s">
        <v>46</v>
      </c>
      <c r="G199" t="s">
        <v>47</v>
      </c>
      <c r="H199">
        <v>62332</v>
      </c>
      <c r="I199">
        <v>1047137.1101509563</v>
      </c>
      <c r="J199">
        <v>1109469.1101509563</v>
      </c>
      <c r="K199">
        <f>IFERROR(VLOOKUP(F199,'LEAID Match'!$A$2:$B$236,2,FALSE),"")</f>
        <v>2303780</v>
      </c>
    </row>
    <row r="200" spans="1:11" x14ac:dyDescent="0.2">
      <c r="A200">
        <f t="shared" si="3"/>
        <v>2303780</v>
      </c>
      <c r="B200">
        <v>2022</v>
      </c>
      <c r="C200" t="s">
        <v>642</v>
      </c>
      <c r="D200" t="s">
        <v>644</v>
      </c>
      <c r="E200" t="s">
        <v>646</v>
      </c>
      <c r="F200" t="s">
        <v>46</v>
      </c>
      <c r="G200" t="s">
        <v>47</v>
      </c>
      <c r="H200">
        <v>171057</v>
      </c>
      <c r="I200">
        <v>2462360.85014839</v>
      </c>
      <c r="J200">
        <v>2633417.85014839</v>
      </c>
      <c r="K200">
        <f>IFERROR(VLOOKUP(F200,'LEAID Match'!$A$2:$B$236,2,FALSE),"")</f>
        <v>2303780</v>
      </c>
    </row>
    <row r="201" spans="1:11" x14ac:dyDescent="0.2">
      <c r="A201">
        <f t="shared" si="3"/>
        <v>2303870</v>
      </c>
      <c r="B201">
        <v>2015</v>
      </c>
      <c r="C201" t="s">
        <v>642</v>
      </c>
      <c r="D201" t="s">
        <v>644</v>
      </c>
      <c r="E201" t="s">
        <v>646</v>
      </c>
      <c r="F201" t="s">
        <v>48</v>
      </c>
      <c r="G201" t="s">
        <v>49</v>
      </c>
      <c r="H201">
        <v>21273</v>
      </c>
      <c r="I201">
        <v>407880.86256237881</v>
      </c>
      <c r="J201">
        <v>429153.86256237881</v>
      </c>
      <c r="K201">
        <f>IFERROR(VLOOKUP(F201,'LEAID Match'!$A$2:$B$236,2,FALSE),"")</f>
        <v>2303870</v>
      </c>
    </row>
    <row r="202" spans="1:11" x14ac:dyDescent="0.2">
      <c r="A202">
        <f t="shared" si="3"/>
        <v>2303870</v>
      </c>
      <c r="B202">
        <v>2016</v>
      </c>
      <c r="C202" t="s">
        <v>642</v>
      </c>
      <c r="D202" t="s">
        <v>644</v>
      </c>
      <c r="E202" t="s">
        <v>646</v>
      </c>
      <c r="F202" s="1" t="s">
        <v>48</v>
      </c>
      <c r="G202" s="1" t="s">
        <v>49</v>
      </c>
      <c r="H202" s="22">
        <v>17726</v>
      </c>
      <c r="I202">
        <v>336875.57961125503</v>
      </c>
      <c r="J202">
        <v>354601.57961125503</v>
      </c>
      <c r="K202">
        <f>IFERROR(VLOOKUP(F202,'LEAID Match'!$A$2:$B$236,2,FALSE),"")</f>
        <v>2303870</v>
      </c>
    </row>
    <row r="203" spans="1:11" x14ac:dyDescent="0.2">
      <c r="A203">
        <f t="shared" si="3"/>
        <v>2303870</v>
      </c>
      <c r="B203">
        <v>2017</v>
      </c>
      <c r="C203" t="s">
        <v>642</v>
      </c>
      <c r="D203" t="s">
        <v>644</v>
      </c>
      <c r="E203" t="s">
        <v>646</v>
      </c>
      <c r="F203" t="s">
        <v>48</v>
      </c>
      <c r="G203" t="s">
        <v>49</v>
      </c>
      <c r="H203">
        <v>17406</v>
      </c>
      <c r="I203">
        <v>331887.12842140469</v>
      </c>
      <c r="J203">
        <v>349293.12842140469</v>
      </c>
      <c r="K203">
        <f>IFERROR(VLOOKUP(F203,'LEAID Match'!$A$2:$B$236,2,FALSE),"")</f>
        <v>2303870</v>
      </c>
    </row>
    <row r="204" spans="1:11" x14ac:dyDescent="0.2">
      <c r="A204">
        <f t="shared" si="3"/>
        <v>2303870</v>
      </c>
      <c r="B204">
        <v>2018</v>
      </c>
      <c r="C204" t="s">
        <v>642</v>
      </c>
      <c r="D204" t="s">
        <v>644</v>
      </c>
      <c r="E204" t="s">
        <v>646</v>
      </c>
      <c r="F204" t="s">
        <v>48</v>
      </c>
      <c r="G204" t="s">
        <v>49</v>
      </c>
      <c r="H204">
        <v>20400</v>
      </c>
      <c r="I204">
        <v>413493.59411718685</v>
      </c>
      <c r="J204">
        <v>433893.59411718685</v>
      </c>
      <c r="K204">
        <f>IFERROR(VLOOKUP(F204,'LEAID Match'!$A$2:$B$236,2,FALSE),"")</f>
        <v>2303870</v>
      </c>
    </row>
    <row r="205" spans="1:11" x14ac:dyDescent="0.2">
      <c r="A205">
        <f t="shared" si="3"/>
        <v>2303870</v>
      </c>
      <c r="B205">
        <v>2019</v>
      </c>
      <c r="C205" t="s">
        <v>642</v>
      </c>
      <c r="D205" t="s">
        <v>644</v>
      </c>
      <c r="E205" t="s">
        <v>646</v>
      </c>
      <c r="F205" t="s">
        <v>48</v>
      </c>
      <c r="G205" t="s">
        <v>49</v>
      </c>
      <c r="H205">
        <v>18582</v>
      </c>
      <c r="I205">
        <v>398101.44443769264</v>
      </c>
      <c r="J205">
        <v>416683.44443769264</v>
      </c>
      <c r="K205">
        <f>IFERROR(VLOOKUP(F205,'LEAID Match'!$A$2:$B$236,2,FALSE),"")</f>
        <v>2303870</v>
      </c>
    </row>
    <row r="206" spans="1:11" x14ac:dyDescent="0.2">
      <c r="A206">
        <f t="shared" si="3"/>
        <v>2303870</v>
      </c>
      <c r="B206">
        <v>2020</v>
      </c>
      <c r="C206" t="s">
        <v>642</v>
      </c>
      <c r="D206" t="s">
        <v>644</v>
      </c>
      <c r="E206" t="s">
        <v>646</v>
      </c>
      <c r="F206" t="s">
        <v>48</v>
      </c>
      <c r="G206" t="s">
        <v>49</v>
      </c>
      <c r="H206">
        <v>28321</v>
      </c>
      <c r="I206">
        <v>631046.45628670719</v>
      </c>
      <c r="J206">
        <v>659367.45628670719</v>
      </c>
      <c r="K206">
        <f>IFERROR(VLOOKUP(F206,'LEAID Match'!$A$2:$B$236,2,FALSE),"")</f>
        <v>2303870</v>
      </c>
    </row>
    <row r="207" spans="1:11" x14ac:dyDescent="0.2">
      <c r="A207">
        <f t="shared" si="3"/>
        <v>2303870</v>
      </c>
      <c r="B207">
        <v>2021</v>
      </c>
      <c r="C207" t="s">
        <v>642</v>
      </c>
      <c r="D207" t="s">
        <v>644</v>
      </c>
      <c r="E207" t="s">
        <v>646</v>
      </c>
      <c r="F207" t="s">
        <v>48</v>
      </c>
      <c r="G207" t="s">
        <v>49</v>
      </c>
      <c r="H207">
        <v>34635</v>
      </c>
      <c r="I207">
        <v>581845.50166974217</v>
      </c>
      <c r="J207">
        <v>616480.50166974217</v>
      </c>
      <c r="K207">
        <f>IFERROR(VLOOKUP(F207,'LEAID Match'!$A$2:$B$236,2,FALSE),"")</f>
        <v>2303870</v>
      </c>
    </row>
    <row r="208" spans="1:11" x14ac:dyDescent="0.2">
      <c r="A208">
        <f t="shared" si="3"/>
        <v>2303870</v>
      </c>
      <c r="B208">
        <v>2022</v>
      </c>
      <c r="C208" t="s">
        <v>642</v>
      </c>
      <c r="D208" t="s">
        <v>644</v>
      </c>
      <c r="E208" t="s">
        <v>646</v>
      </c>
      <c r="F208" t="s">
        <v>48</v>
      </c>
      <c r="G208" t="s">
        <v>49</v>
      </c>
      <c r="H208">
        <v>33056</v>
      </c>
      <c r="I208">
        <v>475840.2185382953</v>
      </c>
      <c r="J208">
        <v>508896.2185382953</v>
      </c>
      <c r="K208">
        <f>IFERROR(VLOOKUP(F208,'LEAID Match'!$A$2:$B$236,2,FALSE),"")</f>
        <v>2303870</v>
      </c>
    </row>
    <row r="209" spans="1:11" x14ac:dyDescent="0.2">
      <c r="A209">
        <f t="shared" si="3"/>
        <v>2304110</v>
      </c>
      <c r="B209">
        <v>2015</v>
      </c>
      <c r="C209" t="s">
        <v>642</v>
      </c>
      <c r="D209" t="s">
        <v>644</v>
      </c>
      <c r="E209" t="s">
        <v>646</v>
      </c>
      <c r="F209" t="s">
        <v>50</v>
      </c>
      <c r="G209" t="s">
        <v>51</v>
      </c>
      <c r="I209">
        <v>0</v>
      </c>
      <c r="J209">
        <v>0</v>
      </c>
      <c r="K209">
        <f>IFERROR(VLOOKUP(F209,'LEAID Match'!$A$2:$B$236,2,FALSE),"")</f>
        <v>2304110</v>
      </c>
    </row>
    <row r="210" spans="1:11" x14ac:dyDescent="0.2">
      <c r="A210">
        <f t="shared" si="3"/>
        <v>2304110</v>
      </c>
      <c r="B210">
        <v>2016</v>
      </c>
      <c r="C210" t="s">
        <v>642</v>
      </c>
      <c r="D210" t="s">
        <v>644</v>
      </c>
      <c r="E210" t="s">
        <v>646</v>
      </c>
      <c r="F210" s="1" t="s">
        <v>50</v>
      </c>
      <c r="G210" s="1" t="s">
        <v>51</v>
      </c>
      <c r="H210" s="22">
        <v>1082</v>
      </c>
      <c r="I210">
        <v>20562.9796422982</v>
      </c>
      <c r="J210">
        <v>21644.9796422982</v>
      </c>
      <c r="K210">
        <f>IFERROR(VLOOKUP(F210,'LEAID Match'!$A$2:$B$236,2,FALSE),"")</f>
        <v>2304110</v>
      </c>
    </row>
    <row r="211" spans="1:11" x14ac:dyDescent="0.2">
      <c r="A211">
        <f t="shared" si="3"/>
        <v>2304110</v>
      </c>
      <c r="B211">
        <v>2017</v>
      </c>
      <c r="C211" t="s">
        <v>642</v>
      </c>
      <c r="D211" t="s">
        <v>644</v>
      </c>
      <c r="E211" t="s">
        <v>646</v>
      </c>
      <c r="F211" t="s">
        <v>50</v>
      </c>
      <c r="G211" t="s">
        <v>51</v>
      </c>
      <c r="I211">
        <v>0</v>
      </c>
      <c r="J211">
        <v>0</v>
      </c>
      <c r="K211">
        <f>IFERROR(VLOOKUP(F211,'LEAID Match'!$A$2:$B$236,2,FALSE),"")</f>
        <v>2304110</v>
      </c>
    </row>
    <row r="212" spans="1:11" x14ac:dyDescent="0.2">
      <c r="A212">
        <f t="shared" si="3"/>
        <v>2304110</v>
      </c>
      <c r="B212">
        <v>2018</v>
      </c>
      <c r="C212" t="s">
        <v>642</v>
      </c>
      <c r="D212" t="s">
        <v>644</v>
      </c>
      <c r="E212" t="s">
        <v>646</v>
      </c>
      <c r="F212" t="s">
        <v>50</v>
      </c>
      <c r="G212" t="s">
        <v>51</v>
      </c>
      <c r="H212">
        <v>1596</v>
      </c>
      <c r="I212">
        <v>32349.792951521089</v>
      </c>
      <c r="J212">
        <v>33945.792951521085</v>
      </c>
      <c r="K212">
        <f>IFERROR(VLOOKUP(F212,'LEAID Match'!$A$2:$B$236,2,FALSE),"")</f>
        <v>2304110</v>
      </c>
    </row>
    <row r="213" spans="1:11" x14ac:dyDescent="0.2">
      <c r="A213">
        <f t="shared" si="3"/>
        <v>2304110</v>
      </c>
      <c r="B213">
        <v>2019</v>
      </c>
      <c r="C213" t="s">
        <v>642</v>
      </c>
      <c r="D213" t="s">
        <v>644</v>
      </c>
      <c r="E213" t="s">
        <v>646</v>
      </c>
      <c r="F213" t="s">
        <v>50</v>
      </c>
      <c r="G213" t="s">
        <v>51</v>
      </c>
      <c r="H213">
        <v>1785</v>
      </c>
      <c r="I213">
        <v>38241.9049790809</v>
      </c>
      <c r="J213">
        <v>40026.9049790809</v>
      </c>
      <c r="K213">
        <f>IFERROR(VLOOKUP(F213,'LEAID Match'!$A$2:$B$236,2,FALSE),"")</f>
        <v>2304110</v>
      </c>
    </row>
    <row r="214" spans="1:11" x14ac:dyDescent="0.2">
      <c r="A214">
        <f t="shared" si="3"/>
        <v>2304110</v>
      </c>
      <c r="B214">
        <v>2020</v>
      </c>
      <c r="C214" t="s">
        <v>642</v>
      </c>
      <c r="D214" t="s">
        <v>644</v>
      </c>
      <c r="E214" t="s">
        <v>646</v>
      </c>
      <c r="F214" t="s">
        <v>50</v>
      </c>
      <c r="G214" t="s">
        <v>51</v>
      </c>
      <c r="H214">
        <v>2914</v>
      </c>
      <c r="I214">
        <v>64929.535454943849</v>
      </c>
      <c r="J214">
        <v>67843.535454943849</v>
      </c>
      <c r="K214">
        <f>IFERROR(VLOOKUP(F214,'LEAID Match'!$A$2:$B$236,2,FALSE),"")</f>
        <v>2304110</v>
      </c>
    </row>
    <row r="215" spans="1:11" x14ac:dyDescent="0.2">
      <c r="A215">
        <f t="shared" si="3"/>
        <v>2304110</v>
      </c>
      <c r="B215">
        <v>2021</v>
      </c>
      <c r="C215" t="s">
        <v>642</v>
      </c>
      <c r="D215" t="s">
        <v>644</v>
      </c>
      <c r="E215" t="s">
        <v>646</v>
      </c>
      <c r="F215" t="s">
        <v>50</v>
      </c>
      <c r="G215" t="s">
        <v>51</v>
      </c>
      <c r="H215">
        <v>1984</v>
      </c>
      <c r="I215">
        <v>33329.911226007469</v>
      </c>
      <c r="J215">
        <v>35313.911226007469</v>
      </c>
      <c r="K215">
        <f>IFERROR(VLOOKUP(F215,'LEAID Match'!$A$2:$B$236,2,FALSE),"")</f>
        <v>2304110</v>
      </c>
    </row>
    <row r="216" spans="1:11" x14ac:dyDescent="0.2">
      <c r="A216">
        <f t="shared" si="3"/>
        <v>2304110</v>
      </c>
      <c r="B216">
        <v>2022</v>
      </c>
      <c r="C216" t="s">
        <v>642</v>
      </c>
      <c r="D216" t="s">
        <v>644</v>
      </c>
      <c r="E216" t="s">
        <v>646</v>
      </c>
      <c r="F216" t="s">
        <v>50</v>
      </c>
      <c r="G216" t="s">
        <v>51</v>
      </c>
      <c r="H216">
        <v>5231</v>
      </c>
      <c r="I216">
        <v>75300.102346739557</v>
      </c>
      <c r="J216">
        <v>80531.102346739557</v>
      </c>
      <c r="K216">
        <f>IFERROR(VLOOKUP(F216,'LEAID Match'!$A$2:$B$236,2,FALSE),"")</f>
        <v>2304110</v>
      </c>
    </row>
    <row r="217" spans="1:11" x14ac:dyDescent="0.2">
      <c r="A217">
        <f t="shared" si="3"/>
        <v>2303930</v>
      </c>
      <c r="B217">
        <v>2015</v>
      </c>
      <c r="C217" t="s">
        <v>642</v>
      </c>
      <c r="D217" t="s">
        <v>644</v>
      </c>
      <c r="E217" t="s">
        <v>646</v>
      </c>
      <c r="F217" t="s">
        <v>52</v>
      </c>
      <c r="G217" t="s">
        <v>53</v>
      </c>
      <c r="H217">
        <v>14584</v>
      </c>
      <c r="I217">
        <v>279628.37867765396</v>
      </c>
      <c r="J217">
        <v>294212.37867765396</v>
      </c>
      <c r="K217">
        <f>IFERROR(VLOOKUP(F217,'LEAID Match'!$A$2:$B$236,2,FALSE),"")</f>
        <v>2303930</v>
      </c>
    </row>
    <row r="218" spans="1:11" x14ac:dyDescent="0.2">
      <c r="A218">
        <f t="shared" si="3"/>
        <v>2303930</v>
      </c>
      <c r="B218">
        <v>2016</v>
      </c>
      <c r="C218" t="s">
        <v>642</v>
      </c>
      <c r="D218" t="s">
        <v>644</v>
      </c>
      <c r="E218" t="s">
        <v>646</v>
      </c>
      <c r="F218" s="1" t="s">
        <v>52</v>
      </c>
      <c r="G218" s="1" t="s">
        <v>53</v>
      </c>
      <c r="H218" s="22">
        <v>14382</v>
      </c>
      <c r="I218">
        <v>273324.18966315407</v>
      </c>
      <c r="J218">
        <v>287706.18966315407</v>
      </c>
      <c r="K218">
        <f>IFERROR(VLOOKUP(F218,'LEAID Match'!$A$2:$B$236,2,FALSE),"")</f>
        <v>2303930</v>
      </c>
    </row>
    <row r="219" spans="1:11" x14ac:dyDescent="0.2">
      <c r="A219">
        <f t="shared" si="3"/>
        <v>2303930</v>
      </c>
      <c r="B219">
        <v>2017</v>
      </c>
      <c r="C219" t="s">
        <v>642</v>
      </c>
      <c r="D219" t="s">
        <v>644</v>
      </c>
      <c r="E219" t="s">
        <v>646</v>
      </c>
      <c r="F219" t="s">
        <v>52</v>
      </c>
      <c r="G219" t="s">
        <v>53</v>
      </c>
      <c r="H219">
        <v>17389</v>
      </c>
      <c r="I219">
        <v>331562.98265654407</v>
      </c>
      <c r="J219">
        <v>348951.98265654407</v>
      </c>
      <c r="K219">
        <f>IFERROR(VLOOKUP(F219,'LEAID Match'!$A$2:$B$236,2,FALSE),"")</f>
        <v>2303930</v>
      </c>
    </row>
    <row r="220" spans="1:11" x14ac:dyDescent="0.2">
      <c r="A220">
        <f t="shared" si="3"/>
        <v>2303930</v>
      </c>
      <c r="B220">
        <v>2018</v>
      </c>
      <c r="C220" t="s">
        <v>642</v>
      </c>
      <c r="D220" t="s">
        <v>644</v>
      </c>
      <c r="E220" t="s">
        <v>646</v>
      </c>
      <c r="F220" t="s">
        <v>52</v>
      </c>
      <c r="G220" t="s">
        <v>53</v>
      </c>
      <c r="H220">
        <v>21108</v>
      </c>
      <c r="I220">
        <v>427844.25414831273</v>
      </c>
      <c r="J220">
        <v>448952.25414831273</v>
      </c>
      <c r="K220">
        <f>IFERROR(VLOOKUP(F220,'LEAID Match'!$A$2:$B$236,2,FALSE),"")</f>
        <v>2303930</v>
      </c>
    </row>
    <row r="221" spans="1:11" x14ac:dyDescent="0.2">
      <c r="A221">
        <f t="shared" si="3"/>
        <v>2303930</v>
      </c>
      <c r="B221">
        <v>2019</v>
      </c>
      <c r="C221" t="s">
        <v>642</v>
      </c>
      <c r="D221" t="s">
        <v>644</v>
      </c>
      <c r="E221" t="s">
        <v>646</v>
      </c>
      <c r="F221" t="s">
        <v>52</v>
      </c>
      <c r="G221" t="s">
        <v>53</v>
      </c>
      <c r="H221">
        <v>23281</v>
      </c>
      <c r="I221">
        <v>498772.99149466812</v>
      </c>
      <c r="J221">
        <v>522053.99149466812</v>
      </c>
      <c r="K221">
        <f>IFERROR(VLOOKUP(F221,'LEAID Match'!$A$2:$B$236,2,FALSE),"")</f>
        <v>2303930</v>
      </c>
    </row>
    <row r="222" spans="1:11" x14ac:dyDescent="0.2">
      <c r="A222">
        <f t="shared" si="3"/>
        <v>2303930</v>
      </c>
      <c r="B222">
        <v>2020</v>
      </c>
      <c r="C222" t="s">
        <v>642</v>
      </c>
      <c r="D222" t="s">
        <v>644</v>
      </c>
      <c r="E222" t="s">
        <v>646</v>
      </c>
      <c r="F222" t="s">
        <v>52</v>
      </c>
      <c r="G222" t="s">
        <v>53</v>
      </c>
      <c r="H222">
        <v>28284</v>
      </c>
      <c r="I222">
        <v>630222.02498546045</v>
      </c>
      <c r="J222">
        <v>658506.02498546045</v>
      </c>
      <c r="K222">
        <f>IFERROR(VLOOKUP(F222,'LEAID Match'!$A$2:$B$236,2,FALSE),"")</f>
        <v>2303930</v>
      </c>
    </row>
    <row r="223" spans="1:11" x14ac:dyDescent="0.2">
      <c r="A223">
        <f t="shared" si="3"/>
        <v>2303930</v>
      </c>
      <c r="B223">
        <v>2021</v>
      </c>
      <c r="C223" t="s">
        <v>642</v>
      </c>
      <c r="D223" t="s">
        <v>644</v>
      </c>
      <c r="E223" t="s">
        <v>646</v>
      </c>
      <c r="F223" t="s">
        <v>52</v>
      </c>
      <c r="G223" t="s">
        <v>53</v>
      </c>
      <c r="H223">
        <v>29693</v>
      </c>
      <c r="I223">
        <v>498823.11191221752</v>
      </c>
      <c r="J223">
        <v>528516.11191221746</v>
      </c>
      <c r="K223">
        <f>IFERROR(VLOOKUP(F223,'LEAID Match'!$A$2:$B$236,2,FALSE),"")</f>
        <v>2303930</v>
      </c>
    </row>
    <row r="224" spans="1:11" x14ac:dyDescent="0.2">
      <c r="A224">
        <f t="shared" si="3"/>
        <v>2303930</v>
      </c>
      <c r="B224">
        <v>2022</v>
      </c>
      <c r="C224" t="s">
        <v>642</v>
      </c>
      <c r="D224" t="s">
        <v>644</v>
      </c>
      <c r="E224" t="s">
        <v>646</v>
      </c>
      <c r="F224" t="s">
        <v>52</v>
      </c>
      <c r="G224" t="s">
        <v>53</v>
      </c>
      <c r="H224">
        <v>12754</v>
      </c>
      <c r="I224">
        <v>183593.48218893446</v>
      </c>
      <c r="J224">
        <v>196347.48218893446</v>
      </c>
      <c r="K224">
        <f>IFERROR(VLOOKUP(F224,'LEAID Match'!$A$2:$B$236,2,FALSE),"")</f>
        <v>2303930</v>
      </c>
    </row>
    <row r="225" spans="1:11" x14ac:dyDescent="0.2">
      <c r="A225">
        <f t="shared" si="3"/>
        <v>2314771</v>
      </c>
      <c r="B225">
        <v>2015</v>
      </c>
      <c r="C225" t="s">
        <v>642</v>
      </c>
      <c r="D225" t="s">
        <v>644</v>
      </c>
      <c r="E225" t="s">
        <v>646</v>
      </c>
      <c r="F225" t="s">
        <v>54</v>
      </c>
      <c r="G225" t="s">
        <v>55</v>
      </c>
      <c r="I225">
        <v>0</v>
      </c>
      <c r="J225">
        <v>0</v>
      </c>
      <c r="K225">
        <f>IFERROR(VLOOKUP(F225,'LEAID Match'!$A$2:$B$236,2,FALSE),"")</f>
        <v>2314771</v>
      </c>
    </row>
    <row r="226" spans="1:11" x14ac:dyDescent="0.2">
      <c r="A226">
        <f t="shared" si="3"/>
        <v>2314771</v>
      </c>
      <c r="B226">
        <v>2016</v>
      </c>
      <c r="C226" t="s">
        <v>642</v>
      </c>
      <c r="D226" t="s">
        <v>644</v>
      </c>
      <c r="E226" t="s">
        <v>646</v>
      </c>
      <c r="F226" s="1" t="s">
        <v>54</v>
      </c>
      <c r="G226" s="1" t="s">
        <v>55</v>
      </c>
      <c r="H226" s="22"/>
      <c r="I226">
        <v>0</v>
      </c>
      <c r="J226">
        <v>0</v>
      </c>
      <c r="K226">
        <f>IFERROR(VLOOKUP(F226,'LEAID Match'!$A$2:$B$236,2,FALSE),"")</f>
        <v>2314771</v>
      </c>
    </row>
    <row r="227" spans="1:11" x14ac:dyDescent="0.2">
      <c r="A227">
        <f t="shared" si="3"/>
        <v>2314771</v>
      </c>
      <c r="B227">
        <v>2017</v>
      </c>
      <c r="C227" t="s">
        <v>642</v>
      </c>
      <c r="D227" t="s">
        <v>644</v>
      </c>
      <c r="E227" t="s">
        <v>646</v>
      </c>
      <c r="F227" t="s">
        <v>54</v>
      </c>
      <c r="G227" t="s">
        <v>55</v>
      </c>
      <c r="I227">
        <v>0</v>
      </c>
      <c r="J227">
        <v>0</v>
      </c>
      <c r="K227">
        <f>IFERROR(VLOOKUP(F227,'LEAID Match'!$A$2:$B$236,2,FALSE),"")</f>
        <v>2314771</v>
      </c>
    </row>
    <row r="228" spans="1:11" x14ac:dyDescent="0.2">
      <c r="A228">
        <f t="shared" si="3"/>
        <v>2314771</v>
      </c>
      <c r="B228">
        <v>2018</v>
      </c>
      <c r="C228" t="s">
        <v>642</v>
      </c>
      <c r="D228" t="s">
        <v>644</v>
      </c>
      <c r="E228" t="s">
        <v>646</v>
      </c>
      <c r="F228" t="s">
        <v>54</v>
      </c>
      <c r="G228" t="s">
        <v>55</v>
      </c>
      <c r="I228">
        <v>0</v>
      </c>
      <c r="J228">
        <v>0</v>
      </c>
      <c r="K228">
        <f>IFERROR(VLOOKUP(F228,'LEAID Match'!$A$2:$B$236,2,FALSE),"")</f>
        <v>2314771</v>
      </c>
    </row>
    <row r="229" spans="1:11" x14ac:dyDescent="0.2">
      <c r="A229">
        <f t="shared" si="3"/>
        <v>2314771</v>
      </c>
      <c r="B229">
        <v>2019</v>
      </c>
      <c r="C229" t="s">
        <v>642</v>
      </c>
      <c r="D229" t="s">
        <v>644</v>
      </c>
      <c r="E229" t="s">
        <v>646</v>
      </c>
      <c r="F229" t="s">
        <v>54</v>
      </c>
      <c r="G229" t="s">
        <v>55</v>
      </c>
      <c r="I229">
        <v>0</v>
      </c>
      <c r="J229">
        <v>0</v>
      </c>
      <c r="K229">
        <f>IFERROR(VLOOKUP(F229,'LEAID Match'!$A$2:$B$236,2,FALSE),"")</f>
        <v>2314771</v>
      </c>
    </row>
    <row r="230" spans="1:11" x14ac:dyDescent="0.2">
      <c r="A230">
        <f t="shared" si="3"/>
        <v>2314771</v>
      </c>
      <c r="B230">
        <v>2020</v>
      </c>
      <c r="C230" t="s">
        <v>642</v>
      </c>
      <c r="D230" t="s">
        <v>644</v>
      </c>
      <c r="E230" t="s">
        <v>646</v>
      </c>
      <c r="F230" t="s">
        <v>54</v>
      </c>
      <c r="G230" t="s">
        <v>55</v>
      </c>
      <c r="I230">
        <v>0</v>
      </c>
      <c r="J230">
        <v>0</v>
      </c>
      <c r="K230">
        <f>IFERROR(VLOOKUP(F230,'LEAID Match'!$A$2:$B$236,2,FALSE),"")</f>
        <v>2314771</v>
      </c>
    </row>
    <row r="231" spans="1:11" x14ac:dyDescent="0.2">
      <c r="A231">
        <f t="shared" si="3"/>
        <v>2314771</v>
      </c>
      <c r="B231">
        <v>2021</v>
      </c>
      <c r="C231" t="s">
        <v>642</v>
      </c>
      <c r="D231" t="s">
        <v>644</v>
      </c>
      <c r="E231" t="s">
        <v>646</v>
      </c>
      <c r="F231" t="s">
        <v>54</v>
      </c>
      <c r="G231" t="s">
        <v>55</v>
      </c>
      <c r="I231">
        <v>0</v>
      </c>
      <c r="J231">
        <v>0</v>
      </c>
      <c r="K231">
        <f>IFERROR(VLOOKUP(F231,'LEAID Match'!$A$2:$B$236,2,FALSE),"")</f>
        <v>2314771</v>
      </c>
    </row>
    <row r="232" spans="1:11" x14ac:dyDescent="0.2">
      <c r="A232">
        <f t="shared" si="3"/>
        <v>2314771</v>
      </c>
      <c r="B232">
        <v>2022</v>
      </c>
      <c r="C232" t="s">
        <v>642</v>
      </c>
      <c r="D232" t="s">
        <v>644</v>
      </c>
      <c r="E232" t="s">
        <v>646</v>
      </c>
      <c r="F232" t="s">
        <v>54</v>
      </c>
      <c r="G232" t="s">
        <v>55</v>
      </c>
      <c r="I232">
        <v>0</v>
      </c>
      <c r="J232">
        <v>0</v>
      </c>
      <c r="K232">
        <f>IFERROR(VLOOKUP(F232,'LEAID Match'!$A$2:$B$236,2,FALSE),"")</f>
        <v>2314771</v>
      </c>
    </row>
    <row r="233" spans="1:11" x14ac:dyDescent="0.2">
      <c r="A233">
        <f t="shared" si="3"/>
        <v>2314814</v>
      </c>
      <c r="B233">
        <v>2015</v>
      </c>
      <c r="C233" t="s">
        <v>642</v>
      </c>
      <c r="D233" t="s">
        <v>644</v>
      </c>
      <c r="E233" t="s">
        <v>646</v>
      </c>
      <c r="F233" t="s">
        <v>56</v>
      </c>
      <c r="G233" t="s">
        <v>57</v>
      </c>
      <c r="H233">
        <v>4056</v>
      </c>
      <c r="I233">
        <v>77768.287432567493</v>
      </c>
      <c r="J233">
        <v>81824.287432567493</v>
      </c>
      <c r="K233">
        <f>IFERROR(VLOOKUP(F233,'LEAID Match'!$A$2:$B$236,2,FALSE),"")</f>
        <v>2314814</v>
      </c>
    </row>
    <row r="234" spans="1:11" x14ac:dyDescent="0.2">
      <c r="A234">
        <f t="shared" si="3"/>
        <v>2314814</v>
      </c>
      <c r="B234">
        <v>2016</v>
      </c>
      <c r="C234" t="s">
        <v>642</v>
      </c>
      <c r="D234" t="s">
        <v>644</v>
      </c>
      <c r="E234" t="s">
        <v>646</v>
      </c>
      <c r="F234" s="1" t="s">
        <v>56</v>
      </c>
      <c r="G234" s="1" t="s">
        <v>57</v>
      </c>
      <c r="H234" s="22">
        <v>3679</v>
      </c>
      <c r="I234">
        <v>69917.931704265327</v>
      </c>
      <c r="J234">
        <v>73596.931704265327</v>
      </c>
      <c r="K234">
        <f>IFERROR(VLOOKUP(F234,'LEAID Match'!$A$2:$B$236,2,FALSE),"")</f>
        <v>2314814</v>
      </c>
    </row>
    <row r="235" spans="1:11" x14ac:dyDescent="0.2">
      <c r="A235">
        <f t="shared" si="3"/>
        <v>2314814</v>
      </c>
      <c r="B235">
        <v>2017</v>
      </c>
      <c r="C235" t="s">
        <v>642</v>
      </c>
      <c r="D235" t="s">
        <v>644</v>
      </c>
      <c r="E235" t="s">
        <v>646</v>
      </c>
      <c r="F235" t="s">
        <v>56</v>
      </c>
      <c r="G235" t="s">
        <v>57</v>
      </c>
      <c r="H235">
        <v>3666</v>
      </c>
      <c r="I235">
        <v>69901.08082229516</v>
      </c>
      <c r="J235">
        <v>73567.08082229516</v>
      </c>
      <c r="K235">
        <f>IFERROR(VLOOKUP(F235,'LEAID Match'!$A$2:$B$236,2,FALSE),"")</f>
        <v>2314814</v>
      </c>
    </row>
    <row r="236" spans="1:11" x14ac:dyDescent="0.2">
      <c r="A236">
        <f t="shared" si="3"/>
        <v>2314814</v>
      </c>
      <c r="B236">
        <v>2018</v>
      </c>
      <c r="C236" t="s">
        <v>642</v>
      </c>
      <c r="D236" t="s">
        <v>644</v>
      </c>
      <c r="E236" t="s">
        <v>646</v>
      </c>
      <c r="F236" t="s">
        <v>56</v>
      </c>
      <c r="G236" t="s">
        <v>57</v>
      </c>
      <c r="H236">
        <v>2137</v>
      </c>
      <c r="I236">
        <v>43315.480913158244</v>
      </c>
      <c r="J236">
        <v>45452.480913158244</v>
      </c>
      <c r="K236">
        <f>IFERROR(VLOOKUP(F236,'LEAID Match'!$A$2:$B$236,2,FALSE),"")</f>
        <v>2314814</v>
      </c>
    </row>
    <row r="237" spans="1:11" x14ac:dyDescent="0.2">
      <c r="A237">
        <f t="shared" si="3"/>
        <v>2314814</v>
      </c>
      <c r="B237">
        <v>2019</v>
      </c>
      <c r="C237" t="s">
        <v>642</v>
      </c>
      <c r="D237" t="s">
        <v>644</v>
      </c>
      <c r="E237" t="s">
        <v>646</v>
      </c>
      <c r="F237" t="s">
        <v>56</v>
      </c>
      <c r="G237" t="s">
        <v>57</v>
      </c>
      <c r="H237">
        <v>3135</v>
      </c>
      <c r="I237">
        <v>67164.354122923614</v>
      </c>
      <c r="J237">
        <v>70299.354122923614</v>
      </c>
      <c r="K237">
        <f>IFERROR(VLOOKUP(F237,'LEAID Match'!$A$2:$B$236,2,FALSE),"")</f>
        <v>2314814</v>
      </c>
    </row>
    <row r="238" spans="1:11" x14ac:dyDescent="0.2">
      <c r="A238">
        <f t="shared" si="3"/>
        <v>2314814</v>
      </c>
      <c r="B238">
        <v>2020</v>
      </c>
      <c r="C238" t="s">
        <v>642</v>
      </c>
      <c r="D238" t="s">
        <v>644</v>
      </c>
      <c r="E238" t="s">
        <v>646</v>
      </c>
      <c r="F238" t="s">
        <v>56</v>
      </c>
      <c r="G238" t="s">
        <v>57</v>
      </c>
      <c r="H238">
        <v>11605</v>
      </c>
      <c r="I238">
        <v>258581.76353967856</v>
      </c>
      <c r="J238">
        <v>270186.76353967853</v>
      </c>
      <c r="K238">
        <f>IFERROR(VLOOKUP(F238,'LEAID Match'!$A$2:$B$236,2,FALSE),"")</f>
        <v>2314814</v>
      </c>
    </row>
    <row r="239" spans="1:11" x14ac:dyDescent="0.2">
      <c r="A239">
        <f t="shared" si="3"/>
        <v>2314814</v>
      </c>
      <c r="B239">
        <v>2021</v>
      </c>
      <c r="C239" t="s">
        <v>642</v>
      </c>
      <c r="D239" t="s">
        <v>644</v>
      </c>
      <c r="E239" t="s">
        <v>646</v>
      </c>
      <c r="F239" t="s">
        <v>56</v>
      </c>
      <c r="G239" t="s">
        <v>57</v>
      </c>
      <c r="H239">
        <v>9144</v>
      </c>
      <c r="I239">
        <v>153613.2602069618</v>
      </c>
      <c r="J239">
        <v>162757.2602069618</v>
      </c>
      <c r="K239">
        <f>IFERROR(VLOOKUP(F239,'LEAID Match'!$A$2:$B$236,2,FALSE),"")</f>
        <v>2314814</v>
      </c>
    </row>
    <row r="240" spans="1:11" x14ac:dyDescent="0.2">
      <c r="A240">
        <f t="shared" si="3"/>
        <v>2314814</v>
      </c>
      <c r="B240">
        <v>2022</v>
      </c>
      <c r="C240" t="s">
        <v>642</v>
      </c>
      <c r="D240" t="s">
        <v>644</v>
      </c>
      <c r="E240" t="s">
        <v>646</v>
      </c>
      <c r="F240" t="s">
        <v>56</v>
      </c>
      <c r="G240" t="s">
        <v>57</v>
      </c>
      <c r="H240">
        <v>18625</v>
      </c>
      <c r="I240">
        <v>268106.36708239804</v>
      </c>
      <c r="J240">
        <v>286731.36708239804</v>
      </c>
      <c r="K240">
        <f>IFERROR(VLOOKUP(F240,'LEAID Match'!$A$2:$B$236,2,FALSE),"")</f>
        <v>2314814</v>
      </c>
    </row>
    <row r="241" spans="1:11" x14ac:dyDescent="0.2">
      <c r="A241">
        <f t="shared" si="3"/>
        <v>2304860</v>
      </c>
      <c r="B241">
        <v>2015</v>
      </c>
      <c r="C241" t="s">
        <v>642</v>
      </c>
      <c r="D241" t="s">
        <v>644</v>
      </c>
      <c r="E241" t="s">
        <v>646</v>
      </c>
      <c r="F241" t="s">
        <v>58</v>
      </c>
      <c r="G241" t="s">
        <v>59</v>
      </c>
      <c r="H241">
        <v>3815</v>
      </c>
      <c r="I241">
        <v>73147.439979103801</v>
      </c>
      <c r="J241">
        <v>76962.439979103801</v>
      </c>
      <c r="K241">
        <f>IFERROR(VLOOKUP(F241,'LEAID Match'!$A$2:$B$236,2,FALSE),"")</f>
        <v>2304860</v>
      </c>
    </row>
    <row r="242" spans="1:11" x14ac:dyDescent="0.2">
      <c r="A242">
        <f t="shared" si="3"/>
        <v>2304860</v>
      </c>
      <c r="B242">
        <v>2016</v>
      </c>
      <c r="C242" t="s">
        <v>642</v>
      </c>
      <c r="D242" t="s">
        <v>644</v>
      </c>
      <c r="E242" t="s">
        <v>646</v>
      </c>
      <c r="F242" s="1" t="s">
        <v>58</v>
      </c>
      <c r="G242" s="1" t="s">
        <v>59</v>
      </c>
      <c r="H242" s="22">
        <v>4241</v>
      </c>
      <c r="I242">
        <v>80598.518172815777</v>
      </c>
      <c r="J242">
        <v>84839.518172815777</v>
      </c>
      <c r="K242">
        <f>IFERROR(VLOOKUP(F242,'LEAID Match'!$A$2:$B$236,2,FALSE),"")</f>
        <v>2304860</v>
      </c>
    </row>
    <row r="243" spans="1:11" x14ac:dyDescent="0.2">
      <c r="A243">
        <f t="shared" si="3"/>
        <v>2304860</v>
      </c>
      <c r="B243">
        <v>2017</v>
      </c>
      <c r="C243" t="s">
        <v>642</v>
      </c>
      <c r="D243" t="s">
        <v>644</v>
      </c>
      <c r="E243" t="s">
        <v>646</v>
      </c>
      <c r="F243" t="s">
        <v>58</v>
      </c>
      <c r="G243" t="s">
        <v>59</v>
      </c>
      <c r="H243">
        <v>6105</v>
      </c>
      <c r="I243">
        <v>116406.46438082705</v>
      </c>
      <c r="J243">
        <v>122511.46438082705</v>
      </c>
      <c r="K243">
        <f>IFERROR(VLOOKUP(F243,'LEAID Match'!$A$2:$B$236,2,FALSE),"")</f>
        <v>2304860</v>
      </c>
    </row>
    <row r="244" spans="1:11" x14ac:dyDescent="0.2">
      <c r="A244">
        <f t="shared" si="3"/>
        <v>2304860</v>
      </c>
      <c r="B244">
        <v>2018</v>
      </c>
      <c r="C244" t="s">
        <v>642</v>
      </c>
      <c r="D244" t="s">
        <v>644</v>
      </c>
      <c r="E244" t="s">
        <v>646</v>
      </c>
      <c r="F244" t="s">
        <v>58</v>
      </c>
      <c r="G244" t="s">
        <v>59</v>
      </c>
      <c r="H244">
        <v>6488</v>
      </c>
      <c r="I244">
        <v>131507.17836432884</v>
      </c>
      <c r="J244">
        <v>137995.17836432884</v>
      </c>
      <c r="K244">
        <f>IFERROR(VLOOKUP(F244,'LEAID Match'!$A$2:$B$236,2,FALSE),"")</f>
        <v>2304860</v>
      </c>
    </row>
    <row r="245" spans="1:11" x14ac:dyDescent="0.2">
      <c r="A245">
        <f t="shared" si="3"/>
        <v>2304860</v>
      </c>
      <c r="B245">
        <v>2019</v>
      </c>
      <c r="C245" t="s">
        <v>642</v>
      </c>
      <c r="D245" t="s">
        <v>644</v>
      </c>
      <c r="E245" t="s">
        <v>646</v>
      </c>
      <c r="F245" t="s">
        <v>58</v>
      </c>
      <c r="G245" t="s">
        <v>59</v>
      </c>
      <c r="H245">
        <v>3465</v>
      </c>
      <c r="I245">
        <v>74234.286135862931</v>
      </c>
      <c r="J245">
        <v>77699.286135862931</v>
      </c>
      <c r="K245">
        <f>IFERROR(VLOOKUP(F245,'LEAID Match'!$A$2:$B$236,2,FALSE),"")</f>
        <v>2304860</v>
      </c>
    </row>
    <row r="246" spans="1:11" x14ac:dyDescent="0.2">
      <c r="A246">
        <f t="shared" si="3"/>
        <v>2304860</v>
      </c>
      <c r="B246">
        <v>2020</v>
      </c>
      <c r="C246" t="s">
        <v>642</v>
      </c>
      <c r="D246" t="s">
        <v>644</v>
      </c>
      <c r="E246" t="s">
        <v>646</v>
      </c>
      <c r="F246" t="s">
        <v>58</v>
      </c>
      <c r="G246" t="s">
        <v>59</v>
      </c>
      <c r="H246">
        <v>4509</v>
      </c>
      <c r="I246">
        <v>100469.20911679542</v>
      </c>
      <c r="J246">
        <v>104978.20911679542</v>
      </c>
      <c r="K246">
        <f>IFERROR(VLOOKUP(F246,'LEAID Match'!$A$2:$B$236,2,FALSE),"")</f>
        <v>2304860</v>
      </c>
    </row>
    <row r="247" spans="1:11" x14ac:dyDescent="0.2">
      <c r="A247">
        <f t="shared" si="3"/>
        <v>2304860</v>
      </c>
      <c r="B247">
        <v>2021</v>
      </c>
      <c r="C247" t="s">
        <v>642</v>
      </c>
      <c r="D247" t="s">
        <v>644</v>
      </c>
      <c r="E247" t="s">
        <v>646</v>
      </c>
      <c r="F247" t="s">
        <v>58</v>
      </c>
      <c r="G247" t="s">
        <v>59</v>
      </c>
      <c r="H247">
        <v>7639</v>
      </c>
      <c r="I247">
        <v>128330.23783037854</v>
      </c>
      <c r="J247">
        <v>135969.23783037852</v>
      </c>
      <c r="K247">
        <f>IFERROR(VLOOKUP(F247,'LEAID Match'!$A$2:$B$236,2,FALSE),"")</f>
        <v>2304860</v>
      </c>
    </row>
    <row r="248" spans="1:11" x14ac:dyDescent="0.2">
      <c r="A248">
        <f t="shared" si="3"/>
        <v>2304860</v>
      </c>
      <c r="B248">
        <v>2022</v>
      </c>
      <c r="C248" t="s">
        <v>642</v>
      </c>
      <c r="D248" t="s">
        <v>644</v>
      </c>
      <c r="E248" t="s">
        <v>646</v>
      </c>
      <c r="F248" t="s">
        <v>58</v>
      </c>
      <c r="G248" t="s">
        <v>59</v>
      </c>
      <c r="H248">
        <v>9390</v>
      </c>
      <c r="I248">
        <v>135168.79392771638</v>
      </c>
      <c r="J248">
        <v>144558.79392771638</v>
      </c>
      <c r="K248">
        <f>IFERROR(VLOOKUP(F248,'LEAID Match'!$A$2:$B$236,2,FALSE),"")</f>
        <v>2304860</v>
      </c>
    </row>
    <row r="249" spans="1:11" x14ac:dyDescent="0.2">
      <c r="A249">
        <f t="shared" si="3"/>
        <v>2305310</v>
      </c>
      <c r="B249">
        <v>2015</v>
      </c>
      <c r="C249" t="s">
        <v>642</v>
      </c>
      <c r="D249" t="s">
        <v>644</v>
      </c>
      <c r="E249" t="s">
        <v>646</v>
      </c>
      <c r="F249" t="s">
        <v>60</v>
      </c>
      <c r="G249" t="s">
        <v>61</v>
      </c>
      <c r="I249">
        <v>0</v>
      </c>
      <c r="J249">
        <v>0</v>
      </c>
      <c r="K249">
        <f>IFERROR(VLOOKUP(F249,'LEAID Match'!$A$2:$B$236,2,FALSE),"")</f>
        <v>2305310</v>
      </c>
    </row>
    <row r="250" spans="1:11" x14ac:dyDescent="0.2">
      <c r="A250">
        <f t="shared" si="3"/>
        <v>2305310</v>
      </c>
      <c r="B250">
        <v>2016</v>
      </c>
      <c r="C250" t="s">
        <v>642</v>
      </c>
      <c r="D250" t="s">
        <v>644</v>
      </c>
      <c r="E250" t="s">
        <v>646</v>
      </c>
      <c r="F250" s="1" t="s">
        <v>60</v>
      </c>
      <c r="G250" s="1" t="s">
        <v>61</v>
      </c>
      <c r="H250" s="22"/>
      <c r="I250">
        <v>0</v>
      </c>
      <c r="J250">
        <v>0</v>
      </c>
      <c r="K250">
        <f>IFERROR(VLOOKUP(F250,'LEAID Match'!$A$2:$B$236,2,FALSE),"")</f>
        <v>2305310</v>
      </c>
    </row>
    <row r="251" spans="1:11" x14ac:dyDescent="0.2">
      <c r="A251">
        <f t="shared" si="3"/>
        <v>2305310</v>
      </c>
      <c r="B251">
        <v>2017</v>
      </c>
      <c r="C251" t="s">
        <v>642</v>
      </c>
      <c r="D251" t="s">
        <v>644</v>
      </c>
      <c r="E251" t="s">
        <v>646</v>
      </c>
      <c r="F251" t="s">
        <v>60</v>
      </c>
      <c r="G251" t="s">
        <v>61</v>
      </c>
      <c r="I251">
        <v>0</v>
      </c>
      <c r="J251">
        <v>0</v>
      </c>
      <c r="K251">
        <f>IFERROR(VLOOKUP(F251,'LEAID Match'!$A$2:$B$236,2,FALSE),"")</f>
        <v>2305310</v>
      </c>
    </row>
    <row r="252" spans="1:11" x14ac:dyDescent="0.2">
      <c r="A252">
        <f t="shared" si="3"/>
        <v>2305310</v>
      </c>
      <c r="B252">
        <v>2018</v>
      </c>
      <c r="C252" t="s">
        <v>642</v>
      </c>
      <c r="D252" t="s">
        <v>644</v>
      </c>
      <c r="E252" t="s">
        <v>646</v>
      </c>
      <c r="F252" t="s">
        <v>60</v>
      </c>
      <c r="G252" t="s">
        <v>61</v>
      </c>
      <c r="I252">
        <v>0</v>
      </c>
      <c r="J252">
        <v>0</v>
      </c>
      <c r="K252">
        <f>IFERROR(VLOOKUP(F252,'LEAID Match'!$A$2:$B$236,2,FALSE),"")</f>
        <v>2305310</v>
      </c>
    </row>
    <row r="253" spans="1:11" x14ac:dyDescent="0.2">
      <c r="A253">
        <f t="shared" si="3"/>
        <v>2305310</v>
      </c>
      <c r="B253">
        <v>2019</v>
      </c>
      <c r="C253" t="s">
        <v>642</v>
      </c>
      <c r="D253" t="s">
        <v>644</v>
      </c>
      <c r="E253" t="s">
        <v>646</v>
      </c>
      <c r="F253" t="s">
        <v>60</v>
      </c>
      <c r="G253" t="s">
        <v>61</v>
      </c>
      <c r="I253">
        <v>0</v>
      </c>
      <c r="J253">
        <v>0</v>
      </c>
      <c r="K253">
        <f>IFERROR(VLOOKUP(F253,'LEAID Match'!$A$2:$B$236,2,FALSE),"")</f>
        <v>2305310</v>
      </c>
    </row>
    <row r="254" spans="1:11" x14ac:dyDescent="0.2">
      <c r="A254">
        <f t="shared" si="3"/>
        <v>2305310</v>
      </c>
      <c r="B254">
        <v>2020</v>
      </c>
      <c r="C254" t="s">
        <v>642</v>
      </c>
      <c r="D254" t="s">
        <v>644</v>
      </c>
      <c r="E254" t="s">
        <v>646</v>
      </c>
      <c r="F254" t="s">
        <v>60</v>
      </c>
      <c r="G254" t="s">
        <v>61</v>
      </c>
      <c r="I254">
        <v>0</v>
      </c>
      <c r="J254">
        <v>0</v>
      </c>
      <c r="K254">
        <f>IFERROR(VLOOKUP(F254,'LEAID Match'!$A$2:$B$236,2,FALSE),"")</f>
        <v>2305310</v>
      </c>
    </row>
    <row r="255" spans="1:11" x14ac:dyDescent="0.2">
      <c r="A255">
        <f t="shared" si="3"/>
        <v>2305310</v>
      </c>
      <c r="B255">
        <v>2021</v>
      </c>
      <c r="C255" t="s">
        <v>642</v>
      </c>
      <c r="D255" t="s">
        <v>644</v>
      </c>
      <c r="E255" t="s">
        <v>646</v>
      </c>
      <c r="F255" t="s">
        <v>60</v>
      </c>
      <c r="G255" t="s">
        <v>61</v>
      </c>
      <c r="H255">
        <v>2462</v>
      </c>
      <c r="I255">
        <v>41360.000725015314</v>
      </c>
      <c r="J255">
        <v>43822.000725015314</v>
      </c>
      <c r="K255">
        <f>IFERROR(VLOOKUP(F255,'LEAID Match'!$A$2:$B$236,2,FALSE),"")</f>
        <v>2305310</v>
      </c>
    </row>
    <row r="256" spans="1:11" x14ac:dyDescent="0.2">
      <c r="A256">
        <f t="shared" si="3"/>
        <v>2305310</v>
      </c>
      <c r="B256">
        <v>2022</v>
      </c>
      <c r="C256" t="s">
        <v>642</v>
      </c>
      <c r="D256" t="s">
        <v>644</v>
      </c>
      <c r="E256" t="s">
        <v>646</v>
      </c>
      <c r="F256" t="s">
        <v>60</v>
      </c>
      <c r="G256" t="s">
        <v>61</v>
      </c>
      <c r="H256">
        <v>3144</v>
      </c>
      <c r="I256">
        <v>45257.794260781709</v>
      </c>
      <c r="J256">
        <v>48401.794260781709</v>
      </c>
      <c r="K256">
        <f>IFERROR(VLOOKUP(F256,'LEAID Match'!$A$2:$B$236,2,FALSE),"")</f>
        <v>2305310</v>
      </c>
    </row>
    <row r="257" spans="1:11" x14ac:dyDescent="0.2">
      <c r="A257">
        <f t="shared" si="3"/>
        <v>2305500</v>
      </c>
      <c r="B257">
        <v>2015</v>
      </c>
      <c r="C257" t="s">
        <v>642</v>
      </c>
      <c r="D257" t="s">
        <v>644</v>
      </c>
      <c r="E257" t="s">
        <v>646</v>
      </c>
      <c r="F257" t="s">
        <v>62</v>
      </c>
      <c r="G257" t="s">
        <v>63</v>
      </c>
      <c r="H257">
        <v>22182</v>
      </c>
      <c r="I257">
        <v>425309.70212751784</v>
      </c>
      <c r="J257">
        <v>447491.70212751784</v>
      </c>
      <c r="K257">
        <f>IFERROR(VLOOKUP(F257,'LEAID Match'!$A$2:$B$236,2,FALSE),"")</f>
        <v>2305500</v>
      </c>
    </row>
    <row r="258" spans="1:11" x14ac:dyDescent="0.2">
      <c r="A258">
        <f t="shared" si="3"/>
        <v>2305500</v>
      </c>
      <c r="B258">
        <v>2016</v>
      </c>
      <c r="C258" t="s">
        <v>642</v>
      </c>
      <c r="D258" t="s">
        <v>644</v>
      </c>
      <c r="E258" t="s">
        <v>646</v>
      </c>
      <c r="F258" s="1" t="s">
        <v>62</v>
      </c>
      <c r="G258" s="1" t="s">
        <v>63</v>
      </c>
      <c r="H258" s="22">
        <v>37977</v>
      </c>
      <c r="I258">
        <v>721737.77992195822</v>
      </c>
      <c r="J258">
        <v>759714.77992195822</v>
      </c>
      <c r="K258">
        <f>IFERROR(VLOOKUP(F258,'LEAID Match'!$A$2:$B$236,2,FALSE),"")</f>
        <v>2305500</v>
      </c>
    </row>
    <row r="259" spans="1:11" x14ac:dyDescent="0.2">
      <c r="A259">
        <f t="shared" ref="A259:A322" si="4">K259</f>
        <v>2305500</v>
      </c>
      <c r="B259">
        <v>2017</v>
      </c>
      <c r="C259" t="s">
        <v>642</v>
      </c>
      <c r="D259" t="s">
        <v>644</v>
      </c>
      <c r="E259" t="s">
        <v>646</v>
      </c>
      <c r="F259" t="s">
        <v>62</v>
      </c>
      <c r="G259" t="s">
        <v>63</v>
      </c>
      <c r="H259">
        <v>30143</v>
      </c>
      <c r="I259">
        <v>574748.57589373784</v>
      </c>
      <c r="J259">
        <v>604891.57589373784</v>
      </c>
      <c r="K259">
        <f>IFERROR(VLOOKUP(F259,'LEAID Match'!$A$2:$B$236,2,FALSE),"")</f>
        <v>2305500</v>
      </c>
    </row>
    <row r="260" spans="1:11" x14ac:dyDescent="0.2">
      <c r="A260">
        <f t="shared" si="4"/>
        <v>2305500</v>
      </c>
      <c r="B260">
        <v>2018</v>
      </c>
      <c r="C260" t="s">
        <v>642</v>
      </c>
      <c r="D260" t="s">
        <v>644</v>
      </c>
      <c r="E260" t="s">
        <v>646</v>
      </c>
      <c r="F260" t="s">
        <v>62</v>
      </c>
      <c r="G260" t="s">
        <v>63</v>
      </c>
      <c r="H260">
        <v>40646</v>
      </c>
      <c r="I260">
        <v>823865.71698466549</v>
      </c>
      <c r="J260">
        <v>864511.71698466549</v>
      </c>
      <c r="K260">
        <f>IFERROR(VLOOKUP(F260,'LEAID Match'!$A$2:$B$236,2,FALSE),"")</f>
        <v>2305500</v>
      </c>
    </row>
    <row r="261" spans="1:11" x14ac:dyDescent="0.2">
      <c r="A261">
        <f t="shared" si="4"/>
        <v>2305500</v>
      </c>
      <c r="B261">
        <v>2019</v>
      </c>
      <c r="C261" t="s">
        <v>642</v>
      </c>
      <c r="D261" t="s">
        <v>644</v>
      </c>
      <c r="E261" t="s">
        <v>646</v>
      </c>
      <c r="F261" t="s">
        <v>62</v>
      </c>
      <c r="G261" t="s">
        <v>63</v>
      </c>
      <c r="H261">
        <v>40465</v>
      </c>
      <c r="I261">
        <v>866923.63304118149</v>
      </c>
      <c r="J261">
        <v>907388.63304118149</v>
      </c>
      <c r="K261">
        <f>IFERROR(VLOOKUP(F261,'LEAID Match'!$A$2:$B$236,2,FALSE),"")</f>
        <v>2305500</v>
      </c>
    </row>
    <row r="262" spans="1:11" x14ac:dyDescent="0.2">
      <c r="A262">
        <f t="shared" si="4"/>
        <v>2305500</v>
      </c>
      <c r="B262">
        <v>2020</v>
      </c>
      <c r="C262" t="s">
        <v>642</v>
      </c>
      <c r="D262" t="s">
        <v>644</v>
      </c>
      <c r="E262" t="s">
        <v>646</v>
      </c>
      <c r="F262" t="s">
        <v>62</v>
      </c>
      <c r="G262" t="s">
        <v>63</v>
      </c>
      <c r="H262">
        <v>39080</v>
      </c>
      <c r="I262">
        <v>870777.70953301492</v>
      </c>
      <c r="J262">
        <v>909857.70953301492</v>
      </c>
      <c r="K262">
        <f>IFERROR(VLOOKUP(F262,'LEAID Match'!$A$2:$B$236,2,FALSE),"")</f>
        <v>2305500</v>
      </c>
    </row>
    <row r="263" spans="1:11" x14ac:dyDescent="0.2">
      <c r="A263">
        <f t="shared" si="4"/>
        <v>2305500</v>
      </c>
      <c r="B263">
        <v>2021</v>
      </c>
      <c r="C263" t="s">
        <v>642</v>
      </c>
      <c r="D263" t="s">
        <v>644</v>
      </c>
      <c r="E263" t="s">
        <v>646</v>
      </c>
      <c r="F263" t="s">
        <v>62</v>
      </c>
      <c r="G263" t="s">
        <v>63</v>
      </c>
      <c r="H263">
        <v>146108</v>
      </c>
      <c r="I263">
        <v>2454519.4906297876</v>
      </c>
      <c r="J263">
        <v>2600627.4906297876</v>
      </c>
      <c r="K263">
        <f>IFERROR(VLOOKUP(F263,'LEAID Match'!$A$2:$B$236,2,FALSE),"")</f>
        <v>2305500</v>
      </c>
    </row>
    <row r="264" spans="1:11" x14ac:dyDescent="0.2">
      <c r="A264">
        <f t="shared" si="4"/>
        <v>2305500</v>
      </c>
      <c r="B264">
        <v>2022</v>
      </c>
      <c r="C264" t="s">
        <v>642</v>
      </c>
      <c r="D264" t="s">
        <v>644</v>
      </c>
      <c r="E264" t="s">
        <v>646</v>
      </c>
      <c r="F264" t="s">
        <v>62</v>
      </c>
      <c r="G264" t="s">
        <v>63</v>
      </c>
      <c r="H264">
        <v>162855</v>
      </c>
      <c r="I264">
        <v>2344293.2838230301</v>
      </c>
      <c r="J264">
        <v>2507148.2838230301</v>
      </c>
      <c r="K264">
        <f>IFERROR(VLOOKUP(F264,'LEAID Match'!$A$2:$B$236,2,FALSE),"")</f>
        <v>2305500</v>
      </c>
    </row>
    <row r="265" spans="1:11" x14ac:dyDescent="0.2">
      <c r="A265">
        <f t="shared" si="4"/>
        <v>2305280</v>
      </c>
      <c r="B265">
        <v>2015</v>
      </c>
      <c r="C265" t="s">
        <v>642</v>
      </c>
      <c r="D265" t="s">
        <v>644</v>
      </c>
      <c r="E265" t="s">
        <v>646</v>
      </c>
      <c r="F265" t="s">
        <v>64</v>
      </c>
      <c r="G265" t="s">
        <v>65</v>
      </c>
      <c r="H265">
        <v>12222</v>
      </c>
      <c r="I265">
        <v>234340.23890553255</v>
      </c>
      <c r="J265">
        <v>246562.23890553255</v>
      </c>
      <c r="K265">
        <f>IFERROR(VLOOKUP(F265,'LEAID Match'!$A$2:$B$236,2,FALSE),"")</f>
        <v>2305280</v>
      </c>
    </row>
    <row r="266" spans="1:11" x14ac:dyDescent="0.2">
      <c r="A266">
        <f t="shared" si="4"/>
        <v>2305280</v>
      </c>
      <c r="B266">
        <v>2016</v>
      </c>
      <c r="C266" t="s">
        <v>642</v>
      </c>
      <c r="D266" t="s">
        <v>644</v>
      </c>
      <c r="E266" t="s">
        <v>646</v>
      </c>
      <c r="F266" s="1" t="s">
        <v>64</v>
      </c>
      <c r="G266" s="1" t="s">
        <v>65</v>
      </c>
      <c r="H266" s="22">
        <v>9934</v>
      </c>
      <c r="I266">
        <v>188791.71882309642</v>
      </c>
      <c r="J266">
        <v>198725.71882309642</v>
      </c>
      <c r="K266">
        <f>IFERROR(VLOOKUP(F266,'LEAID Match'!$A$2:$B$236,2,FALSE),"")</f>
        <v>2305280</v>
      </c>
    </row>
    <row r="267" spans="1:11" x14ac:dyDescent="0.2">
      <c r="A267">
        <f t="shared" si="4"/>
        <v>2305280</v>
      </c>
      <c r="B267">
        <v>2017</v>
      </c>
      <c r="C267" t="s">
        <v>642</v>
      </c>
      <c r="D267" t="s">
        <v>644</v>
      </c>
      <c r="E267" t="s">
        <v>646</v>
      </c>
      <c r="F267" t="s">
        <v>64</v>
      </c>
      <c r="G267" t="s">
        <v>65</v>
      </c>
      <c r="H267">
        <v>10111</v>
      </c>
      <c r="I267">
        <v>192790.46050033451</v>
      </c>
      <c r="J267">
        <v>202901.46050033451</v>
      </c>
      <c r="K267">
        <f>IFERROR(VLOOKUP(F267,'LEAID Match'!$A$2:$B$236,2,FALSE),"")</f>
        <v>2305280</v>
      </c>
    </row>
    <row r="268" spans="1:11" x14ac:dyDescent="0.2">
      <c r="A268">
        <f t="shared" si="4"/>
        <v>2305280</v>
      </c>
      <c r="B268">
        <v>2018</v>
      </c>
      <c r="C268" t="s">
        <v>642</v>
      </c>
      <c r="D268" t="s">
        <v>644</v>
      </c>
      <c r="E268" t="s">
        <v>646</v>
      </c>
      <c r="F268" t="s">
        <v>64</v>
      </c>
      <c r="G268" t="s">
        <v>65</v>
      </c>
      <c r="H268">
        <v>12214</v>
      </c>
      <c r="I268">
        <v>247569.15483075098</v>
      </c>
      <c r="J268">
        <v>259783.15483075098</v>
      </c>
      <c r="K268">
        <f>IFERROR(VLOOKUP(F268,'LEAID Match'!$A$2:$B$236,2,FALSE),"")</f>
        <v>2305280</v>
      </c>
    </row>
    <row r="269" spans="1:11" x14ac:dyDescent="0.2">
      <c r="A269">
        <f t="shared" si="4"/>
        <v>2305280</v>
      </c>
      <c r="B269">
        <v>2019</v>
      </c>
      <c r="C269" t="s">
        <v>642</v>
      </c>
      <c r="D269" t="s">
        <v>644</v>
      </c>
      <c r="E269" t="s">
        <v>646</v>
      </c>
      <c r="F269" t="s">
        <v>64</v>
      </c>
      <c r="G269" t="s">
        <v>65</v>
      </c>
      <c r="H269">
        <v>11306</v>
      </c>
      <c r="I269">
        <v>242220.1555705819</v>
      </c>
      <c r="J269">
        <v>253526.1555705819</v>
      </c>
      <c r="K269">
        <f>IFERROR(VLOOKUP(F269,'LEAID Match'!$A$2:$B$236,2,FALSE),"")</f>
        <v>2305280</v>
      </c>
    </row>
    <row r="270" spans="1:11" x14ac:dyDescent="0.2">
      <c r="A270">
        <f t="shared" si="4"/>
        <v>2305280</v>
      </c>
      <c r="B270">
        <v>2020</v>
      </c>
      <c r="C270" t="s">
        <v>642</v>
      </c>
      <c r="D270" t="s">
        <v>644</v>
      </c>
      <c r="E270" t="s">
        <v>646</v>
      </c>
      <c r="F270" t="s">
        <v>64</v>
      </c>
      <c r="G270" t="s">
        <v>65</v>
      </c>
      <c r="H270">
        <v>19808</v>
      </c>
      <c r="I270">
        <v>441360.41121878102</v>
      </c>
      <c r="J270">
        <v>461168.41121878102</v>
      </c>
      <c r="K270">
        <f>IFERROR(VLOOKUP(F270,'LEAID Match'!$A$2:$B$236,2,FALSE),"")</f>
        <v>2305280</v>
      </c>
    </row>
    <row r="271" spans="1:11" x14ac:dyDescent="0.2">
      <c r="A271">
        <f t="shared" si="4"/>
        <v>2305280</v>
      </c>
      <c r="B271">
        <v>2021</v>
      </c>
      <c r="C271" t="s">
        <v>642</v>
      </c>
      <c r="D271" t="s">
        <v>644</v>
      </c>
      <c r="E271" t="s">
        <v>646</v>
      </c>
      <c r="F271" t="s">
        <v>64</v>
      </c>
      <c r="G271" t="s">
        <v>65</v>
      </c>
      <c r="H271">
        <v>19433</v>
      </c>
      <c r="I271">
        <v>326461.77664062654</v>
      </c>
      <c r="J271">
        <v>345894.77664062654</v>
      </c>
      <c r="K271">
        <f>IFERROR(VLOOKUP(F271,'LEAID Match'!$A$2:$B$236,2,FALSE),"")</f>
        <v>2305280</v>
      </c>
    </row>
    <row r="272" spans="1:11" x14ac:dyDescent="0.2">
      <c r="A272">
        <f t="shared" si="4"/>
        <v>2305280</v>
      </c>
      <c r="B272">
        <v>2022</v>
      </c>
      <c r="C272" t="s">
        <v>642</v>
      </c>
      <c r="D272" t="s">
        <v>644</v>
      </c>
      <c r="E272" t="s">
        <v>646</v>
      </c>
      <c r="F272" t="s">
        <v>64</v>
      </c>
      <c r="G272" t="s">
        <v>65</v>
      </c>
      <c r="H272">
        <v>16467</v>
      </c>
      <c r="I272">
        <v>237042.01593266299</v>
      </c>
      <c r="J272">
        <v>253509.01593266299</v>
      </c>
      <c r="K272">
        <f>IFERROR(VLOOKUP(F272,'LEAID Match'!$A$2:$B$236,2,FALSE),"")</f>
        <v>2305280</v>
      </c>
    </row>
    <row r="273" spans="1:11" x14ac:dyDescent="0.2">
      <c r="A273">
        <f t="shared" si="4"/>
        <v>2314818</v>
      </c>
      <c r="B273">
        <v>2015</v>
      </c>
      <c r="C273" t="s">
        <v>642</v>
      </c>
      <c r="D273" t="s">
        <v>644</v>
      </c>
      <c r="E273" t="s">
        <v>646</v>
      </c>
      <c r="F273" t="s">
        <v>66</v>
      </c>
      <c r="G273" t="s">
        <v>67</v>
      </c>
      <c r="H273">
        <v>5047</v>
      </c>
      <c r="I273">
        <v>96769.36555033733</v>
      </c>
      <c r="J273">
        <v>101816.36555033733</v>
      </c>
      <c r="K273">
        <f>IFERROR(VLOOKUP(F273,'LEAID Match'!$A$2:$B$236,2,FALSE),"")</f>
        <v>2314818</v>
      </c>
    </row>
    <row r="274" spans="1:11" x14ac:dyDescent="0.2">
      <c r="A274">
        <f t="shared" si="4"/>
        <v>2314818</v>
      </c>
      <c r="B274">
        <v>2016</v>
      </c>
      <c r="C274" t="s">
        <v>642</v>
      </c>
      <c r="D274" t="s">
        <v>644</v>
      </c>
      <c r="E274" t="s">
        <v>646</v>
      </c>
      <c r="F274" s="1" t="s">
        <v>66</v>
      </c>
      <c r="G274" s="1" t="s">
        <v>67</v>
      </c>
      <c r="H274" s="22">
        <v>3827</v>
      </c>
      <c r="I274">
        <v>72730.612838331988</v>
      </c>
      <c r="J274">
        <v>76557.612838331988</v>
      </c>
      <c r="K274">
        <f>IFERROR(VLOOKUP(F274,'LEAID Match'!$A$2:$B$236,2,FALSE),"")</f>
        <v>2314818</v>
      </c>
    </row>
    <row r="275" spans="1:11" x14ac:dyDescent="0.2">
      <c r="A275">
        <f t="shared" si="4"/>
        <v>2314818</v>
      </c>
      <c r="B275">
        <v>2017</v>
      </c>
      <c r="C275" t="s">
        <v>642</v>
      </c>
      <c r="D275" t="s">
        <v>644</v>
      </c>
      <c r="E275" t="s">
        <v>646</v>
      </c>
      <c r="F275" t="s">
        <v>66</v>
      </c>
      <c r="G275" t="s">
        <v>67</v>
      </c>
      <c r="H275">
        <v>2739</v>
      </c>
      <c r="I275">
        <v>52225.602938425109</v>
      </c>
      <c r="J275">
        <v>54964.602938425109</v>
      </c>
      <c r="K275">
        <f>IFERROR(VLOOKUP(F275,'LEAID Match'!$A$2:$B$236,2,FALSE),"")</f>
        <v>2314818</v>
      </c>
    </row>
    <row r="276" spans="1:11" x14ac:dyDescent="0.2">
      <c r="A276">
        <f t="shared" si="4"/>
        <v>2314818</v>
      </c>
      <c r="B276">
        <v>2018</v>
      </c>
      <c r="C276" t="s">
        <v>642</v>
      </c>
      <c r="D276" t="s">
        <v>644</v>
      </c>
      <c r="E276" t="s">
        <v>646</v>
      </c>
      <c r="F276" t="s">
        <v>66</v>
      </c>
      <c r="G276" t="s">
        <v>67</v>
      </c>
      <c r="H276">
        <v>5170</v>
      </c>
      <c r="I276">
        <v>104792.24909734588</v>
      </c>
      <c r="J276">
        <v>109962.24909734588</v>
      </c>
      <c r="K276">
        <f>IFERROR(VLOOKUP(F276,'LEAID Match'!$A$2:$B$236,2,FALSE),"")</f>
        <v>2314818</v>
      </c>
    </row>
    <row r="277" spans="1:11" x14ac:dyDescent="0.2">
      <c r="A277">
        <f t="shared" si="4"/>
        <v>2314818</v>
      </c>
      <c r="B277">
        <v>2019</v>
      </c>
      <c r="C277" t="s">
        <v>642</v>
      </c>
      <c r="D277" t="s">
        <v>644</v>
      </c>
      <c r="E277" t="s">
        <v>646</v>
      </c>
      <c r="F277" t="s">
        <v>66</v>
      </c>
      <c r="G277" t="s">
        <v>67</v>
      </c>
      <c r="H277">
        <v>6238</v>
      </c>
      <c r="I277">
        <v>133643.13908095611</v>
      </c>
      <c r="J277">
        <v>139881.13908095611</v>
      </c>
      <c r="K277">
        <f>IFERROR(VLOOKUP(F277,'LEAID Match'!$A$2:$B$236,2,FALSE),"")</f>
        <v>2314818</v>
      </c>
    </row>
    <row r="278" spans="1:11" x14ac:dyDescent="0.2">
      <c r="A278">
        <f t="shared" si="4"/>
        <v>2314818</v>
      </c>
      <c r="B278">
        <v>2020</v>
      </c>
      <c r="C278" t="s">
        <v>642</v>
      </c>
      <c r="D278" t="s">
        <v>644</v>
      </c>
      <c r="E278" t="s">
        <v>646</v>
      </c>
      <c r="F278" t="s">
        <v>66</v>
      </c>
      <c r="G278" t="s">
        <v>67</v>
      </c>
      <c r="H278">
        <v>5475</v>
      </c>
      <c r="I278">
        <v>121993.55065745284</v>
      </c>
      <c r="J278">
        <v>127468.55065745284</v>
      </c>
      <c r="K278">
        <f>IFERROR(VLOOKUP(F278,'LEAID Match'!$A$2:$B$236,2,FALSE),"")</f>
        <v>2314818</v>
      </c>
    </row>
    <row r="279" spans="1:11" x14ac:dyDescent="0.2">
      <c r="A279">
        <f t="shared" si="4"/>
        <v>2314818</v>
      </c>
      <c r="B279">
        <v>2021</v>
      </c>
      <c r="C279" t="s">
        <v>642</v>
      </c>
      <c r="D279" t="s">
        <v>644</v>
      </c>
      <c r="E279" t="s">
        <v>646</v>
      </c>
      <c r="F279" t="s">
        <v>66</v>
      </c>
      <c r="G279" t="s">
        <v>67</v>
      </c>
      <c r="H279">
        <v>12131</v>
      </c>
      <c r="I279">
        <v>203792.91990055269</v>
      </c>
      <c r="J279">
        <v>215923.91990055269</v>
      </c>
      <c r="K279">
        <f>IFERROR(VLOOKUP(F279,'LEAID Match'!$A$2:$B$236,2,FALSE),"")</f>
        <v>2314818</v>
      </c>
    </row>
    <row r="280" spans="1:11" x14ac:dyDescent="0.2">
      <c r="A280">
        <f t="shared" si="4"/>
        <v>2314818</v>
      </c>
      <c r="B280">
        <v>2022</v>
      </c>
      <c r="C280" t="s">
        <v>642</v>
      </c>
      <c r="D280" t="s">
        <v>644</v>
      </c>
      <c r="E280" t="s">
        <v>646</v>
      </c>
      <c r="F280" t="s">
        <v>66</v>
      </c>
      <c r="G280" t="s">
        <v>67</v>
      </c>
      <c r="H280">
        <v>10867</v>
      </c>
      <c r="I280">
        <v>156430.16864882788</v>
      </c>
      <c r="J280">
        <v>167297.16864882788</v>
      </c>
      <c r="K280">
        <f>IFERROR(VLOOKUP(F280,'LEAID Match'!$A$2:$B$236,2,FALSE),"")</f>
        <v>2314818</v>
      </c>
    </row>
    <row r="281" spans="1:11" x14ac:dyDescent="0.2">
      <c r="A281">
        <f t="shared" si="4"/>
        <v>2305670</v>
      </c>
      <c r="B281">
        <v>2015</v>
      </c>
      <c r="C281" t="s">
        <v>642</v>
      </c>
      <c r="D281" t="s">
        <v>644</v>
      </c>
      <c r="E281" t="s">
        <v>646</v>
      </c>
      <c r="F281" t="s">
        <v>68</v>
      </c>
      <c r="G281" t="s">
        <v>69</v>
      </c>
      <c r="H281">
        <v>11326</v>
      </c>
      <c r="I281">
        <v>217160.65667190819</v>
      </c>
      <c r="J281">
        <v>228486.65667190819</v>
      </c>
      <c r="K281">
        <f>IFERROR(VLOOKUP(F281,'LEAID Match'!$A$2:$B$236,2,FALSE),"")</f>
        <v>2305670</v>
      </c>
    </row>
    <row r="282" spans="1:11" x14ac:dyDescent="0.2">
      <c r="A282">
        <f t="shared" si="4"/>
        <v>2305670</v>
      </c>
      <c r="B282">
        <v>2016</v>
      </c>
      <c r="C282" t="s">
        <v>642</v>
      </c>
      <c r="D282" t="s">
        <v>644</v>
      </c>
      <c r="E282" t="s">
        <v>646</v>
      </c>
      <c r="F282" s="1" t="s">
        <v>68</v>
      </c>
      <c r="G282" s="1" t="s">
        <v>69</v>
      </c>
      <c r="H282" s="22">
        <v>6047</v>
      </c>
      <c r="I282">
        <v>114920.82984933199</v>
      </c>
      <c r="J282">
        <v>120967.82984933199</v>
      </c>
      <c r="K282">
        <f>IFERROR(VLOOKUP(F282,'LEAID Match'!$A$2:$B$236,2,FALSE),"")</f>
        <v>2305670</v>
      </c>
    </row>
    <row r="283" spans="1:11" x14ac:dyDescent="0.2">
      <c r="A283">
        <f t="shared" si="4"/>
        <v>2305670</v>
      </c>
      <c r="B283">
        <v>2017</v>
      </c>
      <c r="C283" t="s">
        <v>642</v>
      </c>
      <c r="D283" t="s">
        <v>644</v>
      </c>
      <c r="E283" t="s">
        <v>646</v>
      </c>
      <c r="F283" t="s">
        <v>68</v>
      </c>
      <c r="G283" t="s">
        <v>69</v>
      </c>
      <c r="H283">
        <v>10653</v>
      </c>
      <c r="I283">
        <v>203124.99018000826</v>
      </c>
      <c r="J283">
        <v>213777.99018000826</v>
      </c>
      <c r="K283">
        <f>IFERROR(VLOOKUP(F283,'LEAID Match'!$A$2:$B$236,2,FALSE),"")</f>
        <v>2305670</v>
      </c>
    </row>
    <row r="284" spans="1:11" x14ac:dyDescent="0.2">
      <c r="A284">
        <f t="shared" si="4"/>
        <v>2305670</v>
      </c>
      <c r="B284">
        <v>2018</v>
      </c>
      <c r="C284" t="s">
        <v>642</v>
      </c>
      <c r="D284" t="s">
        <v>644</v>
      </c>
      <c r="E284" t="s">
        <v>646</v>
      </c>
      <c r="F284" t="s">
        <v>68</v>
      </c>
      <c r="G284" t="s">
        <v>69</v>
      </c>
      <c r="H284">
        <v>12558</v>
      </c>
      <c r="I284">
        <v>254541.79190802117</v>
      </c>
      <c r="J284">
        <v>267099.7919080212</v>
      </c>
      <c r="K284">
        <f>IFERROR(VLOOKUP(F284,'LEAID Match'!$A$2:$B$236,2,FALSE),"")</f>
        <v>2305670</v>
      </c>
    </row>
    <row r="285" spans="1:11" x14ac:dyDescent="0.2">
      <c r="A285">
        <f t="shared" si="4"/>
        <v>2305670</v>
      </c>
      <c r="B285">
        <v>2019</v>
      </c>
      <c r="C285" t="s">
        <v>642</v>
      </c>
      <c r="D285" t="s">
        <v>644</v>
      </c>
      <c r="E285" t="s">
        <v>646</v>
      </c>
      <c r="F285" t="s">
        <v>68</v>
      </c>
      <c r="G285" t="s">
        <v>69</v>
      </c>
      <c r="H285">
        <v>8211</v>
      </c>
      <c r="I285">
        <v>175912.76290377215</v>
      </c>
      <c r="J285">
        <v>184123.76290377215</v>
      </c>
      <c r="K285">
        <f>IFERROR(VLOOKUP(F285,'LEAID Match'!$A$2:$B$236,2,FALSE),"")</f>
        <v>2305670</v>
      </c>
    </row>
    <row r="286" spans="1:11" x14ac:dyDescent="0.2">
      <c r="A286">
        <f t="shared" si="4"/>
        <v>2305670</v>
      </c>
      <c r="B286">
        <v>2020</v>
      </c>
      <c r="C286" t="s">
        <v>642</v>
      </c>
      <c r="D286" t="s">
        <v>644</v>
      </c>
      <c r="E286" t="s">
        <v>646</v>
      </c>
      <c r="F286" t="s">
        <v>68</v>
      </c>
      <c r="G286" t="s">
        <v>69</v>
      </c>
      <c r="H286">
        <v>2472</v>
      </c>
      <c r="I286">
        <v>55080.923694104735</v>
      </c>
      <c r="J286">
        <v>57552.923694104735</v>
      </c>
      <c r="K286">
        <f>IFERROR(VLOOKUP(F286,'LEAID Match'!$A$2:$B$236,2,FALSE),"")</f>
        <v>2305670</v>
      </c>
    </row>
    <row r="287" spans="1:11" x14ac:dyDescent="0.2">
      <c r="A287">
        <f t="shared" si="4"/>
        <v>2305670</v>
      </c>
      <c r="B287">
        <v>2021</v>
      </c>
      <c r="C287" t="s">
        <v>642</v>
      </c>
      <c r="D287" t="s">
        <v>644</v>
      </c>
      <c r="E287" t="s">
        <v>646</v>
      </c>
      <c r="F287" t="s">
        <v>68</v>
      </c>
      <c r="G287" t="s">
        <v>69</v>
      </c>
      <c r="H287">
        <v>50376</v>
      </c>
      <c r="I287">
        <v>846284.07657326211</v>
      </c>
      <c r="J287">
        <v>896660.07657326211</v>
      </c>
      <c r="K287">
        <f>IFERROR(VLOOKUP(F287,'LEAID Match'!$A$2:$B$236,2,FALSE),"")</f>
        <v>2305670</v>
      </c>
    </row>
    <row r="288" spans="1:11" x14ac:dyDescent="0.2">
      <c r="A288">
        <f t="shared" si="4"/>
        <v>2305670</v>
      </c>
      <c r="B288">
        <v>2022</v>
      </c>
      <c r="C288" t="s">
        <v>642</v>
      </c>
      <c r="D288" t="s">
        <v>644</v>
      </c>
      <c r="E288" t="s">
        <v>646</v>
      </c>
      <c r="F288" t="s">
        <v>68</v>
      </c>
      <c r="G288" t="s">
        <v>69</v>
      </c>
      <c r="H288">
        <v>22762</v>
      </c>
      <c r="I288">
        <v>327658.36926333123</v>
      </c>
      <c r="J288">
        <v>350420.36926333123</v>
      </c>
      <c r="K288">
        <f>IFERROR(VLOOKUP(F288,'LEAID Match'!$A$2:$B$236,2,FALSE),"")</f>
        <v>2305670</v>
      </c>
    </row>
    <row r="289" spans="1:11" x14ac:dyDescent="0.2">
      <c r="A289">
        <f t="shared" si="4"/>
        <v>2300008</v>
      </c>
      <c r="B289">
        <v>2015</v>
      </c>
      <c r="C289" t="s">
        <v>642</v>
      </c>
      <c r="D289" t="s">
        <v>644</v>
      </c>
      <c r="E289" t="s">
        <v>646</v>
      </c>
      <c r="F289" t="s">
        <v>70</v>
      </c>
      <c r="G289" t="s">
        <v>71</v>
      </c>
      <c r="H289">
        <v>5236</v>
      </c>
      <c r="I289">
        <v>100393.18367774248</v>
      </c>
      <c r="J289">
        <v>105629.18367774248</v>
      </c>
      <c r="K289">
        <f>IFERROR(VLOOKUP(F289,'LEAID Match'!$A$2:$B$236,2,FALSE),"")</f>
        <v>2300008</v>
      </c>
    </row>
    <row r="290" spans="1:11" x14ac:dyDescent="0.2">
      <c r="A290">
        <f t="shared" si="4"/>
        <v>2300008</v>
      </c>
      <c r="B290">
        <v>2016</v>
      </c>
      <c r="C290" t="s">
        <v>642</v>
      </c>
      <c r="D290" t="s">
        <v>644</v>
      </c>
      <c r="E290" t="s">
        <v>646</v>
      </c>
      <c r="F290" s="1" t="s">
        <v>70</v>
      </c>
      <c r="G290" s="1" t="s">
        <v>71</v>
      </c>
      <c r="H290" s="22">
        <v>2276</v>
      </c>
      <c r="I290">
        <v>43254.474737403609</v>
      </c>
      <c r="J290">
        <v>45530.474737403609</v>
      </c>
      <c r="K290">
        <f>IFERROR(VLOOKUP(F290,'LEAID Match'!$A$2:$B$236,2,FALSE),"")</f>
        <v>2300008</v>
      </c>
    </row>
    <row r="291" spans="1:11" x14ac:dyDescent="0.2">
      <c r="A291">
        <f t="shared" si="4"/>
        <v>2300008</v>
      </c>
      <c r="B291">
        <v>2017</v>
      </c>
      <c r="C291" t="s">
        <v>642</v>
      </c>
      <c r="D291" t="s">
        <v>644</v>
      </c>
      <c r="E291" t="s">
        <v>646</v>
      </c>
      <c r="F291" t="s">
        <v>70</v>
      </c>
      <c r="G291" t="s">
        <v>71</v>
      </c>
      <c r="H291">
        <v>2535</v>
      </c>
      <c r="I291">
        <v>48335.853760097714</v>
      </c>
      <c r="J291">
        <v>50870.853760097714</v>
      </c>
      <c r="K291">
        <f>IFERROR(VLOOKUP(F291,'LEAID Match'!$A$2:$B$236,2,FALSE),"")</f>
        <v>2300008</v>
      </c>
    </row>
    <row r="292" spans="1:11" x14ac:dyDescent="0.2">
      <c r="A292">
        <f t="shared" si="4"/>
        <v>2300008</v>
      </c>
      <c r="B292">
        <v>2018</v>
      </c>
      <c r="C292" t="s">
        <v>642</v>
      </c>
      <c r="D292" t="s">
        <v>644</v>
      </c>
      <c r="E292" t="s">
        <v>646</v>
      </c>
      <c r="F292" t="s">
        <v>70</v>
      </c>
      <c r="G292" t="s">
        <v>71</v>
      </c>
      <c r="H292">
        <v>2454</v>
      </c>
      <c r="I292">
        <v>49740.84705703806</v>
      </c>
      <c r="J292">
        <v>52194.84705703806</v>
      </c>
      <c r="K292">
        <f>IFERROR(VLOOKUP(F292,'LEAID Match'!$A$2:$B$236,2,FALSE),"")</f>
        <v>2300008</v>
      </c>
    </row>
    <row r="293" spans="1:11" x14ac:dyDescent="0.2">
      <c r="A293">
        <f t="shared" si="4"/>
        <v>2300008</v>
      </c>
      <c r="B293">
        <v>2019</v>
      </c>
      <c r="C293" t="s">
        <v>642</v>
      </c>
      <c r="D293" t="s">
        <v>644</v>
      </c>
      <c r="E293" t="s">
        <v>646</v>
      </c>
      <c r="F293" t="s">
        <v>70</v>
      </c>
      <c r="G293" t="s">
        <v>71</v>
      </c>
      <c r="H293">
        <v>2184</v>
      </c>
      <c r="I293">
        <v>46790.095503816636</v>
      </c>
      <c r="J293">
        <v>48974.095503816636</v>
      </c>
      <c r="K293">
        <f>IFERROR(VLOOKUP(F293,'LEAID Match'!$A$2:$B$236,2,FALSE),"")</f>
        <v>2300008</v>
      </c>
    </row>
    <row r="294" spans="1:11" x14ac:dyDescent="0.2">
      <c r="A294">
        <f t="shared" si="4"/>
        <v>2300008</v>
      </c>
      <c r="B294">
        <v>2020</v>
      </c>
      <c r="C294" t="s">
        <v>642</v>
      </c>
      <c r="D294" t="s">
        <v>644</v>
      </c>
      <c r="E294" t="s">
        <v>646</v>
      </c>
      <c r="F294" t="s">
        <v>70</v>
      </c>
      <c r="G294" t="s">
        <v>71</v>
      </c>
      <c r="H294">
        <v>2266</v>
      </c>
      <c r="I294">
        <v>50490.846719596004</v>
      </c>
      <c r="J294">
        <v>52756.846719596004</v>
      </c>
      <c r="K294">
        <f>IFERROR(VLOOKUP(F294,'LEAID Match'!$A$2:$B$236,2,FALSE),"")</f>
        <v>2300008</v>
      </c>
    </row>
    <row r="295" spans="1:11" x14ac:dyDescent="0.2">
      <c r="A295">
        <f t="shared" si="4"/>
        <v>2300008</v>
      </c>
      <c r="B295">
        <v>2021</v>
      </c>
      <c r="C295" t="s">
        <v>642</v>
      </c>
      <c r="D295" t="s">
        <v>644</v>
      </c>
      <c r="E295" t="s">
        <v>646</v>
      </c>
      <c r="F295" t="s">
        <v>70</v>
      </c>
      <c r="G295" t="s">
        <v>71</v>
      </c>
      <c r="H295">
        <v>3091</v>
      </c>
      <c r="I295">
        <v>51926.792136889657</v>
      </c>
      <c r="J295">
        <v>55017.792136889657</v>
      </c>
      <c r="K295">
        <f>IFERROR(VLOOKUP(F295,'LEAID Match'!$A$2:$B$236,2,FALSE),"")</f>
        <v>2300008</v>
      </c>
    </row>
    <row r="296" spans="1:11" x14ac:dyDescent="0.2">
      <c r="A296">
        <f t="shared" si="4"/>
        <v>2300008</v>
      </c>
      <c r="B296">
        <v>2022</v>
      </c>
      <c r="C296" t="s">
        <v>642</v>
      </c>
      <c r="D296" t="s">
        <v>644</v>
      </c>
      <c r="E296" t="s">
        <v>646</v>
      </c>
      <c r="F296" t="s">
        <v>70</v>
      </c>
      <c r="G296" t="s">
        <v>71</v>
      </c>
      <c r="H296">
        <v>3168</v>
      </c>
      <c r="I296">
        <v>45603.273606283859</v>
      </c>
      <c r="J296">
        <v>48771.273606283859</v>
      </c>
      <c r="K296">
        <f>IFERROR(VLOOKUP(F296,'LEAID Match'!$A$2:$B$236,2,FALSE),"")</f>
        <v>2300008</v>
      </c>
    </row>
    <row r="297" spans="1:11" x14ac:dyDescent="0.2">
      <c r="A297">
        <f t="shared" si="4"/>
        <v>2306000</v>
      </c>
      <c r="B297">
        <v>2015</v>
      </c>
      <c r="C297" t="s">
        <v>642</v>
      </c>
      <c r="D297" t="s">
        <v>644</v>
      </c>
      <c r="E297" t="s">
        <v>646</v>
      </c>
      <c r="F297" t="s">
        <v>72</v>
      </c>
      <c r="G297" t="s">
        <v>73</v>
      </c>
      <c r="H297">
        <v>9927</v>
      </c>
      <c r="I297">
        <v>190336.73307275583</v>
      </c>
      <c r="J297">
        <v>200263.73307275583</v>
      </c>
      <c r="K297">
        <f>IFERROR(VLOOKUP(F297,'LEAID Match'!$A$2:$B$236,2,FALSE),"")</f>
        <v>2306000</v>
      </c>
    </row>
    <row r="298" spans="1:11" x14ac:dyDescent="0.2">
      <c r="A298">
        <f t="shared" si="4"/>
        <v>2306000</v>
      </c>
      <c r="B298">
        <v>2016</v>
      </c>
      <c r="C298" t="s">
        <v>642</v>
      </c>
      <c r="D298" t="s">
        <v>644</v>
      </c>
      <c r="E298" t="s">
        <v>646</v>
      </c>
      <c r="F298" s="1" t="s">
        <v>72</v>
      </c>
      <c r="G298" s="1" t="s">
        <v>73</v>
      </c>
      <c r="H298" s="22">
        <v>6722</v>
      </c>
      <c r="I298">
        <v>127748.93637294688</v>
      </c>
      <c r="J298">
        <v>134470.93637294689</v>
      </c>
      <c r="K298">
        <f>IFERROR(VLOOKUP(F298,'LEAID Match'!$A$2:$B$236,2,FALSE),"")</f>
        <v>2306000</v>
      </c>
    </row>
    <row r="299" spans="1:11" x14ac:dyDescent="0.2">
      <c r="A299">
        <f t="shared" si="4"/>
        <v>2306000</v>
      </c>
      <c r="B299">
        <v>2017</v>
      </c>
      <c r="C299" t="s">
        <v>642</v>
      </c>
      <c r="D299" t="s">
        <v>644</v>
      </c>
      <c r="E299" t="s">
        <v>646</v>
      </c>
      <c r="F299" t="s">
        <v>72</v>
      </c>
      <c r="G299" t="s">
        <v>73</v>
      </c>
      <c r="H299">
        <v>6933</v>
      </c>
      <c r="I299">
        <v>132194.26986933235</v>
      </c>
      <c r="J299">
        <v>139127.26986933235</v>
      </c>
      <c r="K299">
        <f>IFERROR(VLOOKUP(F299,'LEAID Match'!$A$2:$B$236,2,FALSE),"")</f>
        <v>2306000</v>
      </c>
    </row>
    <row r="300" spans="1:11" x14ac:dyDescent="0.2">
      <c r="A300">
        <f t="shared" si="4"/>
        <v>2306000</v>
      </c>
      <c r="B300">
        <v>2018</v>
      </c>
      <c r="C300" t="s">
        <v>642</v>
      </c>
      <c r="D300" t="s">
        <v>644</v>
      </c>
      <c r="E300" t="s">
        <v>646</v>
      </c>
      <c r="F300" t="s">
        <v>72</v>
      </c>
      <c r="G300" t="s">
        <v>73</v>
      </c>
      <c r="H300">
        <v>7970</v>
      </c>
      <c r="I300">
        <v>161546.27181931271</v>
      </c>
      <c r="J300">
        <v>169516.27181931271</v>
      </c>
      <c r="K300">
        <f>IFERROR(VLOOKUP(F300,'LEAID Match'!$A$2:$B$236,2,FALSE),"")</f>
        <v>2306000</v>
      </c>
    </row>
    <row r="301" spans="1:11" x14ac:dyDescent="0.2">
      <c r="A301">
        <f t="shared" si="4"/>
        <v>2306000</v>
      </c>
      <c r="B301">
        <v>2019</v>
      </c>
      <c r="C301" t="s">
        <v>642</v>
      </c>
      <c r="D301" t="s">
        <v>644</v>
      </c>
      <c r="E301" t="s">
        <v>646</v>
      </c>
      <c r="F301" t="s">
        <v>72</v>
      </c>
      <c r="G301" t="s">
        <v>73</v>
      </c>
      <c r="H301">
        <v>8316</v>
      </c>
      <c r="I301">
        <v>178162.28672607103</v>
      </c>
      <c r="J301">
        <v>186478.28672607103</v>
      </c>
      <c r="K301">
        <f>IFERROR(VLOOKUP(F301,'LEAID Match'!$A$2:$B$236,2,FALSE),"")</f>
        <v>2306000</v>
      </c>
    </row>
    <row r="302" spans="1:11" x14ac:dyDescent="0.2">
      <c r="A302">
        <f t="shared" si="4"/>
        <v>2306000</v>
      </c>
      <c r="B302">
        <v>2020</v>
      </c>
      <c r="C302" t="s">
        <v>642</v>
      </c>
      <c r="D302" t="s">
        <v>644</v>
      </c>
      <c r="E302" t="s">
        <v>646</v>
      </c>
      <c r="F302" t="s">
        <v>72</v>
      </c>
      <c r="G302" t="s">
        <v>73</v>
      </c>
      <c r="H302">
        <v>8343</v>
      </c>
      <c r="I302">
        <v>185898.1174676035</v>
      </c>
      <c r="J302">
        <v>194241.1174676035</v>
      </c>
      <c r="K302">
        <f>IFERROR(VLOOKUP(F302,'LEAID Match'!$A$2:$B$236,2,FALSE),"")</f>
        <v>2306000</v>
      </c>
    </row>
    <row r="303" spans="1:11" x14ac:dyDescent="0.2">
      <c r="A303">
        <f t="shared" si="4"/>
        <v>2306000</v>
      </c>
      <c r="B303">
        <v>2021</v>
      </c>
      <c r="C303" t="s">
        <v>642</v>
      </c>
      <c r="D303" t="s">
        <v>644</v>
      </c>
      <c r="E303" t="s">
        <v>646</v>
      </c>
      <c r="F303" t="s">
        <v>72</v>
      </c>
      <c r="G303" t="s">
        <v>73</v>
      </c>
      <c r="H303">
        <v>8500</v>
      </c>
      <c r="I303">
        <v>142794.47853884246</v>
      </c>
      <c r="J303">
        <v>151294.47853884246</v>
      </c>
      <c r="K303">
        <f>IFERROR(VLOOKUP(F303,'LEAID Match'!$A$2:$B$236,2,FALSE),"")</f>
        <v>2306000</v>
      </c>
    </row>
    <row r="304" spans="1:11" x14ac:dyDescent="0.2">
      <c r="A304">
        <f t="shared" si="4"/>
        <v>2306000</v>
      </c>
      <c r="B304">
        <v>2022</v>
      </c>
      <c r="C304" t="s">
        <v>642</v>
      </c>
      <c r="D304" t="s">
        <v>644</v>
      </c>
      <c r="E304" t="s">
        <v>646</v>
      </c>
      <c r="F304" t="s">
        <v>72</v>
      </c>
      <c r="G304" t="s">
        <v>73</v>
      </c>
      <c r="H304">
        <v>14252</v>
      </c>
      <c r="I304">
        <v>205157.15133736035</v>
      </c>
      <c r="J304">
        <v>219409.15133736035</v>
      </c>
      <c r="K304">
        <f>IFERROR(VLOOKUP(F304,'LEAID Match'!$A$2:$B$236,2,FALSE),"")</f>
        <v>2306000</v>
      </c>
    </row>
    <row r="305" spans="1:11" x14ac:dyDescent="0.2">
      <c r="A305">
        <f t="shared" si="4"/>
        <v>2306060</v>
      </c>
      <c r="B305">
        <v>2015</v>
      </c>
      <c r="C305" t="s">
        <v>642</v>
      </c>
      <c r="D305" t="s">
        <v>644</v>
      </c>
      <c r="E305" t="s">
        <v>646</v>
      </c>
      <c r="F305" t="s">
        <v>74</v>
      </c>
      <c r="G305" t="s">
        <v>75</v>
      </c>
      <c r="H305">
        <v>52421</v>
      </c>
      <c r="I305">
        <v>1005101.4288714549</v>
      </c>
      <c r="J305">
        <v>1057522.4288714549</v>
      </c>
      <c r="K305">
        <f>IFERROR(VLOOKUP(F305,'LEAID Match'!$A$2:$B$236,2,FALSE),"")</f>
        <v>2306060</v>
      </c>
    </row>
    <row r="306" spans="1:11" x14ac:dyDescent="0.2">
      <c r="A306">
        <f t="shared" si="4"/>
        <v>2306060</v>
      </c>
      <c r="B306">
        <v>2016</v>
      </c>
      <c r="C306" t="s">
        <v>642</v>
      </c>
      <c r="D306" t="s">
        <v>644</v>
      </c>
      <c r="E306" t="s">
        <v>646</v>
      </c>
      <c r="F306" s="1" t="s">
        <v>74</v>
      </c>
      <c r="G306" s="1" t="s">
        <v>75</v>
      </c>
      <c r="H306" s="22">
        <v>41508</v>
      </c>
      <c r="I306">
        <v>788843.03049215686</v>
      </c>
      <c r="J306">
        <v>830351.03049215686</v>
      </c>
      <c r="K306">
        <f>IFERROR(VLOOKUP(F306,'LEAID Match'!$A$2:$B$236,2,FALSE),"")</f>
        <v>2306060</v>
      </c>
    </row>
    <row r="307" spans="1:11" x14ac:dyDescent="0.2">
      <c r="A307">
        <f t="shared" si="4"/>
        <v>2306060</v>
      </c>
      <c r="B307">
        <v>2017</v>
      </c>
      <c r="C307" t="s">
        <v>642</v>
      </c>
      <c r="D307" t="s">
        <v>644</v>
      </c>
      <c r="E307" t="s">
        <v>646</v>
      </c>
      <c r="F307" t="s">
        <v>74</v>
      </c>
      <c r="G307" t="s">
        <v>75</v>
      </c>
      <c r="H307">
        <v>41590</v>
      </c>
      <c r="I307">
        <v>793013.08003253012</v>
      </c>
      <c r="J307">
        <v>834603.08003253012</v>
      </c>
      <c r="K307">
        <f>IFERROR(VLOOKUP(F307,'LEAID Match'!$A$2:$B$236,2,FALSE),"")</f>
        <v>2306060</v>
      </c>
    </row>
    <row r="308" spans="1:11" x14ac:dyDescent="0.2">
      <c r="A308">
        <f t="shared" si="4"/>
        <v>2306060</v>
      </c>
      <c r="B308">
        <v>2018</v>
      </c>
      <c r="C308" t="s">
        <v>642</v>
      </c>
      <c r="D308" t="s">
        <v>644</v>
      </c>
      <c r="E308" t="s">
        <v>646</v>
      </c>
      <c r="F308" t="s">
        <v>74</v>
      </c>
      <c r="G308" t="s">
        <v>75</v>
      </c>
      <c r="H308">
        <v>40533</v>
      </c>
      <c r="I308">
        <v>821575.28678195761</v>
      </c>
      <c r="J308">
        <v>862108.28678195761</v>
      </c>
      <c r="K308">
        <f>IFERROR(VLOOKUP(F308,'LEAID Match'!$A$2:$B$236,2,FALSE),"")</f>
        <v>2306060</v>
      </c>
    </row>
    <row r="309" spans="1:11" x14ac:dyDescent="0.2">
      <c r="A309">
        <f t="shared" si="4"/>
        <v>2306060</v>
      </c>
      <c r="B309">
        <v>2019</v>
      </c>
      <c r="C309" t="s">
        <v>642</v>
      </c>
      <c r="D309" t="s">
        <v>644</v>
      </c>
      <c r="E309" t="s">
        <v>646</v>
      </c>
      <c r="F309" t="s">
        <v>74</v>
      </c>
      <c r="G309" t="s">
        <v>75</v>
      </c>
      <c r="H309">
        <v>40776</v>
      </c>
      <c r="I309">
        <v>873586.50836246659</v>
      </c>
      <c r="J309">
        <v>914362.50836246659</v>
      </c>
      <c r="K309">
        <f>IFERROR(VLOOKUP(F309,'LEAID Match'!$A$2:$B$236,2,FALSE),"")</f>
        <v>2306060</v>
      </c>
    </row>
    <row r="310" spans="1:11" x14ac:dyDescent="0.2">
      <c r="A310">
        <f t="shared" si="4"/>
        <v>2306060</v>
      </c>
      <c r="B310">
        <v>2020</v>
      </c>
      <c r="C310" t="s">
        <v>642</v>
      </c>
      <c r="D310" t="s">
        <v>644</v>
      </c>
      <c r="E310" t="s">
        <v>646</v>
      </c>
      <c r="F310" t="s">
        <v>74</v>
      </c>
      <c r="G310" t="s">
        <v>75</v>
      </c>
      <c r="H310">
        <v>41687</v>
      </c>
      <c r="I310">
        <v>928866.69338031719</v>
      </c>
      <c r="J310">
        <v>970553.69338031719</v>
      </c>
      <c r="K310">
        <f>IFERROR(VLOOKUP(F310,'LEAID Match'!$A$2:$B$236,2,FALSE),"")</f>
        <v>2306060</v>
      </c>
    </row>
    <row r="311" spans="1:11" x14ac:dyDescent="0.2">
      <c r="A311">
        <f t="shared" si="4"/>
        <v>2306060</v>
      </c>
      <c r="B311">
        <v>2021</v>
      </c>
      <c r="C311" t="s">
        <v>642</v>
      </c>
      <c r="D311" t="s">
        <v>644</v>
      </c>
      <c r="E311" t="s">
        <v>646</v>
      </c>
      <c r="F311" t="s">
        <v>74</v>
      </c>
      <c r="G311" t="s">
        <v>75</v>
      </c>
      <c r="H311">
        <v>47795</v>
      </c>
      <c r="I311">
        <v>802924.95314870297</v>
      </c>
      <c r="J311">
        <v>850719.95314870297</v>
      </c>
      <c r="K311">
        <f>IFERROR(VLOOKUP(F311,'LEAID Match'!$A$2:$B$236,2,FALSE),"")</f>
        <v>2306060</v>
      </c>
    </row>
    <row r="312" spans="1:11" x14ac:dyDescent="0.2">
      <c r="A312">
        <f t="shared" si="4"/>
        <v>2306060</v>
      </c>
      <c r="B312">
        <v>2022</v>
      </c>
      <c r="C312" t="s">
        <v>642</v>
      </c>
      <c r="D312" t="s">
        <v>644</v>
      </c>
      <c r="E312" t="s">
        <v>646</v>
      </c>
      <c r="F312" t="s">
        <v>74</v>
      </c>
      <c r="G312" t="s">
        <v>75</v>
      </c>
      <c r="H312">
        <v>107817</v>
      </c>
      <c r="I312">
        <v>1552022.7747502232</v>
      </c>
      <c r="J312">
        <v>1659839.7747502232</v>
      </c>
      <c r="K312">
        <f>IFERROR(VLOOKUP(F312,'LEAID Match'!$A$2:$B$236,2,FALSE),"")</f>
        <v>2306060</v>
      </c>
    </row>
    <row r="313" spans="1:11" x14ac:dyDescent="0.2">
      <c r="A313">
        <f t="shared" si="4"/>
        <v>2306260</v>
      </c>
      <c r="B313">
        <v>2015</v>
      </c>
      <c r="C313" t="s">
        <v>642</v>
      </c>
      <c r="D313" t="s">
        <v>644</v>
      </c>
      <c r="E313" t="s">
        <v>646</v>
      </c>
      <c r="F313" t="s">
        <v>76</v>
      </c>
      <c r="G313" t="s">
        <v>77</v>
      </c>
      <c r="H313">
        <v>6164</v>
      </c>
      <c r="I313">
        <v>118186.32241971057</v>
      </c>
      <c r="J313">
        <v>124350.32241971057</v>
      </c>
      <c r="K313">
        <f>IFERROR(VLOOKUP(F313,'LEAID Match'!$A$2:$B$236,2,FALSE),"")</f>
        <v>2306260</v>
      </c>
    </row>
    <row r="314" spans="1:11" x14ac:dyDescent="0.2">
      <c r="A314">
        <f t="shared" si="4"/>
        <v>2306260</v>
      </c>
      <c r="B314">
        <v>2016</v>
      </c>
      <c r="C314" t="s">
        <v>642</v>
      </c>
      <c r="D314" t="s">
        <v>644</v>
      </c>
      <c r="E314" t="s">
        <v>646</v>
      </c>
      <c r="F314" s="1" t="s">
        <v>76</v>
      </c>
      <c r="G314" s="1" t="s">
        <v>77</v>
      </c>
      <c r="H314" s="22">
        <v>5852</v>
      </c>
      <c r="I314">
        <v>111214.93240917659</v>
      </c>
      <c r="J314">
        <v>117066.93240917659</v>
      </c>
      <c r="K314">
        <f>IFERROR(VLOOKUP(F314,'LEAID Match'!$A$2:$B$236,2,FALSE),"")</f>
        <v>2306260</v>
      </c>
    </row>
    <row r="315" spans="1:11" x14ac:dyDescent="0.2">
      <c r="A315">
        <f t="shared" si="4"/>
        <v>2306260</v>
      </c>
      <c r="B315">
        <v>2017</v>
      </c>
      <c r="C315" t="s">
        <v>642</v>
      </c>
      <c r="D315" t="s">
        <v>644</v>
      </c>
      <c r="E315" t="s">
        <v>646</v>
      </c>
      <c r="F315" t="s">
        <v>76</v>
      </c>
      <c r="G315" t="s">
        <v>77</v>
      </c>
      <c r="H315">
        <v>6212</v>
      </c>
      <c r="I315">
        <v>118446.67595965561</v>
      </c>
      <c r="J315">
        <v>124658.67595965561</v>
      </c>
      <c r="K315">
        <f>IFERROR(VLOOKUP(F315,'LEAID Match'!$A$2:$B$236,2,FALSE),"")</f>
        <v>2306260</v>
      </c>
    </row>
    <row r="316" spans="1:11" x14ac:dyDescent="0.2">
      <c r="A316">
        <f t="shared" si="4"/>
        <v>2306260</v>
      </c>
      <c r="B316">
        <v>2018</v>
      </c>
      <c r="C316" t="s">
        <v>642</v>
      </c>
      <c r="D316" t="s">
        <v>644</v>
      </c>
      <c r="E316" t="s">
        <v>646</v>
      </c>
      <c r="F316" t="s">
        <v>76</v>
      </c>
      <c r="G316" t="s">
        <v>77</v>
      </c>
      <c r="H316">
        <v>9078</v>
      </c>
      <c r="I316">
        <v>184004.64938214814</v>
      </c>
      <c r="J316">
        <v>193082.64938214814</v>
      </c>
      <c r="K316">
        <f>IFERROR(VLOOKUP(F316,'LEAID Match'!$A$2:$B$236,2,FALSE),"")</f>
        <v>2306260</v>
      </c>
    </row>
    <row r="317" spans="1:11" x14ac:dyDescent="0.2">
      <c r="A317">
        <f t="shared" si="4"/>
        <v>2306260</v>
      </c>
      <c r="B317">
        <v>2019</v>
      </c>
      <c r="C317" t="s">
        <v>642</v>
      </c>
      <c r="D317" t="s">
        <v>644</v>
      </c>
      <c r="E317" t="s">
        <v>646</v>
      </c>
      <c r="F317" t="s">
        <v>76</v>
      </c>
      <c r="G317" t="s">
        <v>77</v>
      </c>
      <c r="H317">
        <v>9444</v>
      </c>
      <c r="I317">
        <v>202328.59978848184</v>
      </c>
      <c r="J317">
        <v>211772.59978848184</v>
      </c>
      <c r="K317">
        <f>IFERROR(VLOOKUP(F317,'LEAID Match'!$A$2:$B$236,2,FALSE),"")</f>
        <v>2306260</v>
      </c>
    </row>
    <row r="318" spans="1:11" x14ac:dyDescent="0.2">
      <c r="A318">
        <f t="shared" si="4"/>
        <v>2306260</v>
      </c>
      <c r="B318">
        <v>2020</v>
      </c>
      <c r="C318" t="s">
        <v>642</v>
      </c>
      <c r="D318" t="s">
        <v>644</v>
      </c>
      <c r="E318" t="s">
        <v>646</v>
      </c>
      <c r="F318" t="s">
        <v>76</v>
      </c>
      <c r="G318" t="s">
        <v>77</v>
      </c>
      <c r="H318">
        <v>7729</v>
      </c>
      <c r="I318">
        <v>172217.01425232019</v>
      </c>
      <c r="J318">
        <v>179946.01425232019</v>
      </c>
      <c r="K318">
        <f>IFERROR(VLOOKUP(F318,'LEAID Match'!$A$2:$B$236,2,FALSE),"")</f>
        <v>2306260</v>
      </c>
    </row>
    <row r="319" spans="1:11" x14ac:dyDescent="0.2">
      <c r="A319">
        <f t="shared" si="4"/>
        <v>2306260</v>
      </c>
      <c r="B319">
        <v>2021</v>
      </c>
      <c r="C319" t="s">
        <v>642</v>
      </c>
      <c r="D319" t="s">
        <v>644</v>
      </c>
      <c r="E319" t="s">
        <v>646</v>
      </c>
      <c r="F319" t="s">
        <v>76</v>
      </c>
      <c r="G319" t="s">
        <v>77</v>
      </c>
      <c r="H319">
        <v>22993</v>
      </c>
      <c r="I319">
        <v>386267.46412277705</v>
      </c>
      <c r="J319">
        <v>409260.46412277705</v>
      </c>
      <c r="K319">
        <f>IFERROR(VLOOKUP(F319,'LEAID Match'!$A$2:$B$236,2,FALSE),"")</f>
        <v>2306260</v>
      </c>
    </row>
    <row r="320" spans="1:11" x14ac:dyDescent="0.2">
      <c r="A320">
        <f t="shared" si="4"/>
        <v>2306260</v>
      </c>
      <c r="B320">
        <v>2022</v>
      </c>
      <c r="C320" t="s">
        <v>642</v>
      </c>
      <c r="D320" t="s">
        <v>644</v>
      </c>
      <c r="E320" t="s">
        <v>646</v>
      </c>
      <c r="F320" t="s">
        <v>76</v>
      </c>
      <c r="G320" t="s">
        <v>77</v>
      </c>
      <c r="H320">
        <v>22012</v>
      </c>
      <c r="I320">
        <v>316862.13971638901</v>
      </c>
      <c r="J320">
        <v>338874.13971638901</v>
      </c>
      <c r="K320">
        <f>IFERROR(VLOOKUP(F320,'LEAID Match'!$A$2:$B$236,2,FALSE),"")</f>
        <v>2306260</v>
      </c>
    </row>
    <row r="321" spans="1:11" x14ac:dyDescent="0.2">
      <c r="A321">
        <f t="shared" si="4"/>
        <v>2306510</v>
      </c>
      <c r="B321">
        <v>2015</v>
      </c>
      <c r="C321" t="s">
        <v>642</v>
      </c>
      <c r="D321" t="s">
        <v>644</v>
      </c>
      <c r="E321" t="s">
        <v>646</v>
      </c>
      <c r="F321" t="s">
        <v>78</v>
      </c>
      <c r="G321" t="s">
        <v>79</v>
      </c>
      <c r="H321">
        <v>24319</v>
      </c>
      <c r="I321">
        <v>466283.77270034741</v>
      </c>
      <c r="J321">
        <v>490602.77270034741</v>
      </c>
      <c r="K321">
        <f>IFERROR(VLOOKUP(F321,'LEAID Match'!$A$2:$B$236,2,FALSE),"")</f>
        <v>2306510</v>
      </c>
    </row>
    <row r="322" spans="1:11" x14ac:dyDescent="0.2">
      <c r="A322">
        <f t="shared" si="4"/>
        <v>2306510</v>
      </c>
      <c r="B322">
        <v>2016</v>
      </c>
      <c r="C322" t="s">
        <v>642</v>
      </c>
      <c r="D322" t="s">
        <v>644</v>
      </c>
      <c r="E322" t="s">
        <v>646</v>
      </c>
      <c r="F322" s="1" t="s">
        <v>78</v>
      </c>
      <c r="G322" s="1" t="s">
        <v>79</v>
      </c>
      <c r="H322" s="22">
        <v>18044</v>
      </c>
      <c r="I322">
        <v>342919.04312904691</v>
      </c>
      <c r="J322">
        <v>360963.04312904691</v>
      </c>
      <c r="K322">
        <f>IFERROR(VLOOKUP(F322,'LEAID Match'!$A$2:$B$236,2,FALSE),"")</f>
        <v>2306510</v>
      </c>
    </row>
    <row r="323" spans="1:11" x14ac:dyDescent="0.2">
      <c r="A323">
        <f t="shared" ref="A323:A386" si="5">K323</f>
        <v>2306510</v>
      </c>
      <c r="B323">
        <v>2017</v>
      </c>
      <c r="C323" t="s">
        <v>642</v>
      </c>
      <c r="D323" t="s">
        <v>644</v>
      </c>
      <c r="E323" t="s">
        <v>646</v>
      </c>
      <c r="F323" t="s">
        <v>78</v>
      </c>
      <c r="G323" t="s">
        <v>79</v>
      </c>
      <c r="H323">
        <v>18347</v>
      </c>
      <c r="I323">
        <v>349829.54987633636</v>
      </c>
      <c r="J323">
        <v>368176.54987633636</v>
      </c>
      <c r="K323">
        <f>IFERROR(VLOOKUP(F323,'LEAID Match'!$A$2:$B$236,2,FALSE),"")</f>
        <v>2306510</v>
      </c>
    </row>
    <row r="324" spans="1:11" x14ac:dyDescent="0.2">
      <c r="A324">
        <f t="shared" si="5"/>
        <v>2306510</v>
      </c>
      <c r="B324">
        <v>2018</v>
      </c>
      <c r="C324" t="s">
        <v>642</v>
      </c>
      <c r="D324" t="s">
        <v>644</v>
      </c>
      <c r="E324" t="s">
        <v>646</v>
      </c>
      <c r="F324" t="s">
        <v>78</v>
      </c>
      <c r="G324" t="s">
        <v>79</v>
      </c>
      <c r="H324">
        <v>23259</v>
      </c>
      <c r="I324">
        <v>471443.50517508079</v>
      </c>
      <c r="J324">
        <v>494702.50517508079</v>
      </c>
      <c r="K324">
        <f>IFERROR(VLOOKUP(F324,'LEAID Match'!$A$2:$B$236,2,FALSE),"")</f>
        <v>2306510</v>
      </c>
    </row>
    <row r="325" spans="1:11" x14ac:dyDescent="0.2">
      <c r="A325">
        <f t="shared" si="5"/>
        <v>2306510</v>
      </c>
      <c r="B325">
        <v>2019</v>
      </c>
      <c r="C325" t="s">
        <v>642</v>
      </c>
      <c r="D325" t="s">
        <v>644</v>
      </c>
      <c r="E325" t="s">
        <v>646</v>
      </c>
      <c r="F325" t="s">
        <v>78</v>
      </c>
      <c r="G325" t="s">
        <v>79</v>
      </c>
      <c r="H325">
        <v>19260</v>
      </c>
      <c r="I325">
        <v>412626.94111882255</v>
      </c>
      <c r="J325">
        <v>431886.94111882255</v>
      </c>
      <c r="K325">
        <f>IFERROR(VLOOKUP(F325,'LEAID Match'!$A$2:$B$236,2,FALSE),"")</f>
        <v>2306510</v>
      </c>
    </row>
    <row r="326" spans="1:11" x14ac:dyDescent="0.2">
      <c r="A326">
        <f t="shared" si="5"/>
        <v>2306510</v>
      </c>
      <c r="B326">
        <v>2020</v>
      </c>
      <c r="C326" t="s">
        <v>642</v>
      </c>
      <c r="D326" t="s">
        <v>644</v>
      </c>
      <c r="E326" t="s">
        <v>646</v>
      </c>
      <c r="F326" t="s">
        <v>78</v>
      </c>
      <c r="G326" t="s">
        <v>79</v>
      </c>
      <c r="H326">
        <v>21969</v>
      </c>
      <c r="I326">
        <v>489511.65559700114</v>
      </c>
      <c r="J326">
        <v>511480.65559700114</v>
      </c>
      <c r="K326">
        <f>IFERROR(VLOOKUP(F326,'LEAID Match'!$A$2:$B$236,2,FALSE),"")</f>
        <v>2306510</v>
      </c>
    </row>
    <row r="327" spans="1:11" x14ac:dyDescent="0.2">
      <c r="A327">
        <f t="shared" si="5"/>
        <v>2306510</v>
      </c>
      <c r="B327">
        <v>2021</v>
      </c>
      <c r="C327" t="s">
        <v>642</v>
      </c>
      <c r="D327" t="s">
        <v>644</v>
      </c>
      <c r="E327" t="s">
        <v>646</v>
      </c>
      <c r="F327" t="s">
        <v>78</v>
      </c>
      <c r="G327" t="s">
        <v>79</v>
      </c>
      <c r="H327">
        <v>50305</v>
      </c>
      <c r="I327">
        <v>845091.3226937023</v>
      </c>
      <c r="J327">
        <v>895396.3226937023</v>
      </c>
      <c r="K327">
        <f>IFERROR(VLOOKUP(F327,'LEAID Match'!$A$2:$B$236,2,FALSE),"")</f>
        <v>2306510</v>
      </c>
    </row>
    <row r="328" spans="1:11" x14ac:dyDescent="0.2">
      <c r="A328">
        <f t="shared" si="5"/>
        <v>2306510</v>
      </c>
      <c r="B328">
        <v>2022</v>
      </c>
      <c r="C328" t="s">
        <v>642</v>
      </c>
      <c r="D328" t="s">
        <v>644</v>
      </c>
      <c r="E328" t="s">
        <v>646</v>
      </c>
      <c r="F328" t="s">
        <v>78</v>
      </c>
      <c r="G328" t="s">
        <v>79</v>
      </c>
      <c r="H328">
        <v>50124</v>
      </c>
      <c r="I328">
        <v>721533.61308124126</v>
      </c>
      <c r="J328">
        <v>771657.61308124126</v>
      </c>
      <c r="K328">
        <f>IFERROR(VLOOKUP(F328,'LEAID Match'!$A$2:$B$236,2,FALSE),"")</f>
        <v>2306510</v>
      </c>
    </row>
    <row r="329" spans="1:11" x14ac:dyDescent="0.2">
      <c r="A329">
        <f t="shared" si="5"/>
        <v>2306810</v>
      </c>
      <c r="B329">
        <v>2015</v>
      </c>
      <c r="C329" t="s">
        <v>642</v>
      </c>
      <c r="D329" t="s">
        <v>644</v>
      </c>
      <c r="E329" t="s">
        <v>646</v>
      </c>
      <c r="F329" t="s">
        <v>80</v>
      </c>
      <c r="G329" t="s">
        <v>81</v>
      </c>
      <c r="H329">
        <v>2828</v>
      </c>
      <c r="I329">
        <v>54223.056424876951</v>
      </c>
      <c r="J329">
        <v>57051.056424876951</v>
      </c>
      <c r="K329">
        <f>IFERROR(VLOOKUP(F329,'LEAID Match'!$A$2:$B$236,2,FALSE),"")</f>
        <v>2306810</v>
      </c>
    </row>
    <row r="330" spans="1:11" x14ac:dyDescent="0.2">
      <c r="A330">
        <f t="shared" si="5"/>
        <v>2306810</v>
      </c>
      <c r="B330">
        <v>2016</v>
      </c>
      <c r="C330" t="s">
        <v>642</v>
      </c>
      <c r="D330" t="s">
        <v>644</v>
      </c>
      <c r="E330" t="s">
        <v>646</v>
      </c>
      <c r="F330" s="1" t="s">
        <v>80</v>
      </c>
      <c r="G330" s="1" t="s">
        <v>81</v>
      </c>
      <c r="H330" s="22">
        <v>2174</v>
      </c>
      <c r="I330">
        <v>41316.005307168474</v>
      </c>
      <c r="J330">
        <v>43490.005307168474</v>
      </c>
      <c r="K330">
        <f>IFERROR(VLOOKUP(F330,'LEAID Match'!$A$2:$B$236,2,FALSE),"")</f>
        <v>2306810</v>
      </c>
    </row>
    <row r="331" spans="1:11" x14ac:dyDescent="0.2">
      <c r="A331">
        <f t="shared" si="5"/>
        <v>2306810</v>
      </c>
      <c r="B331">
        <v>2017</v>
      </c>
      <c r="C331" t="s">
        <v>642</v>
      </c>
      <c r="D331" t="s">
        <v>644</v>
      </c>
      <c r="E331" t="s">
        <v>646</v>
      </c>
      <c r="F331" t="s">
        <v>80</v>
      </c>
      <c r="G331" t="s">
        <v>81</v>
      </c>
      <c r="H331">
        <v>2465</v>
      </c>
      <c r="I331">
        <v>47001.135904789291</v>
      </c>
      <c r="J331">
        <v>49466.135904789291</v>
      </c>
      <c r="K331">
        <f>IFERROR(VLOOKUP(F331,'LEAID Match'!$A$2:$B$236,2,FALSE),"")</f>
        <v>2306810</v>
      </c>
    </row>
    <row r="332" spans="1:11" x14ac:dyDescent="0.2">
      <c r="A332">
        <f t="shared" si="5"/>
        <v>2306810</v>
      </c>
      <c r="B332">
        <v>2018</v>
      </c>
      <c r="C332" t="s">
        <v>642</v>
      </c>
      <c r="D332" t="s">
        <v>644</v>
      </c>
      <c r="E332" t="s">
        <v>646</v>
      </c>
      <c r="F332" t="s">
        <v>80</v>
      </c>
      <c r="G332" t="s">
        <v>81</v>
      </c>
      <c r="H332">
        <v>2816</v>
      </c>
      <c r="I332">
        <v>57078.331423235199</v>
      </c>
      <c r="J332">
        <v>59894.331423235199</v>
      </c>
      <c r="K332">
        <f>IFERROR(VLOOKUP(F332,'LEAID Match'!$A$2:$B$236,2,FALSE),"")</f>
        <v>2306810</v>
      </c>
    </row>
    <row r="333" spans="1:11" x14ac:dyDescent="0.2">
      <c r="A333">
        <f t="shared" si="5"/>
        <v>2306810</v>
      </c>
      <c r="B333">
        <v>2019</v>
      </c>
      <c r="C333" t="s">
        <v>642</v>
      </c>
      <c r="D333" t="s">
        <v>644</v>
      </c>
      <c r="E333" t="s">
        <v>646</v>
      </c>
      <c r="F333" t="s">
        <v>80</v>
      </c>
      <c r="G333" t="s">
        <v>81</v>
      </c>
      <c r="H333">
        <v>2039</v>
      </c>
      <c r="I333">
        <v>43683.6102254039</v>
      </c>
      <c r="J333">
        <v>45722.6102254039</v>
      </c>
      <c r="K333">
        <f>IFERROR(VLOOKUP(F333,'LEAID Match'!$A$2:$B$236,2,FALSE),"")</f>
        <v>2306810</v>
      </c>
    </row>
    <row r="334" spans="1:11" x14ac:dyDescent="0.2">
      <c r="A334">
        <f t="shared" si="5"/>
        <v>2306810</v>
      </c>
      <c r="B334">
        <v>2020</v>
      </c>
      <c r="C334" t="s">
        <v>642</v>
      </c>
      <c r="D334" t="s">
        <v>644</v>
      </c>
      <c r="E334" t="s">
        <v>646</v>
      </c>
      <c r="F334" t="s">
        <v>80</v>
      </c>
      <c r="G334" t="s">
        <v>81</v>
      </c>
      <c r="H334">
        <v>1224</v>
      </c>
      <c r="I334">
        <v>27273.078722323706</v>
      </c>
      <c r="J334">
        <v>28497.078722323706</v>
      </c>
      <c r="K334">
        <f>IFERROR(VLOOKUP(F334,'LEAID Match'!$A$2:$B$236,2,FALSE),"")</f>
        <v>2306810</v>
      </c>
    </row>
    <row r="335" spans="1:11" x14ac:dyDescent="0.2">
      <c r="A335">
        <f t="shared" si="5"/>
        <v>2306810</v>
      </c>
      <c r="B335">
        <v>2021</v>
      </c>
      <c r="C335" t="s">
        <v>642</v>
      </c>
      <c r="D335" t="s">
        <v>644</v>
      </c>
      <c r="E335" t="s">
        <v>646</v>
      </c>
      <c r="F335" t="s">
        <v>80</v>
      </c>
      <c r="G335" t="s">
        <v>81</v>
      </c>
      <c r="H335">
        <v>664</v>
      </c>
      <c r="I335">
        <v>11154.768676446047</v>
      </c>
      <c r="J335">
        <v>11818.768676446047</v>
      </c>
      <c r="K335">
        <f>IFERROR(VLOOKUP(F335,'LEAID Match'!$A$2:$B$236,2,FALSE),"")</f>
        <v>2306810</v>
      </c>
    </row>
    <row r="336" spans="1:11" x14ac:dyDescent="0.2">
      <c r="A336">
        <f t="shared" si="5"/>
        <v>2306810</v>
      </c>
      <c r="B336">
        <v>2022</v>
      </c>
      <c r="C336" t="s">
        <v>642</v>
      </c>
      <c r="D336" t="s">
        <v>644</v>
      </c>
      <c r="E336" t="s">
        <v>646</v>
      </c>
      <c r="F336" t="s">
        <v>80</v>
      </c>
      <c r="G336" t="s">
        <v>81</v>
      </c>
      <c r="H336">
        <v>1134</v>
      </c>
      <c r="I336">
        <v>16323.899074976609</v>
      </c>
      <c r="J336">
        <v>17457.899074976609</v>
      </c>
      <c r="K336">
        <f>IFERROR(VLOOKUP(F336,'LEAID Match'!$A$2:$B$236,2,FALSE),"")</f>
        <v>2306810</v>
      </c>
    </row>
    <row r="337" spans="1:11" x14ac:dyDescent="0.2">
      <c r="A337">
        <f t="shared" si="5"/>
        <v>2307140</v>
      </c>
      <c r="B337">
        <v>2015</v>
      </c>
      <c r="C337" t="s">
        <v>642</v>
      </c>
      <c r="D337" t="s">
        <v>644</v>
      </c>
      <c r="E337" t="s">
        <v>646</v>
      </c>
      <c r="F337" t="s">
        <v>82</v>
      </c>
      <c r="G337" t="s">
        <v>83</v>
      </c>
      <c r="H337">
        <v>27547</v>
      </c>
      <c r="I337">
        <v>528176.28547952103</v>
      </c>
      <c r="J337">
        <v>555723.28547952103</v>
      </c>
      <c r="K337">
        <f>IFERROR(VLOOKUP(F337,'LEAID Match'!$A$2:$B$236,2,FALSE),"")</f>
        <v>2307140</v>
      </c>
    </row>
    <row r="338" spans="1:11" x14ac:dyDescent="0.2">
      <c r="A338">
        <f t="shared" si="5"/>
        <v>2307140</v>
      </c>
      <c r="B338">
        <v>2016</v>
      </c>
      <c r="C338" t="s">
        <v>642</v>
      </c>
      <c r="D338" t="s">
        <v>644</v>
      </c>
      <c r="E338" t="s">
        <v>646</v>
      </c>
      <c r="F338" s="1" t="s">
        <v>82</v>
      </c>
      <c r="G338" s="1" t="s">
        <v>83</v>
      </c>
      <c r="H338" s="22">
        <v>20611</v>
      </c>
      <c r="I338">
        <v>391703.85712329781</v>
      </c>
      <c r="J338">
        <v>412314.85712329781</v>
      </c>
      <c r="K338">
        <f>IFERROR(VLOOKUP(F338,'LEAID Match'!$A$2:$B$236,2,FALSE),"")</f>
        <v>2307140</v>
      </c>
    </row>
    <row r="339" spans="1:11" x14ac:dyDescent="0.2">
      <c r="A339">
        <f t="shared" si="5"/>
        <v>2307140</v>
      </c>
      <c r="B339">
        <v>2017</v>
      </c>
      <c r="C339" t="s">
        <v>642</v>
      </c>
      <c r="D339" t="s">
        <v>644</v>
      </c>
      <c r="E339" t="s">
        <v>646</v>
      </c>
      <c r="F339" t="s">
        <v>82</v>
      </c>
      <c r="G339" t="s">
        <v>83</v>
      </c>
      <c r="H339">
        <v>26706</v>
      </c>
      <c r="I339">
        <v>509213.92919809453</v>
      </c>
      <c r="J339">
        <v>535919.92919809453</v>
      </c>
      <c r="K339">
        <f>IFERROR(VLOOKUP(F339,'LEAID Match'!$A$2:$B$236,2,FALSE),"")</f>
        <v>2307140</v>
      </c>
    </row>
    <row r="340" spans="1:11" x14ac:dyDescent="0.2">
      <c r="A340">
        <f t="shared" si="5"/>
        <v>2307140</v>
      </c>
      <c r="B340">
        <v>2018</v>
      </c>
      <c r="C340" t="s">
        <v>642</v>
      </c>
      <c r="D340" t="s">
        <v>644</v>
      </c>
      <c r="E340" t="s">
        <v>646</v>
      </c>
      <c r="F340" t="s">
        <v>82</v>
      </c>
      <c r="G340" t="s">
        <v>83</v>
      </c>
      <c r="H340">
        <v>30698</v>
      </c>
      <c r="I340">
        <v>622226.78197104903</v>
      </c>
      <c r="J340">
        <v>652924.78197104903</v>
      </c>
      <c r="K340">
        <f>IFERROR(VLOOKUP(F340,'LEAID Match'!$A$2:$B$236,2,FALSE),"")</f>
        <v>2307140</v>
      </c>
    </row>
    <row r="341" spans="1:11" x14ac:dyDescent="0.2">
      <c r="A341">
        <f t="shared" si="5"/>
        <v>2307140</v>
      </c>
      <c r="B341">
        <v>2019</v>
      </c>
      <c r="C341" t="s">
        <v>642</v>
      </c>
      <c r="D341" t="s">
        <v>644</v>
      </c>
      <c r="E341" t="s">
        <v>646</v>
      </c>
      <c r="F341" t="s">
        <v>82</v>
      </c>
      <c r="G341" t="s">
        <v>83</v>
      </c>
      <c r="H341">
        <v>30474</v>
      </c>
      <c r="I341">
        <v>652876.0853403426</v>
      </c>
      <c r="J341">
        <v>683350.0853403426</v>
      </c>
      <c r="K341">
        <f>IFERROR(VLOOKUP(F341,'LEAID Match'!$A$2:$B$236,2,FALSE),"")</f>
        <v>2307140</v>
      </c>
    </row>
    <row r="342" spans="1:11" x14ac:dyDescent="0.2">
      <c r="A342">
        <f t="shared" si="5"/>
        <v>2307140</v>
      </c>
      <c r="B342">
        <v>2020</v>
      </c>
      <c r="C342" t="s">
        <v>642</v>
      </c>
      <c r="D342" t="s">
        <v>644</v>
      </c>
      <c r="E342" t="s">
        <v>646</v>
      </c>
      <c r="F342" t="s">
        <v>82</v>
      </c>
      <c r="G342" t="s">
        <v>83</v>
      </c>
      <c r="H342">
        <v>19217</v>
      </c>
      <c r="I342">
        <v>428191.79232589429</v>
      </c>
      <c r="J342">
        <v>447408.79232589429</v>
      </c>
      <c r="K342">
        <f>IFERROR(VLOOKUP(F342,'LEAID Match'!$A$2:$B$236,2,FALSE),"")</f>
        <v>2307140</v>
      </c>
    </row>
    <row r="343" spans="1:11" x14ac:dyDescent="0.2">
      <c r="A343">
        <f t="shared" si="5"/>
        <v>2307140</v>
      </c>
      <c r="B343">
        <v>2021</v>
      </c>
      <c r="C343" t="s">
        <v>642</v>
      </c>
      <c r="D343" t="s">
        <v>644</v>
      </c>
      <c r="E343" t="s">
        <v>646</v>
      </c>
      <c r="F343" t="s">
        <v>82</v>
      </c>
      <c r="G343" t="s">
        <v>83</v>
      </c>
      <c r="H343">
        <v>25915</v>
      </c>
      <c r="I343">
        <v>435355.16603930615</v>
      </c>
      <c r="J343">
        <v>461270.16603930615</v>
      </c>
      <c r="K343">
        <f>IFERROR(VLOOKUP(F343,'LEAID Match'!$A$2:$B$236,2,FALSE),"")</f>
        <v>2307140</v>
      </c>
    </row>
    <row r="344" spans="1:11" x14ac:dyDescent="0.2">
      <c r="A344">
        <f t="shared" si="5"/>
        <v>2307140</v>
      </c>
      <c r="B344">
        <v>2022</v>
      </c>
      <c r="C344" t="s">
        <v>642</v>
      </c>
      <c r="D344" t="s">
        <v>644</v>
      </c>
      <c r="E344" t="s">
        <v>646</v>
      </c>
      <c r="F344" t="s">
        <v>82</v>
      </c>
      <c r="G344" t="s">
        <v>83</v>
      </c>
      <c r="H344">
        <v>39639</v>
      </c>
      <c r="I344">
        <v>570602.32401498931</v>
      </c>
      <c r="J344">
        <v>610241.32401498931</v>
      </c>
      <c r="K344">
        <f>IFERROR(VLOOKUP(F344,'LEAID Match'!$A$2:$B$236,2,FALSE),"")</f>
        <v>2307140</v>
      </c>
    </row>
    <row r="345" spans="1:11" x14ac:dyDescent="0.2">
      <c r="A345">
        <f t="shared" si="5"/>
        <v>2307250</v>
      </c>
      <c r="B345">
        <v>2015</v>
      </c>
      <c r="C345" t="s">
        <v>642</v>
      </c>
      <c r="D345" t="s">
        <v>644</v>
      </c>
      <c r="E345" t="s">
        <v>646</v>
      </c>
      <c r="F345" t="s">
        <v>84</v>
      </c>
      <c r="G345" t="s">
        <v>85</v>
      </c>
      <c r="H345">
        <v>2.7650000000000001</v>
      </c>
      <c r="I345">
        <v>53.015117049075236</v>
      </c>
      <c r="J345">
        <v>55.780117049075237</v>
      </c>
      <c r="K345">
        <f>IFERROR(VLOOKUP(F345,'LEAID Match'!$A$2:$B$236,2,FALSE),"")</f>
        <v>2307250</v>
      </c>
    </row>
    <row r="346" spans="1:11" x14ac:dyDescent="0.2">
      <c r="A346">
        <f t="shared" si="5"/>
        <v>2307250</v>
      </c>
      <c r="B346">
        <v>2016</v>
      </c>
      <c r="C346" t="s">
        <v>642</v>
      </c>
      <c r="D346" t="s">
        <v>644</v>
      </c>
      <c r="E346" t="s">
        <v>646</v>
      </c>
      <c r="F346" s="1" t="s">
        <v>84</v>
      </c>
      <c r="G346" s="1" t="s">
        <v>85</v>
      </c>
      <c r="H346" s="22">
        <v>2100</v>
      </c>
      <c r="I346">
        <v>39909.664740135137</v>
      </c>
      <c r="J346">
        <v>42009.664740135137</v>
      </c>
      <c r="K346">
        <f>IFERROR(VLOOKUP(F346,'LEAID Match'!$A$2:$B$236,2,FALSE),"")</f>
        <v>2307250</v>
      </c>
    </row>
    <row r="347" spans="1:11" x14ac:dyDescent="0.2">
      <c r="A347">
        <f t="shared" si="5"/>
        <v>2307250</v>
      </c>
      <c r="B347">
        <v>2017</v>
      </c>
      <c r="C347" t="s">
        <v>642</v>
      </c>
      <c r="D347" t="s">
        <v>644</v>
      </c>
      <c r="E347" t="s">
        <v>646</v>
      </c>
      <c r="F347" t="s">
        <v>84</v>
      </c>
      <c r="G347" t="s">
        <v>85</v>
      </c>
      <c r="H347">
        <v>6695</v>
      </c>
      <c r="I347">
        <v>127656.22916128371</v>
      </c>
      <c r="J347">
        <v>134351.2291612837</v>
      </c>
      <c r="K347">
        <f>IFERROR(VLOOKUP(F347,'LEAID Match'!$A$2:$B$236,2,FALSE),"")</f>
        <v>2307250</v>
      </c>
    </row>
    <row r="348" spans="1:11" x14ac:dyDescent="0.2">
      <c r="A348">
        <f t="shared" si="5"/>
        <v>2307250</v>
      </c>
      <c r="B348">
        <v>2018</v>
      </c>
      <c r="C348" t="s">
        <v>642</v>
      </c>
      <c r="D348" t="s">
        <v>644</v>
      </c>
      <c r="E348" t="s">
        <v>646</v>
      </c>
      <c r="F348" t="s">
        <v>84</v>
      </c>
      <c r="G348" t="s">
        <v>85</v>
      </c>
      <c r="H348">
        <v>3552</v>
      </c>
      <c r="I348">
        <v>71996.53168158076</v>
      </c>
      <c r="J348">
        <v>75548.53168158076</v>
      </c>
      <c r="K348">
        <f>IFERROR(VLOOKUP(F348,'LEAID Match'!$A$2:$B$236,2,FALSE),"")</f>
        <v>2307250</v>
      </c>
    </row>
    <row r="349" spans="1:11" x14ac:dyDescent="0.2">
      <c r="A349">
        <f t="shared" si="5"/>
        <v>2307250</v>
      </c>
      <c r="B349">
        <v>2019</v>
      </c>
      <c r="C349" t="s">
        <v>642</v>
      </c>
      <c r="D349" t="s">
        <v>644</v>
      </c>
      <c r="E349" t="s">
        <v>646</v>
      </c>
      <c r="F349" t="s">
        <v>84</v>
      </c>
      <c r="G349" t="s">
        <v>85</v>
      </c>
      <c r="H349">
        <v>3419</v>
      </c>
      <c r="I349">
        <v>73248.780461331989</v>
      </c>
      <c r="J349">
        <v>76667.780461331989</v>
      </c>
      <c r="K349">
        <f>IFERROR(VLOOKUP(F349,'LEAID Match'!$A$2:$B$236,2,FALSE),"")</f>
        <v>2307250</v>
      </c>
    </row>
    <row r="350" spans="1:11" x14ac:dyDescent="0.2">
      <c r="A350">
        <f t="shared" si="5"/>
        <v>2307250</v>
      </c>
      <c r="B350">
        <v>2020</v>
      </c>
      <c r="C350" t="s">
        <v>642</v>
      </c>
      <c r="D350" t="s">
        <v>644</v>
      </c>
      <c r="E350" t="s">
        <v>646</v>
      </c>
      <c r="F350" t="s">
        <v>84</v>
      </c>
      <c r="G350" t="s">
        <v>85</v>
      </c>
      <c r="H350">
        <v>4550</v>
      </c>
      <c r="I350">
        <v>101382.76812628501</v>
      </c>
      <c r="J350">
        <v>105932.76812628501</v>
      </c>
      <c r="K350">
        <f>IFERROR(VLOOKUP(F350,'LEAID Match'!$A$2:$B$236,2,FALSE),"")</f>
        <v>2307250</v>
      </c>
    </row>
    <row r="351" spans="1:11" x14ac:dyDescent="0.2">
      <c r="A351">
        <f t="shared" si="5"/>
        <v>2307250</v>
      </c>
      <c r="B351">
        <v>2021</v>
      </c>
      <c r="C351" t="s">
        <v>642</v>
      </c>
      <c r="D351" t="s">
        <v>644</v>
      </c>
      <c r="E351" t="s">
        <v>646</v>
      </c>
      <c r="F351" t="s">
        <v>84</v>
      </c>
      <c r="G351" t="s">
        <v>85</v>
      </c>
      <c r="H351">
        <v>10315</v>
      </c>
      <c r="I351">
        <v>173285.29954448942</v>
      </c>
      <c r="J351">
        <v>183600.29954448942</v>
      </c>
      <c r="K351">
        <f>IFERROR(VLOOKUP(F351,'LEAID Match'!$A$2:$B$236,2,FALSE),"")</f>
        <v>2307250</v>
      </c>
    </row>
    <row r="352" spans="1:11" x14ac:dyDescent="0.2">
      <c r="A352">
        <f t="shared" si="5"/>
        <v>2307250</v>
      </c>
      <c r="B352">
        <v>2022</v>
      </c>
      <c r="C352" t="s">
        <v>642</v>
      </c>
      <c r="D352" t="s">
        <v>644</v>
      </c>
      <c r="E352" t="s">
        <v>646</v>
      </c>
      <c r="F352" t="s">
        <v>84</v>
      </c>
      <c r="G352" t="s">
        <v>85</v>
      </c>
      <c r="H352">
        <v>4208</v>
      </c>
      <c r="I352">
        <v>60574.045244710382</v>
      </c>
      <c r="J352">
        <v>64782.045244710382</v>
      </c>
      <c r="K352">
        <f>IFERROR(VLOOKUP(F352,'LEAID Match'!$A$2:$B$236,2,FALSE),"")</f>
        <v>2307250</v>
      </c>
    </row>
    <row r="353" spans="1:11" x14ac:dyDescent="0.2">
      <c r="A353">
        <f t="shared" si="5"/>
        <v>2307320</v>
      </c>
      <c r="B353">
        <v>2015</v>
      </c>
      <c r="C353" t="s">
        <v>642</v>
      </c>
      <c r="D353" t="s">
        <v>644</v>
      </c>
      <c r="E353" t="s">
        <v>646</v>
      </c>
      <c r="F353" t="s">
        <v>86</v>
      </c>
      <c r="G353" t="s">
        <v>87</v>
      </c>
      <c r="H353">
        <v>604744</v>
      </c>
      <c r="I353">
        <v>11595144.283806855</v>
      </c>
      <c r="J353">
        <v>12199888.283806855</v>
      </c>
      <c r="K353">
        <f>IFERROR(VLOOKUP(F353,'LEAID Match'!$A$2:$B$236,2,FALSE),"")</f>
        <v>2307320</v>
      </c>
    </row>
    <row r="354" spans="1:11" x14ac:dyDescent="0.2">
      <c r="A354">
        <f t="shared" si="5"/>
        <v>2307320</v>
      </c>
      <c r="B354">
        <v>2016</v>
      </c>
      <c r="C354" t="s">
        <v>642</v>
      </c>
      <c r="D354" t="s">
        <v>644</v>
      </c>
      <c r="E354" t="s">
        <v>646</v>
      </c>
      <c r="F354" s="1" t="s">
        <v>86</v>
      </c>
      <c r="G354" s="1" t="s">
        <v>87</v>
      </c>
      <c r="H354" s="22">
        <v>255720</v>
      </c>
      <c r="I354">
        <v>4859856.8892130274</v>
      </c>
      <c r="J354">
        <v>5115576.8892130274</v>
      </c>
      <c r="K354">
        <f>IFERROR(VLOOKUP(F354,'LEAID Match'!$A$2:$B$236,2,FALSE),"")</f>
        <v>2307320</v>
      </c>
    </row>
    <row r="355" spans="1:11" x14ac:dyDescent="0.2">
      <c r="A355">
        <f t="shared" si="5"/>
        <v>2307320</v>
      </c>
      <c r="B355">
        <v>2017</v>
      </c>
      <c r="C355" t="s">
        <v>642</v>
      </c>
      <c r="D355" t="s">
        <v>644</v>
      </c>
      <c r="E355" t="s">
        <v>646</v>
      </c>
      <c r="F355" t="s">
        <v>86</v>
      </c>
      <c r="G355" t="s">
        <v>87</v>
      </c>
      <c r="H355">
        <v>478152</v>
      </c>
      <c r="I355">
        <v>9117114.4564490113</v>
      </c>
      <c r="J355">
        <v>9595266.4564490113</v>
      </c>
      <c r="K355">
        <f>IFERROR(VLOOKUP(F355,'LEAID Match'!$A$2:$B$236,2,FALSE),"")</f>
        <v>2307320</v>
      </c>
    </row>
    <row r="356" spans="1:11" x14ac:dyDescent="0.2">
      <c r="A356">
        <f t="shared" si="5"/>
        <v>2307320</v>
      </c>
      <c r="B356">
        <v>2018</v>
      </c>
      <c r="C356" t="s">
        <v>642</v>
      </c>
      <c r="D356" t="s">
        <v>644</v>
      </c>
      <c r="E356" t="s">
        <v>646</v>
      </c>
      <c r="F356" t="s">
        <v>86</v>
      </c>
      <c r="G356" t="s">
        <v>87</v>
      </c>
      <c r="H356">
        <v>230970</v>
      </c>
      <c r="I356">
        <v>4681598.7957473844</v>
      </c>
      <c r="J356">
        <v>4912568.7957473844</v>
      </c>
      <c r="K356">
        <f>IFERROR(VLOOKUP(F356,'LEAID Match'!$A$2:$B$236,2,FALSE),"")</f>
        <v>2307320</v>
      </c>
    </row>
    <row r="357" spans="1:11" x14ac:dyDescent="0.2">
      <c r="A357">
        <f t="shared" si="5"/>
        <v>2307320</v>
      </c>
      <c r="B357">
        <v>2019</v>
      </c>
      <c r="C357" t="s">
        <v>642</v>
      </c>
      <c r="D357" t="s">
        <v>644</v>
      </c>
      <c r="E357" t="s">
        <v>646</v>
      </c>
      <c r="F357" t="s">
        <v>86</v>
      </c>
      <c r="G357" t="s">
        <v>87</v>
      </c>
      <c r="H357">
        <v>358678</v>
      </c>
      <c r="I357">
        <v>7684330.5289001577</v>
      </c>
      <c r="J357">
        <v>8043008.5289001577</v>
      </c>
      <c r="K357">
        <f>IFERROR(VLOOKUP(F357,'LEAID Match'!$A$2:$B$236,2,FALSE),"")</f>
        <v>2307320</v>
      </c>
    </row>
    <row r="358" spans="1:11" x14ac:dyDescent="0.2">
      <c r="A358">
        <f t="shared" si="5"/>
        <v>2307320</v>
      </c>
      <c r="B358">
        <v>2020</v>
      </c>
      <c r="C358" t="s">
        <v>642</v>
      </c>
      <c r="D358" t="s">
        <v>644</v>
      </c>
      <c r="E358" t="s">
        <v>646</v>
      </c>
      <c r="F358" t="s">
        <v>86</v>
      </c>
      <c r="G358" t="s">
        <v>87</v>
      </c>
      <c r="H358">
        <v>448304</v>
      </c>
      <c r="I358">
        <v>9989077.0290299077</v>
      </c>
      <c r="J358">
        <v>10437381.029029908</v>
      </c>
      <c r="K358">
        <f>IFERROR(VLOOKUP(F358,'LEAID Match'!$A$2:$B$236,2,FALSE),"")</f>
        <v>2307320</v>
      </c>
    </row>
    <row r="359" spans="1:11" x14ac:dyDescent="0.2">
      <c r="A359">
        <f t="shared" si="5"/>
        <v>2307320</v>
      </c>
      <c r="B359">
        <v>2021</v>
      </c>
      <c r="C359" t="s">
        <v>642</v>
      </c>
      <c r="D359" t="s">
        <v>644</v>
      </c>
      <c r="E359" t="s">
        <v>646</v>
      </c>
      <c r="F359" t="s">
        <v>86</v>
      </c>
      <c r="G359" t="s">
        <v>87</v>
      </c>
      <c r="H359">
        <v>644364</v>
      </c>
      <c r="I359">
        <v>10824896.631670905</v>
      </c>
      <c r="J359">
        <v>11469260.631670905</v>
      </c>
      <c r="K359">
        <f>IFERROR(VLOOKUP(F359,'LEAID Match'!$A$2:$B$236,2,FALSE),"")</f>
        <v>2307320</v>
      </c>
    </row>
    <row r="360" spans="1:11" x14ac:dyDescent="0.2">
      <c r="A360">
        <f t="shared" si="5"/>
        <v>2307320</v>
      </c>
      <c r="B360">
        <v>2022</v>
      </c>
      <c r="C360" t="s">
        <v>642</v>
      </c>
      <c r="D360" t="s">
        <v>644</v>
      </c>
      <c r="E360" t="s">
        <v>646</v>
      </c>
      <c r="F360" t="s">
        <v>86</v>
      </c>
      <c r="G360" t="s">
        <v>87</v>
      </c>
      <c r="H360">
        <v>729223</v>
      </c>
      <c r="I360">
        <v>10497145.198546445</v>
      </c>
      <c r="J360">
        <v>11226368.198546445</v>
      </c>
      <c r="K360">
        <f>IFERROR(VLOOKUP(F360,'LEAID Match'!$A$2:$B$236,2,FALSE),"")</f>
        <v>2307320</v>
      </c>
    </row>
    <row r="361" spans="1:11" x14ac:dyDescent="0.2">
      <c r="A361">
        <f t="shared" si="5"/>
        <v>2307450</v>
      </c>
      <c r="B361">
        <v>2015</v>
      </c>
      <c r="C361" t="s">
        <v>642</v>
      </c>
      <c r="D361" t="s">
        <v>644</v>
      </c>
      <c r="E361" t="s">
        <v>646</v>
      </c>
      <c r="F361" t="s">
        <v>88</v>
      </c>
      <c r="G361" t="s">
        <v>89</v>
      </c>
      <c r="H361">
        <v>7549</v>
      </c>
      <c r="I361">
        <v>144741.81504646255</v>
      </c>
      <c r="J361">
        <v>152290.81504646255</v>
      </c>
      <c r="K361">
        <f>IFERROR(VLOOKUP(F361,'LEAID Match'!$A$2:$B$236,2,FALSE),"")</f>
        <v>2307450</v>
      </c>
    </row>
    <row r="362" spans="1:11" x14ac:dyDescent="0.2">
      <c r="A362">
        <f t="shared" si="5"/>
        <v>2307450</v>
      </c>
      <c r="B362">
        <v>2016</v>
      </c>
      <c r="C362" t="s">
        <v>642</v>
      </c>
      <c r="D362" t="s">
        <v>644</v>
      </c>
      <c r="E362" t="s">
        <v>646</v>
      </c>
      <c r="F362" s="1" t="s">
        <v>88</v>
      </c>
      <c r="G362" s="1" t="s">
        <v>89</v>
      </c>
      <c r="H362" s="22">
        <v>6236</v>
      </c>
      <c r="I362">
        <v>118512.69967594415</v>
      </c>
      <c r="J362">
        <v>124748.69967594415</v>
      </c>
      <c r="K362">
        <f>IFERROR(VLOOKUP(F362,'LEAID Match'!$A$2:$B$236,2,FALSE),"")</f>
        <v>2307450</v>
      </c>
    </row>
    <row r="363" spans="1:11" x14ac:dyDescent="0.2">
      <c r="A363">
        <f t="shared" si="5"/>
        <v>2307450</v>
      </c>
      <c r="B363">
        <v>2017</v>
      </c>
      <c r="C363" t="s">
        <v>642</v>
      </c>
      <c r="D363" t="s">
        <v>644</v>
      </c>
      <c r="E363" t="s">
        <v>646</v>
      </c>
      <c r="F363" t="s">
        <v>88</v>
      </c>
      <c r="G363" t="s">
        <v>89</v>
      </c>
      <c r="H363">
        <v>4895</v>
      </c>
      <c r="I363">
        <v>93334.912881924378</v>
      </c>
      <c r="J363">
        <v>98229.912881924378</v>
      </c>
      <c r="K363">
        <f>IFERROR(VLOOKUP(F363,'LEAID Match'!$A$2:$B$236,2,FALSE),"")</f>
        <v>2307450</v>
      </c>
    </row>
    <row r="364" spans="1:11" x14ac:dyDescent="0.2">
      <c r="A364">
        <f t="shared" si="5"/>
        <v>2307450</v>
      </c>
      <c r="B364">
        <v>2018</v>
      </c>
      <c r="C364" t="s">
        <v>642</v>
      </c>
      <c r="D364" t="s">
        <v>644</v>
      </c>
      <c r="E364" t="s">
        <v>646</v>
      </c>
      <c r="F364" t="s">
        <v>88</v>
      </c>
      <c r="G364" t="s">
        <v>89</v>
      </c>
      <c r="H364">
        <v>5821</v>
      </c>
      <c r="I364">
        <v>117987.55938020317</v>
      </c>
      <c r="J364">
        <v>123808.55938020317</v>
      </c>
      <c r="K364">
        <f>IFERROR(VLOOKUP(F364,'LEAID Match'!$A$2:$B$236,2,FALSE),"")</f>
        <v>2307450</v>
      </c>
    </row>
    <row r="365" spans="1:11" x14ac:dyDescent="0.2">
      <c r="A365">
        <f t="shared" si="5"/>
        <v>2307450</v>
      </c>
      <c r="B365">
        <v>2019</v>
      </c>
      <c r="C365" t="s">
        <v>642</v>
      </c>
      <c r="D365" t="s">
        <v>644</v>
      </c>
      <c r="E365" t="s">
        <v>646</v>
      </c>
      <c r="F365" t="s">
        <v>88</v>
      </c>
      <c r="G365" t="s">
        <v>89</v>
      </c>
      <c r="H365">
        <v>6197</v>
      </c>
      <c r="I365">
        <v>132764.75358843943</v>
      </c>
      <c r="J365">
        <v>138961.75358843943</v>
      </c>
      <c r="K365">
        <f>IFERROR(VLOOKUP(F365,'LEAID Match'!$A$2:$B$236,2,FALSE),"")</f>
        <v>2307450</v>
      </c>
    </row>
    <row r="366" spans="1:11" x14ac:dyDescent="0.2">
      <c r="A366">
        <f t="shared" si="5"/>
        <v>2307450</v>
      </c>
      <c r="B366">
        <v>2020</v>
      </c>
      <c r="C366" t="s">
        <v>642</v>
      </c>
      <c r="D366" t="s">
        <v>644</v>
      </c>
      <c r="E366" t="s">
        <v>646</v>
      </c>
      <c r="F366" t="s">
        <v>88</v>
      </c>
      <c r="G366" t="s">
        <v>89</v>
      </c>
      <c r="H366">
        <v>6867</v>
      </c>
      <c r="I366">
        <v>153009.99312597784</v>
      </c>
      <c r="J366">
        <v>159876.99312597784</v>
      </c>
      <c r="K366">
        <f>IFERROR(VLOOKUP(F366,'LEAID Match'!$A$2:$B$236,2,FALSE),"")</f>
        <v>2307450</v>
      </c>
    </row>
    <row r="367" spans="1:11" x14ac:dyDescent="0.2">
      <c r="A367">
        <f t="shared" si="5"/>
        <v>2307450</v>
      </c>
      <c r="B367">
        <v>2021</v>
      </c>
      <c r="C367" t="s">
        <v>642</v>
      </c>
      <c r="D367" t="s">
        <v>644</v>
      </c>
      <c r="E367" t="s">
        <v>646</v>
      </c>
      <c r="F367" t="s">
        <v>88</v>
      </c>
      <c r="G367" t="s">
        <v>89</v>
      </c>
      <c r="H367">
        <v>21622</v>
      </c>
      <c r="I367">
        <v>363235.55470198253</v>
      </c>
      <c r="J367">
        <v>384857.55470198253</v>
      </c>
      <c r="K367">
        <f>IFERROR(VLOOKUP(F367,'LEAID Match'!$A$2:$B$236,2,FALSE),"")</f>
        <v>2307450</v>
      </c>
    </row>
    <row r="368" spans="1:11" x14ac:dyDescent="0.2">
      <c r="A368">
        <f t="shared" si="5"/>
        <v>2307450</v>
      </c>
      <c r="B368">
        <v>2022</v>
      </c>
      <c r="C368" t="s">
        <v>642</v>
      </c>
      <c r="D368" t="s">
        <v>644</v>
      </c>
      <c r="E368" t="s">
        <v>646</v>
      </c>
      <c r="F368" t="s">
        <v>88</v>
      </c>
      <c r="G368" t="s">
        <v>89</v>
      </c>
      <c r="H368">
        <v>27561</v>
      </c>
      <c r="I368">
        <v>396739.84339103202</v>
      </c>
      <c r="J368">
        <v>424300.84339103202</v>
      </c>
      <c r="K368">
        <f>IFERROR(VLOOKUP(F368,'LEAID Match'!$A$2:$B$236,2,FALSE),"")</f>
        <v>2307450</v>
      </c>
    </row>
    <row r="369" spans="1:11" x14ac:dyDescent="0.2">
      <c r="A369">
        <f t="shared" si="5"/>
        <v>2307530</v>
      </c>
      <c r="B369">
        <v>2015</v>
      </c>
      <c r="C369" t="s">
        <v>642</v>
      </c>
      <c r="D369" t="s">
        <v>644</v>
      </c>
      <c r="E369" t="s">
        <v>646</v>
      </c>
      <c r="F369" t="s">
        <v>90</v>
      </c>
      <c r="G369" t="s">
        <v>91</v>
      </c>
      <c r="H369">
        <v>44963</v>
      </c>
      <c r="I369">
        <v>862104.41514559486</v>
      </c>
      <c r="J369">
        <v>907067.41514559486</v>
      </c>
      <c r="K369">
        <f>IFERROR(VLOOKUP(F369,'LEAID Match'!$A$2:$B$236,2,FALSE),"")</f>
        <v>2307530</v>
      </c>
    </row>
    <row r="370" spans="1:11" x14ac:dyDescent="0.2">
      <c r="A370">
        <f t="shared" si="5"/>
        <v>2307530</v>
      </c>
      <c r="B370">
        <v>2016</v>
      </c>
      <c r="C370" t="s">
        <v>642</v>
      </c>
      <c r="D370" t="s">
        <v>644</v>
      </c>
      <c r="E370" t="s">
        <v>646</v>
      </c>
      <c r="F370" s="1" t="s">
        <v>90</v>
      </c>
      <c r="G370" s="1" t="s">
        <v>91</v>
      </c>
      <c r="H370" s="22">
        <v>46395</v>
      </c>
      <c r="I370">
        <v>881718.52172312851</v>
      </c>
      <c r="J370">
        <v>928113.52172312851</v>
      </c>
      <c r="K370">
        <f>IFERROR(VLOOKUP(F370,'LEAID Match'!$A$2:$B$236,2,FALSE),"")</f>
        <v>2307530</v>
      </c>
    </row>
    <row r="371" spans="1:11" x14ac:dyDescent="0.2">
      <c r="A371">
        <f t="shared" si="5"/>
        <v>2307530</v>
      </c>
      <c r="B371">
        <v>2017</v>
      </c>
      <c r="C371" t="s">
        <v>642</v>
      </c>
      <c r="D371" t="s">
        <v>644</v>
      </c>
      <c r="E371" t="s">
        <v>646</v>
      </c>
      <c r="F371" t="s">
        <v>90</v>
      </c>
      <c r="G371" t="s">
        <v>91</v>
      </c>
      <c r="H371">
        <v>39930</v>
      </c>
      <c r="I371">
        <v>761361.19946378772</v>
      </c>
      <c r="J371">
        <v>801291.19946378772</v>
      </c>
      <c r="K371">
        <f>IFERROR(VLOOKUP(F371,'LEAID Match'!$A$2:$B$236,2,FALSE),"")</f>
        <v>2307530</v>
      </c>
    </row>
    <row r="372" spans="1:11" x14ac:dyDescent="0.2">
      <c r="A372">
        <f t="shared" si="5"/>
        <v>2307530</v>
      </c>
      <c r="B372">
        <v>2018</v>
      </c>
      <c r="C372" t="s">
        <v>642</v>
      </c>
      <c r="D372" t="s">
        <v>644</v>
      </c>
      <c r="E372" t="s">
        <v>646</v>
      </c>
      <c r="F372" t="s">
        <v>90</v>
      </c>
      <c r="G372" t="s">
        <v>91</v>
      </c>
      <c r="H372">
        <v>49420</v>
      </c>
      <c r="I372">
        <v>1001708.5010427143</v>
      </c>
      <c r="J372">
        <v>1051128.5010427143</v>
      </c>
      <c r="K372">
        <f>IFERROR(VLOOKUP(F372,'LEAID Match'!$A$2:$B$236,2,FALSE),"")</f>
        <v>2307530</v>
      </c>
    </row>
    <row r="373" spans="1:11" x14ac:dyDescent="0.2">
      <c r="A373">
        <f t="shared" si="5"/>
        <v>2307530</v>
      </c>
      <c r="B373">
        <v>2019</v>
      </c>
      <c r="C373" t="s">
        <v>642</v>
      </c>
      <c r="D373" t="s">
        <v>644</v>
      </c>
      <c r="E373" t="s">
        <v>646</v>
      </c>
      <c r="F373" t="s">
        <v>90</v>
      </c>
      <c r="G373" t="s">
        <v>91</v>
      </c>
      <c r="H373">
        <v>41514</v>
      </c>
      <c r="I373">
        <v>889397.44722776732</v>
      </c>
      <c r="J373">
        <v>930911.44722776732</v>
      </c>
      <c r="K373">
        <f>IFERROR(VLOOKUP(F373,'LEAID Match'!$A$2:$B$236,2,FALSE),"")</f>
        <v>2307530</v>
      </c>
    </row>
    <row r="374" spans="1:11" x14ac:dyDescent="0.2">
      <c r="A374">
        <f t="shared" si="5"/>
        <v>2307530</v>
      </c>
      <c r="B374">
        <v>2020</v>
      </c>
      <c r="C374" t="s">
        <v>642</v>
      </c>
      <c r="D374" t="s">
        <v>644</v>
      </c>
      <c r="E374" t="s">
        <v>646</v>
      </c>
      <c r="F374" t="s">
        <v>90</v>
      </c>
      <c r="G374" t="s">
        <v>91</v>
      </c>
      <c r="H374">
        <v>50334</v>
      </c>
      <c r="I374">
        <v>1121538.5166743801</v>
      </c>
      <c r="J374">
        <v>1171872.5166743801</v>
      </c>
      <c r="K374">
        <f>IFERROR(VLOOKUP(F374,'LEAID Match'!$A$2:$B$236,2,FALSE),"")</f>
        <v>2307530</v>
      </c>
    </row>
    <row r="375" spans="1:11" x14ac:dyDescent="0.2">
      <c r="A375">
        <f t="shared" si="5"/>
        <v>2307530</v>
      </c>
      <c r="B375">
        <v>2021</v>
      </c>
      <c r="C375" t="s">
        <v>642</v>
      </c>
      <c r="D375" t="s">
        <v>644</v>
      </c>
      <c r="E375" t="s">
        <v>646</v>
      </c>
      <c r="F375" t="s">
        <v>90</v>
      </c>
      <c r="G375" t="s">
        <v>91</v>
      </c>
      <c r="H375">
        <v>40803</v>
      </c>
      <c r="I375">
        <v>685463.89503769274</v>
      </c>
      <c r="J375">
        <v>726266.89503769274</v>
      </c>
      <c r="K375">
        <f>IFERROR(VLOOKUP(F375,'LEAID Match'!$A$2:$B$236,2,FALSE),"")</f>
        <v>2307530</v>
      </c>
    </row>
    <row r="376" spans="1:11" x14ac:dyDescent="0.2">
      <c r="A376">
        <f t="shared" si="5"/>
        <v>2307530</v>
      </c>
      <c r="B376">
        <v>2022</v>
      </c>
      <c r="C376" t="s">
        <v>642</v>
      </c>
      <c r="D376" t="s">
        <v>644</v>
      </c>
      <c r="E376" t="s">
        <v>646</v>
      </c>
      <c r="F376" t="s">
        <v>90</v>
      </c>
      <c r="G376" t="s">
        <v>91</v>
      </c>
      <c r="H376">
        <v>59790</v>
      </c>
      <c r="I376">
        <v>860675.41948223242</v>
      </c>
      <c r="J376">
        <v>920465.41948223242</v>
      </c>
      <c r="K376">
        <f>IFERROR(VLOOKUP(F376,'LEAID Match'!$A$2:$B$236,2,FALSE),"")</f>
        <v>2307530</v>
      </c>
    </row>
    <row r="377" spans="1:11" x14ac:dyDescent="0.2">
      <c r="A377">
        <f t="shared" si="5"/>
        <v>2314842</v>
      </c>
      <c r="B377">
        <v>2020</v>
      </c>
      <c r="C377" t="s">
        <v>642</v>
      </c>
      <c r="D377" t="s">
        <v>644</v>
      </c>
      <c r="E377" t="s">
        <v>646</v>
      </c>
      <c r="F377" t="s">
        <v>632</v>
      </c>
      <c r="G377" t="s">
        <v>633</v>
      </c>
      <c r="H377">
        <v>5319</v>
      </c>
      <c r="I377">
        <v>118517.57003598021</v>
      </c>
      <c r="J377">
        <v>123836.57003598021</v>
      </c>
      <c r="K377">
        <f>IFERROR(VLOOKUP(F377,'LEAID Match'!$A$2:$B$236,2,FALSE),"")</f>
        <v>2314842</v>
      </c>
    </row>
    <row r="378" spans="1:11" x14ac:dyDescent="0.2">
      <c r="A378">
        <f t="shared" si="5"/>
        <v>2314842</v>
      </c>
      <c r="B378">
        <v>2021</v>
      </c>
      <c r="C378" t="s">
        <v>642</v>
      </c>
      <c r="D378" t="s">
        <v>644</v>
      </c>
      <c r="E378" t="s">
        <v>646</v>
      </c>
      <c r="F378" t="s">
        <v>632</v>
      </c>
      <c r="G378" t="s">
        <v>633</v>
      </c>
      <c r="H378">
        <v>12173</v>
      </c>
      <c r="I378">
        <v>204498.49261803876</v>
      </c>
      <c r="J378">
        <v>216671.49261803876</v>
      </c>
      <c r="K378">
        <f>IFERROR(VLOOKUP(F378,'LEAID Match'!$A$2:$B$236,2,FALSE),"")</f>
        <v>2314842</v>
      </c>
    </row>
    <row r="379" spans="1:11" x14ac:dyDescent="0.2">
      <c r="A379">
        <f t="shared" si="5"/>
        <v>2314842</v>
      </c>
      <c r="B379">
        <v>2022</v>
      </c>
      <c r="C379" t="s">
        <v>642</v>
      </c>
      <c r="D379" t="s">
        <v>644</v>
      </c>
      <c r="E379" t="s">
        <v>646</v>
      </c>
      <c r="F379" t="s">
        <v>632</v>
      </c>
      <c r="G379" t="s">
        <v>633</v>
      </c>
      <c r="H379">
        <v>19781</v>
      </c>
      <c r="I379">
        <v>284746.95555741829</v>
      </c>
      <c r="J379">
        <v>304527.95555741829</v>
      </c>
      <c r="K379">
        <f>IFERROR(VLOOKUP(F379,'LEAID Match'!$A$2:$B$236,2,FALSE),"")</f>
        <v>2314842</v>
      </c>
    </row>
    <row r="380" spans="1:11" x14ac:dyDescent="0.2">
      <c r="A380">
        <f t="shared" si="5"/>
        <v>2300009</v>
      </c>
      <c r="B380">
        <v>2015</v>
      </c>
      <c r="C380" t="s">
        <v>642</v>
      </c>
      <c r="D380" t="s">
        <v>644</v>
      </c>
      <c r="E380" t="s">
        <v>646</v>
      </c>
      <c r="F380" t="s">
        <v>92</v>
      </c>
      <c r="G380" t="s">
        <v>93</v>
      </c>
      <c r="H380">
        <v>924</v>
      </c>
      <c r="I380">
        <v>17716.444178425143</v>
      </c>
      <c r="J380">
        <v>18640.444178425143</v>
      </c>
      <c r="K380">
        <f>IFERROR(VLOOKUP(F380,'LEAID Match'!$A$2:$B$236,2,FALSE),"")</f>
        <v>2300009</v>
      </c>
    </row>
    <row r="381" spans="1:11" x14ac:dyDescent="0.2">
      <c r="A381">
        <f t="shared" si="5"/>
        <v>2300009</v>
      </c>
      <c r="B381">
        <v>2016</v>
      </c>
      <c r="C381" t="s">
        <v>642</v>
      </c>
      <c r="D381" t="s">
        <v>644</v>
      </c>
      <c r="E381" t="s">
        <v>646</v>
      </c>
      <c r="F381" s="1" t="s">
        <v>92</v>
      </c>
      <c r="G381" s="1" t="s">
        <v>93</v>
      </c>
      <c r="H381" s="22">
        <v>581</v>
      </c>
      <c r="I381">
        <v>11041.673911437389</v>
      </c>
      <c r="J381">
        <v>11622.673911437389</v>
      </c>
      <c r="K381">
        <f>IFERROR(VLOOKUP(F381,'LEAID Match'!$A$2:$B$236,2,FALSE),"")</f>
        <v>2300009</v>
      </c>
    </row>
    <row r="382" spans="1:11" x14ac:dyDescent="0.2">
      <c r="A382">
        <f t="shared" si="5"/>
        <v>2300009</v>
      </c>
      <c r="B382">
        <v>2017</v>
      </c>
      <c r="C382" t="s">
        <v>642</v>
      </c>
      <c r="D382" t="s">
        <v>644</v>
      </c>
      <c r="E382" t="s">
        <v>646</v>
      </c>
      <c r="F382" t="s">
        <v>92</v>
      </c>
      <c r="G382" t="s">
        <v>93</v>
      </c>
      <c r="H382">
        <v>6</v>
      </c>
      <c r="I382">
        <v>114.40438759786441</v>
      </c>
      <c r="J382">
        <v>120.40438759786441</v>
      </c>
      <c r="K382">
        <f>IFERROR(VLOOKUP(F382,'LEAID Match'!$A$2:$B$236,2,FALSE),"")</f>
        <v>2300009</v>
      </c>
    </row>
    <row r="383" spans="1:11" x14ac:dyDescent="0.2">
      <c r="A383">
        <f t="shared" si="5"/>
        <v>2300009</v>
      </c>
      <c r="B383">
        <v>2018</v>
      </c>
      <c r="C383" t="s">
        <v>642</v>
      </c>
      <c r="D383" t="s">
        <v>644</v>
      </c>
      <c r="E383" t="s">
        <v>646</v>
      </c>
      <c r="F383" t="s">
        <v>92</v>
      </c>
      <c r="G383" t="s">
        <v>93</v>
      </c>
      <c r="I383">
        <v>0</v>
      </c>
      <c r="J383">
        <v>0</v>
      </c>
      <c r="K383">
        <f>IFERROR(VLOOKUP(F383,'LEAID Match'!$A$2:$B$236,2,FALSE),"")</f>
        <v>2300009</v>
      </c>
    </row>
    <row r="384" spans="1:11" x14ac:dyDescent="0.2">
      <c r="A384">
        <f t="shared" si="5"/>
        <v>2300009</v>
      </c>
      <c r="B384">
        <v>2019</v>
      </c>
      <c r="C384" t="s">
        <v>642</v>
      </c>
      <c r="D384" t="s">
        <v>644</v>
      </c>
      <c r="E384" t="s">
        <v>646</v>
      </c>
      <c r="F384" t="s">
        <v>92</v>
      </c>
      <c r="G384" t="s">
        <v>93</v>
      </c>
      <c r="I384">
        <v>0</v>
      </c>
      <c r="J384">
        <v>0</v>
      </c>
      <c r="K384">
        <f>IFERROR(VLOOKUP(F384,'LEAID Match'!$A$2:$B$236,2,FALSE),"")</f>
        <v>2300009</v>
      </c>
    </row>
    <row r="385" spans="1:11" x14ac:dyDescent="0.2">
      <c r="A385">
        <f t="shared" si="5"/>
        <v>2300009</v>
      </c>
      <c r="B385">
        <v>2020</v>
      </c>
      <c r="C385" t="s">
        <v>642</v>
      </c>
      <c r="D385" t="s">
        <v>644</v>
      </c>
      <c r="E385" t="s">
        <v>646</v>
      </c>
      <c r="F385" t="s">
        <v>92</v>
      </c>
      <c r="G385" t="s">
        <v>93</v>
      </c>
      <c r="I385">
        <v>0</v>
      </c>
      <c r="J385">
        <v>0</v>
      </c>
      <c r="K385">
        <f>IFERROR(VLOOKUP(F385,'LEAID Match'!$A$2:$B$236,2,FALSE),"")</f>
        <v>2300009</v>
      </c>
    </row>
    <row r="386" spans="1:11" x14ac:dyDescent="0.2">
      <c r="A386">
        <f t="shared" si="5"/>
        <v>2300009</v>
      </c>
      <c r="B386">
        <v>2021</v>
      </c>
      <c r="C386" t="s">
        <v>642</v>
      </c>
      <c r="D386" t="s">
        <v>644</v>
      </c>
      <c r="E386" t="s">
        <v>646</v>
      </c>
      <c r="F386" t="s">
        <v>92</v>
      </c>
      <c r="G386" t="s">
        <v>93</v>
      </c>
      <c r="I386">
        <v>0</v>
      </c>
      <c r="J386">
        <v>0</v>
      </c>
      <c r="K386">
        <f>IFERROR(VLOOKUP(F386,'LEAID Match'!$A$2:$B$236,2,FALSE),"")</f>
        <v>2300009</v>
      </c>
    </row>
    <row r="387" spans="1:11" x14ac:dyDescent="0.2">
      <c r="A387">
        <f t="shared" ref="A387:A450" si="6">K387</f>
        <v>2300009</v>
      </c>
      <c r="B387">
        <v>2022</v>
      </c>
      <c r="C387" t="s">
        <v>642</v>
      </c>
      <c r="D387" t="s">
        <v>644</v>
      </c>
      <c r="E387" t="s">
        <v>646</v>
      </c>
      <c r="F387" t="s">
        <v>92</v>
      </c>
      <c r="G387" t="s">
        <v>93</v>
      </c>
      <c r="I387">
        <v>0</v>
      </c>
      <c r="J387">
        <v>0</v>
      </c>
      <c r="K387">
        <f>IFERROR(VLOOKUP(F387,'LEAID Match'!$A$2:$B$236,2,FALSE),"")</f>
        <v>2300009</v>
      </c>
    </row>
    <row r="388" spans="1:11" x14ac:dyDescent="0.2">
      <c r="A388">
        <f t="shared" si="6"/>
        <v>2307800</v>
      </c>
      <c r="B388">
        <v>2015</v>
      </c>
      <c r="C388" t="s">
        <v>642</v>
      </c>
      <c r="D388" t="s">
        <v>644</v>
      </c>
      <c r="E388" t="s">
        <v>646</v>
      </c>
      <c r="F388" t="s">
        <v>94</v>
      </c>
      <c r="G388" t="s">
        <v>95</v>
      </c>
      <c r="H388">
        <v>25997</v>
      </c>
      <c r="I388">
        <v>498457.14210662164</v>
      </c>
      <c r="J388">
        <v>524454.14210662164</v>
      </c>
      <c r="K388">
        <f>IFERROR(VLOOKUP(F388,'LEAID Match'!$A$2:$B$236,2,FALSE),"")</f>
        <v>2307800</v>
      </c>
    </row>
    <row r="389" spans="1:11" x14ac:dyDescent="0.2">
      <c r="A389">
        <f t="shared" si="6"/>
        <v>2307800</v>
      </c>
      <c r="B389">
        <v>2016</v>
      </c>
      <c r="C389" t="s">
        <v>642</v>
      </c>
      <c r="D389" t="s">
        <v>644</v>
      </c>
      <c r="E389" t="s">
        <v>646</v>
      </c>
      <c r="F389" s="1" t="s">
        <v>94</v>
      </c>
      <c r="G389" s="1" t="s">
        <v>95</v>
      </c>
      <c r="H389" s="22">
        <v>16856</v>
      </c>
      <c r="I389">
        <v>320341.57564748474</v>
      </c>
      <c r="J389">
        <v>337197.57564748474</v>
      </c>
      <c r="K389">
        <f>IFERROR(VLOOKUP(F389,'LEAID Match'!$A$2:$B$236,2,FALSE),"")</f>
        <v>2307800</v>
      </c>
    </row>
    <row r="390" spans="1:11" x14ac:dyDescent="0.2">
      <c r="A390">
        <f t="shared" si="6"/>
        <v>2307800</v>
      </c>
      <c r="B390">
        <v>2017</v>
      </c>
      <c r="C390" t="s">
        <v>642</v>
      </c>
      <c r="D390" t="s">
        <v>644</v>
      </c>
      <c r="E390" t="s">
        <v>646</v>
      </c>
      <c r="F390" t="s">
        <v>94</v>
      </c>
      <c r="G390" t="s">
        <v>95</v>
      </c>
      <c r="H390">
        <v>18785</v>
      </c>
      <c r="I390">
        <v>358181.07017098053</v>
      </c>
      <c r="J390">
        <v>376966.07017098053</v>
      </c>
      <c r="K390">
        <f>IFERROR(VLOOKUP(F390,'LEAID Match'!$A$2:$B$236,2,FALSE),"")</f>
        <v>2307800</v>
      </c>
    </row>
    <row r="391" spans="1:11" x14ac:dyDescent="0.2">
      <c r="A391">
        <f t="shared" si="6"/>
        <v>2307800</v>
      </c>
      <c r="B391">
        <v>2018</v>
      </c>
      <c r="C391" t="s">
        <v>642</v>
      </c>
      <c r="D391" t="s">
        <v>644</v>
      </c>
      <c r="E391" t="s">
        <v>646</v>
      </c>
      <c r="F391" t="s">
        <v>94</v>
      </c>
      <c r="G391" t="s">
        <v>95</v>
      </c>
      <c r="H391">
        <v>17586</v>
      </c>
      <c r="I391">
        <v>356455.80128161015</v>
      </c>
      <c r="J391">
        <v>374041.80128161015</v>
      </c>
      <c r="K391">
        <f>IFERROR(VLOOKUP(F391,'LEAID Match'!$A$2:$B$236,2,FALSE),"")</f>
        <v>2307800</v>
      </c>
    </row>
    <row r="392" spans="1:11" x14ac:dyDescent="0.2">
      <c r="A392">
        <f t="shared" si="6"/>
        <v>2307800</v>
      </c>
      <c r="B392">
        <v>2019</v>
      </c>
      <c r="C392" t="s">
        <v>642</v>
      </c>
      <c r="D392" t="s">
        <v>644</v>
      </c>
      <c r="E392" t="s">
        <v>646</v>
      </c>
      <c r="F392" t="s">
        <v>94</v>
      </c>
      <c r="G392" t="s">
        <v>95</v>
      </c>
      <c r="H392">
        <v>17324</v>
      </c>
      <c r="I392">
        <v>371150.00664291182</v>
      </c>
      <c r="J392">
        <v>388474.00664291182</v>
      </c>
      <c r="K392">
        <f>IFERROR(VLOOKUP(F392,'LEAID Match'!$A$2:$B$236,2,FALSE),"")</f>
        <v>2307800</v>
      </c>
    </row>
    <row r="393" spans="1:11" x14ac:dyDescent="0.2">
      <c r="A393">
        <f t="shared" si="6"/>
        <v>2307800</v>
      </c>
      <c r="B393">
        <v>2020</v>
      </c>
      <c r="C393" t="s">
        <v>642</v>
      </c>
      <c r="D393" t="s">
        <v>644</v>
      </c>
      <c r="E393" t="s">
        <v>646</v>
      </c>
      <c r="F393" t="s">
        <v>94</v>
      </c>
      <c r="G393" t="s">
        <v>95</v>
      </c>
      <c r="H393">
        <v>32617</v>
      </c>
      <c r="I393">
        <v>726769.6149395688</v>
      </c>
      <c r="J393">
        <v>759386.6149395688</v>
      </c>
      <c r="K393">
        <f>IFERROR(VLOOKUP(F393,'LEAID Match'!$A$2:$B$236,2,FALSE),"")</f>
        <v>2307800</v>
      </c>
    </row>
    <row r="394" spans="1:11" x14ac:dyDescent="0.2">
      <c r="A394">
        <f t="shared" si="6"/>
        <v>2307800</v>
      </c>
      <c r="B394">
        <v>2021</v>
      </c>
      <c r="C394" t="s">
        <v>642</v>
      </c>
      <c r="D394" t="s">
        <v>644</v>
      </c>
      <c r="E394" t="s">
        <v>646</v>
      </c>
      <c r="F394" t="s">
        <v>94</v>
      </c>
      <c r="G394" t="s">
        <v>95</v>
      </c>
      <c r="H394">
        <v>27815</v>
      </c>
      <c r="I394">
        <v>467273.93183034152</v>
      </c>
      <c r="J394">
        <v>495088.93183034152</v>
      </c>
      <c r="K394">
        <f>IFERROR(VLOOKUP(F394,'LEAID Match'!$A$2:$B$236,2,FALSE),"")</f>
        <v>2307800</v>
      </c>
    </row>
    <row r="395" spans="1:11" x14ac:dyDescent="0.2">
      <c r="A395">
        <f t="shared" si="6"/>
        <v>2307800</v>
      </c>
      <c r="B395">
        <v>2022</v>
      </c>
      <c r="C395" t="s">
        <v>642</v>
      </c>
      <c r="D395" t="s">
        <v>644</v>
      </c>
      <c r="E395" t="s">
        <v>646</v>
      </c>
      <c r="F395" t="s">
        <v>94</v>
      </c>
      <c r="G395" t="s">
        <v>95</v>
      </c>
      <c r="H395">
        <v>37474</v>
      </c>
      <c r="I395">
        <v>539437.20805614954</v>
      </c>
      <c r="J395">
        <v>576911.20805614954</v>
      </c>
      <c r="K395">
        <f>IFERROR(VLOOKUP(F395,'LEAID Match'!$A$2:$B$236,2,FALSE),"")</f>
        <v>2307800</v>
      </c>
    </row>
    <row r="396" spans="1:11" x14ac:dyDescent="0.2">
      <c r="A396">
        <f t="shared" si="6"/>
        <v>0</v>
      </c>
      <c r="B396">
        <v>2015</v>
      </c>
      <c r="C396" t="s">
        <v>642</v>
      </c>
      <c r="D396" t="s">
        <v>644</v>
      </c>
      <c r="E396" t="s">
        <v>646</v>
      </c>
      <c r="F396" t="s">
        <v>96</v>
      </c>
      <c r="G396" t="s">
        <v>97</v>
      </c>
      <c r="H396">
        <v>9072</v>
      </c>
      <c r="I396">
        <v>173943.27011544682</v>
      </c>
      <c r="J396">
        <v>183015.27011544682</v>
      </c>
      <c r="K396">
        <f>IFERROR(VLOOKUP(F396,'LEAID Match'!$A$2:$B$236,2,FALSE),"")</f>
        <v>0</v>
      </c>
    </row>
    <row r="397" spans="1:11" x14ac:dyDescent="0.2">
      <c r="A397">
        <f t="shared" si="6"/>
        <v>0</v>
      </c>
      <c r="B397">
        <v>2016</v>
      </c>
      <c r="C397" t="s">
        <v>642</v>
      </c>
      <c r="D397" t="s">
        <v>644</v>
      </c>
      <c r="E397" t="s">
        <v>646</v>
      </c>
      <c r="F397" s="1" t="s">
        <v>96</v>
      </c>
      <c r="G397" s="1" t="s">
        <v>97</v>
      </c>
      <c r="H397" s="22">
        <v>7182</v>
      </c>
      <c r="I397">
        <v>136491.0534112622</v>
      </c>
      <c r="J397">
        <v>143673.0534112622</v>
      </c>
      <c r="K397">
        <f>IFERROR(VLOOKUP(F397,'LEAID Match'!$A$2:$B$236,2,FALSE),"")</f>
        <v>0</v>
      </c>
    </row>
    <row r="398" spans="1:11" x14ac:dyDescent="0.2">
      <c r="A398">
        <f t="shared" si="6"/>
        <v>0</v>
      </c>
      <c r="B398">
        <v>2017</v>
      </c>
      <c r="C398" t="s">
        <v>642</v>
      </c>
      <c r="D398" t="s">
        <v>644</v>
      </c>
      <c r="E398" t="s">
        <v>646</v>
      </c>
      <c r="F398" t="s">
        <v>96</v>
      </c>
      <c r="G398" t="s">
        <v>97</v>
      </c>
      <c r="H398">
        <v>600</v>
      </c>
      <c r="I398">
        <v>11440.438759786441</v>
      </c>
      <c r="J398">
        <v>12040.438759786441</v>
      </c>
      <c r="K398">
        <f>IFERROR(VLOOKUP(F398,'LEAID Match'!$A$2:$B$236,2,FALSE),"")</f>
        <v>0</v>
      </c>
    </row>
    <row r="399" spans="1:11" x14ac:dyDescent="0.2">
      <c r="A399">
        <f t="shared" si="6"/>
        <v>0</v>
      </c>
      <c r="B399">
        <v>2018</v>
      </c>
      <c r="C399" t="s">
        <v>642</v>
      </c>
      <c r="D399" t="s">
        <v>644</v>
      </c>
      <c r="E399" t="s">
        <v>646</v>
      </c>
      <c r="F399" t="s">
        <v>96</v>
      </c>
      <c r="G399" t="s">
        <v>97</v>
      </c>
      <c r="I399">
        <v>0</v>
      </c>
      <c r="J399">
        <v>0</v>
      </c>
      <c r="K399">
        <f>IFERROR(VLOOKUP(F399,'LEAID Match'!$A$2:$B$236,2,FALSE),"")</f>
        <v>0</v>
      </c>
    </row>
    <row r="400" spans="1:11" x14ac:dyDescent="0.2">
      <c r="A400">
        <f t="shared" si="6"/>
        <v>0</v>
      </c>
      <c r="B400">
        <v>2019</v>
      </c>
      <c r="C400" t="s">
        <v>642</v>
      </c>
      <c r="D400" t="s">
        <v>644</v>
      </c>
      <c r="E400" t="s">
        <v>646</v>
      </c>
      <c r="F400" t="s">
        <v>96</v>
      </c>
      <c r="G400" t="s">
        <v>97</v>
      </c>
      <c r="H400">
        <v>7976</v>
      </c>
      <c r="I400">
        <v>170878.11434910324</v>
      </c>
      <c r="J400">
        <v>178854.11434910324</v>
      </c>
      <c r="K400">
        <f>IFERROR(VLOOKUP(F400,'LEAID Match'!$A$2:$B$236,2,FALSE),"")</f>
        <v>0</v>
      </c>
    </row>
    <row r="401" spans="1:11" x14ac:dyDescent="0.2">
      <c r="A401">
        <f t="shared" si="6"/>
        <v>0</v>
      </c>
      <c r="B401">
        <v>2020</v>
      </c>
      <c r="C401" t="s">
        <v>642</v>
      </c>
      <c r="D401" t="s">
        <v>644</v>
      </c>
      <c r="E401" t="s">
        <v>646</v>
      </c>
      <c r="F401" t="s">
        <v>96</v>
      </c>
      <c r="G401" t="s">
        <v>97</v>
      </c>
      <c r="H401">
        <v>12691</v>
      </c>
      <c r="I401">
        <v>282779.93632762268</v>
      </c>
      <c r="J401">
        <v>295470.93632762268</v>
      </c>
      <c r="K401">
        <f>IFERROR(VLOOKUP(F401,'LEAID Match'!$A$2:$B$236,2,FALSE),"")</f>
        <v>0</v>
      </c>
    </row>
    <row r="402" spans="1:11" x14ac:dyDescent="0.2">
      <c r="A402">
        <f t="shared" si="6"/>
        <v>0</v>
      </c>
      <c r="B402">
        <v>2021</v>
      </c>
      <c r="C402" t="s">
        <v>642</v>
      </c>
      <c r="D402" t="s">
        <v>644</v>
      </c>
      <c r="E402" t="s">
        <v>646</v>
      </c>
      <c r="F402" t="s">
        <v>96</v>
      </c>
      <c r="G402" t="s">
        <v>97</v>
      </c>
      <c r="H402">
        <v>12774</v>
      </c>
      <c r="I402">
        <v>214594.90221825571</v>
      </c>
      <c r="J402">
        <v>227368.90221825571</v>
      </c>
      <c r="K402">
        <f>IFERROR(VLOOKUP(F402,'LEAID Match'!$A$2:$B$236,2,FALSE),"")</f>
        <v>0</v>
      </c>
    </row>
    <row r="403" spans="1:11" x14ac:dyDescent="0.2">
      <c r="A403">
        <f t="shared" si="6"/>
        <v>0</v>
      </c>
      <c r="B403">
        <v>2022</v>
      </c>
      <c r="C403" t="s">
        <v>642</v>
      </c>
      <c r="D403" t="s">
        <v>644</v>
      </c>
      <c r="E403" t="s">
        <v>646</v>
      </c>
      <c r="F403" t="s">
        <v>96</v>
      </c>
      <c r="G403" t="s">
        <v>97</v>
      </c>
      <c r="H403">
        <v>13008</v>
      </c>
      <c r="I403">
        <v>187249.80526216555</v>
      </c>
      <c r="J403">
        <v>200257.80526216555</v>
      </c>
      <c r="K403">
        <f>IFERROR(VLOOKUP(F403,'LEAID Match'!$A$2:$B$236,2,FALSE),"")</f>
        <v>0</v>
      </c>
    </row>
    <row r="404" spans="1:11" x14ac:dyDescent="0.2">
      <c r="A404">
        <f t="shared" si="6"/>
        <v>2308160</v>
      </c>
      <c r="B404">
        <v>2015</v>
      </c>
      <c r="C404" t="s">
        <v>642</v>
      </c>
      <c r="D404" t="s">
        <v>644</v>
      </c>
      <c r="E404" t="s">
        <v>646</v>
      </c>
      <c r="F404" t="s">
        <v>487</v>
      </c>
      <c r="G404" t="s">
        <v>98</v>
      </c>
      <c r="H404">
        <v>5589</v>
      </c>
      <c r="I404">
        <v>107161.47891040922</v>
      </c>
      <c r="J404">
        <v>112750.47891040922</v>
      </c>
      <c r="K404">
        <f>IFERROR(VLOOKUP(F404,'LEAID Match'!$A$2:$B$236,2,FALSE),"")</f>
        <v>2308160</v>
      </c>
    </row>
    <row r="405" spans="1:11" x14ac:dyDescent="0.2">
      <c r="A405">
        <f t="shared" si="6"/>
        <v>2308160</v>
      </c>
      <c r="B405">
        <v>2016</v>
      </c>
      <c r="C405" t="s">
        <v>642</v>
      </c>
      <c r="D405" t="s">
        <v>644</v>
      </c>
      <c r="E405" t="s">
        <v>646</v>
      </c>
      <c r="F405" s="1" t="s">
        <v>487</v>
      </c>
      <c r="G405" s="1" t="s">
        <v>98</v>
      </c>
      <c r="H405" s="22">
        <v>9292</v>
      </c>
      <c r="I405">
        <v>176590.76417396939</v>
      </c>
      <c r="J405">
        <v>185882.76417396939</v>
      </c>
      <c r="K405">
        <f>IFERROR(VLOOKUP(F405,'LEAID Match'!$A$2:$B$236,2,FALSE),"")</f>
        <v>2308160</v>
      </c>
    </row>
    <row r="406" spans="1:11" x14ac:dyDescent="0.2">
      <c r="A406">
        <f t="shared" si="6"/>
        <v>2308160</v>
      </c>
      <c r="B406">
        <v>2017</v>
      </c>
      <c r="C406" t="s">
        <v>642</v>
      </c>
      <c r="D406" t="s">
        <v>644</v>
      </c>
      <c r="E406" t="s">
        <v>646</v>
      </c>
      <c r="F406" t="s">
        <v>487</v>
      </c>
      <c r="G406" t="s">
        <v>98</v>
      </c>
      <c r="H406">
        <v>3765</v>
      </c>
      <c r="I406">
        <v>71788.75321765992</v>
      </c>
      <c r="J406">
        <v>75553.75321765992</v>
      </c>
      <c r="K406">
        <f>IFERROR(VLOOKUP(F406,'LEAID Match'!$A$2:$B$236,2,FALSE),"")</f>
        <v>2308160</v>
      </c>
    </row>
    <row r="407" spans="1:11" x14ac:dyDescent="0.2">
      <c r="A407">
        <f t="shared" si="6"/>
        <v>2308160</v>
      </c>
      <c r="B407">
        <v>2018</v>
      </c>
      <c r="C407" t="s">
        <v>642</v>
      </c>
      <c r="D407" t="s">
        <v>644</v>
      </c>
      <c r="E407" t="s">
        <v>646</v>
      </c>
      <c r="F407" t="s">
        <v>487</v>
      </c>
      <c r="G407" t="s">
        <v>98</v>
      </c>
      <c r="H407">
        <v>4813</v>
      </c>
      <c r="I407">
        <v>97556.111200295112</v>
      </c>
      <c r="J407">
        <v>102369.11120029511</v>
      </c>
      <c r="K407">
        <f>IFERROR(VLOOKUP(F407,'LEAID Match'!$A$2:$B$236,2,FALSE),"")</f>
        <v>2308160</v>
      </c>
    </row>
    <row r="408" spans="1:11" x14ac:dyDescent="0.2">
      <c r="A408">
        <f t="shared" si="6"/>
        <v>2308160</v>
      </c>
      <c r="B408">
        <v>2019</v>
      </c>
      <c r="C408" t="s">
        <v>642</v>
      </c>
      <c r="D408" t="s">
        <v>644</v>
      </c>
      <c r="E408" t="s">
        <v>646</v>
      </c>
      <c r="F408" t="s">
        <v>487</v>
      </c>
      <c r="G408" t="s">
        <v>98</v>
      </c>
      <c r="H408">
        <v>6018</v>
      </c>
      <c r="I408">
        <v>128929.85107232991</v>
      </c>
      <c r="J408">
        <v>134947.85107232991</v>
      </c>
      <c r="K408">
        <f>IFERROR(VLOOKUP(F408,'LEAID Match'!$A$2:$B$236,2,FALSE),"")</f>
        <v>2308160</v>
      </c>
    </row>
    <row r="409" spans="1:11" x14ac:dyDescent="0.2">
      <c r="A409">
        <f t="shared" si="6"/>
        <v>2308160</v>
      </c>
      <c r="B409">
        <v>2020</v>
      </c>
      <c r="C409" t="s">
        <v>642</v>
      </c>
      <c r="D409" t="s">
        <v>644</v>
      </c>
      <c r="E409" t="s">
        <v>646</v>
      </c>
      <c r="F409" t="s">
        <v>487</v>
      </c>
      <c r="G409" t="s">
        <v>98</v>
      </c>
      <c r="H409">
        <v>8605</v>
      </c>
      <c r="I409">
        <v>191735.98235751261</v>
      </c>
      <c r="J409">
        <v>200340.98235751261</v>
      </c>
      <c r="K409">
        <f>IFERROR(VLOOKUP(F409,'LEAID Match'!$A$2:$B$236,2,FALSE),"")</f>
        <v>2308160</v>
      </c>
    </row>
    <row r="410" spans="1:11" x14ac:dyDescent="0.2">
      <c r="A410">
        <f t="shared" si="6"/>
        <v>2308160</v>
      </c>
      <c r="B410">
        <v>2021</v>
      </c>
      <c r="C410" t="s">
        <v>642</v>
      </c>
      <c r="D410" t="s">
        <v>644</v>
      </c>
      <c r="E410" t="s">
        <v>646</v>
      </c>
      <c r="F410" t="s">
        <v>487</v>
      </c>
      <c r="G410" t="s">
        <v>98</v>
      </c>
      <c r="H410">
        <v>14717</v>
      </c>
      <c r="I410">
        <v>247236.04007719347</v>
      </c>
      <c r="J410">
        <v>261953.04007719347</v>
      </c>
      <c r="K410">
        <f>IFERROR(VLOOKUP(F410,'LEAID Match'!$A$2:$B$236,2,FALSE),"")</f>
        <v>2308160</v>
      </c>
    </row>
    <row r="411" spans="1:11" x14ac:dyDescent="0.2">
      <c r="A411">
        <f t="shared" si="6"/>
        <v>2308160</v>
      </c>
      <c r="B411">
        <v>2022</v>
      </c>
      <c r="C411" t="s">
        <v>642</v>
      </c>
      <c r="D411" t="s">
        <v>644</v>
      </c>
      <c r="E411" t="s">
        <v>646</v>
      </c>
      <c r="F411" t="s">
        <v>487</v>
      </c>
      <c r="G411" t="s">
        <v>98</v>
      </c>
      <c r="H411">
        <v>15920</v>
      </c>
      <c r="I411">
        <v>229167.96584975981</v>
      </c>
      <c r="J411">
        <v>245087.96584975981</v>
      </c>
      <c r="K411">
        <f>IFERROR(VLOOKUP(F411,'LEAID Match'!$A$2:$B$236,2,FALSE),"")</f>
        <v>2308160</v>
      </c>
    </row>
    <row r="412" spans="1:11" x14ac:dyDescent="0.2">
      <c r="A412">
        <f t="shared" si="6"/>
        <v>2308280</v>
      </c>
      <c r="B412">
        <v>2015</v>
      </c>
      <c r="C412" t="s">
        <v>642</v>
      </c>
      <c r="D412" t="s">
        <v>644</v>
      </c>
      <c r="E412" t="s">
        <v>646</v>
      </c>
      <c r="F412" t="s">
        <v>488</v>
      </c>
      <c r="G412" t="s">
        <v>99</v>
      </c>
      <c r="H412">
        <v>37236</v>
      </c>
      <c r="I412">
        <v>713949.69202147028</v>
      </c>
      <c r="J412">
        <v>751185.69202147028</v>
      </c>
      <c r="K412">
        <f>IFERROR(VLOOKUP(F412,'LEAID Match'!$A$2:$B$236,2,FALSE),"")</f>
        <v>2308280</v>
      </c>
    </row>
    <row r="413" spans="1:11" x14ac:dyDescent="0.2">
      <c r="A413">
        <f t="shared" si="6"/>
        <v>2308280</v>
      </c>
      <c r="B413">
        <v>2016</v>
      </c>
      <c r="C413" t="s">
        <v>642</v>
      </c>
      <c r="D413" t="s">
        <v>644</v>
      </c>
      <c r="E413" t="s">
        <v>646</v>
      </c>
      <c r="F413" s="1" t="s">
        <v>488</v>
      </c>
      <c r="G413" s="1" t="s">
        <v>99</v>
      </c>
      <c r="H413" s="22">
        <v>42155</v>
      </c>
      <c r="I413">
        <v>801139.00815256999</v>
      </c>
      <c r="J413">
        <v>843294.00815256999</v>
      </c>
      <c r="K413">
        <f>IFERROR(VLOOKUP(F413,'LEAID Match'!$A$2:$B$236,2,FALSE),"")</f>
        <v>2308280</v>
      </c>
    </row>
    <row r="414" spans="1:11" x14ac:dyDescent="0.2">
      <c r="A414">
        <f t="shared" si="6"/>
        <v>2308280</v>
      </c>
      <c r="B414">
        <v>2017</v>
      </c>
      <c r="C414" t="s">
        <v>642</v>
      </c>
      <c r="D414" t="s">
        <v>644</v>
      </c>
      <c r="E414" t="s">
        <v>646</v>
      </c>
      <c r="F414" t="s">
        <v>488</v>
      </c>
      <c r="G414" t="s">
        <v>99</v>
      </c>
      <c r="H414">
        <v>52612</v>
      </c>
      <c r="I414">
        <v>1003173.9400498071</v>
      </c>
      <c r="J414">
        <v>1055785.9400498071</v>
      </c>
      <c r="K414">
        <f>IFERROR(VLOOKUP(F414,'LEAID Match'!$A$2:$B$236,2,FALSE),"")</f>
        <v>2308280</v>
      </c>
    </row>
    <row r="415" spans="1:11" x14ac:dyDescent="0.2">
      <c r="A415">
        <f t="shared" si="6"/>
        <v>2308280</v>
      </c>
      <c r="B415">
        <v>2018</v>
      </c>
      <c r="C415" t="s">
        <v>642</v>
      </c>
      <c r="D415" t="s">
        <v>644</v>
      </c>
      <c r="E415" t="s">
        <v>646</v>
      </c>
      <c r="F415" t="s">
        <v>488</v>
      </c>
      <c r="G415" t="s">
        <v>99</v>
      </c>
      <c r="H415">
        <v>54434</v>
      </c>
      <c r="I415">
        <v>1103338.7403026936</v>
      </c>
      <c r="J415">
        <v>1157772.7403026936</v>
      </c>
      <c r="K415">
        <f>IFERROR(VLOOKUP(F415,'LEAID Match'!$A$2:$B$236,2,FALSE),"")</f>
        <v>2308280</v>
      </c>
    </row>
    <row r="416" spans="1:11" x14ac:dyDescent="0.2">
      <c r="A416">
        <f t="shared" si="6"/>
        <v>2308280</v>
      </c>
      <c r="B416">
        <v>2019</v>
      </c>
      <c r="C416" t="s">
        <v>642</v>
      </c>
      <c r="D416" t="s">
        <v>644</v>
      </c>
      <c r="E416" t="s">
        <v>646</v>
      </c>
      <c r="F416" t="s">
        <v>488</v>
      </c>
      <c r="G416" t="s">
        <v>99</v>
      </c>
      <c r="H416">
        <v>26407</v>
      </c>
      <c r="I416">
        <v>565744.52928996598</v>
      </c>
      <c r="J416">
        <v>592151.52928996598</v>
      </c>
      <c r="K416">
        <f>IFERROR(VLOOKUP(F416,'LEAID Match'!$A$2:$B$236,2,FALSE),"")</f>
        <v>2308280</v>
      </c>
    </row>
    <row r="417" spans="1:11" x14ac:dyDescent="0.2">
      <c r="A417">
        <f t="shared" si="6"/>
        <v>2308280</v>
      </c>
      <c r="B417">
        <v>2020</v>
      </c>
      <c r="C417" t="s">
        <v>642</v>
      </c>
      <c r="D417" t="s">
        <v>644</v>
      </c>
      <c r="E417" t="s">
        <v>646</v>
      </c>
      <c r="F417" t="s">
        <v>488</v>
      </c>
      <c r="G417" t="s">
        <v>99</v>
      </c>
      <c r="H417">
        <v>23879</v>
      </c>
      <c r="I417">
        <v>532070.13628298009</v>
      </c>
      <c r="J417">
        <v>555949.13628298009</v>
      </c>
      <c r="K417">
        <f>IFERROR(VLOOKUP(F417,'LEAID Match'!$A$2:$B$236,2,FALSE),"")</f>
        <v>2308280</v>
      </c>
    </row>
    <row r="418" spans="1:11" x14ac:dyDescent="0.2">
      <c r="A418">
        <f t="shared" si="6"/>
        <v>2308280</v>
      </c>
      <c r="B418">
        <v>2021</v>
      </c>
      <c r="C418" t="s">
        <v>642</v>
      </c>
      <c r="D418" t="s">
        <v>644</v>
      </c>
      <c r="E418" t="s">
        <v>646</v>
      </c>
      <c r="F418" t="s">
        <v>488</v>
      </c>
      <c r="G418" t="s">
        <v>99</v>
      </c>
      <c r="H418">
        <v>28848</v>
      </c>
      <c r="I418">
        <v>484627.66081041499</v>
      </c>
      <c r="J418">
        <v>513475.66081041499</v>
      </c>
      <c r="K418">
        <f>IFERROR(VLOOKUP(F418,'LEAID Match'!$A$2:$B$236,2,FALSE),"")</f>
        <v>2308280</v>
      </c>
    </row>
    <row r="419" spans="1:11" x14ac:dyDescent="0.2">
      <c r="A419">
        <f t="shared" si="6"/>
        <v>2308280</v>
      </c>
      <c r="B419">
        <v>2022</v>
      </c>
      <c r="C419" t="s">
        <v>642</v>
      </c>
      <c r="D419" t="s">
        <v>644</v>
      </c>
      <c r="E419" t="s">
        <v>646</v>
      </c>
      <c r="F419" t="s">
        <v>488</v>
      </c>
      <c r="G419" t="s">
        <v>99</v>
      </c>
      <c r="H419">
        <v>36456</v>
      </c>
      <c r="I419">
        <v>524783.12581776653</v>
      </c>
      <c r="J419">
        <v>561239.12581776653</v>
      </c>
      <c r="K419">
        <f>IFERROR(VLOOKUP(F419,'LEAID Match'!$A$2:$B$236,2,FALSE),"")</f>
        <v>2308280</v>
      </c>
    </row>
    <row r="420" spans="1:11" x14ac:dyDescent="0.2">
      <c r="A420">
        <f t="shared" si="6"/>
        <v>2314840</v>
      </c>
      <c r="B420">
        <v>2019</v>
      </c>
      <c r="C420" t="s">
        <v>642</v>
      </c>
      <c r="D420" t="s">
        <v>644</v>
      </c>
      <c r="E420" t="s">
        <v>646</v>
      </c>
      <c r="F420" t="s">
        <v>626</v>
      </c>
      <c r="G420" t="s">
        <v>627</v>
      </c>
      <c r="I420">
        <v>0</v>
      </c>
      <c r="J420">
        <v>0</v>
      </c>
      <c r="K420">
        <f>IFERROR(VLOOKUP(F420,'LEAID Match'!$A$2:$B$236,2,FALSE),"")</f>
        <v>2314840</v>
      </c>
    </row>
    <row r="421" spans="1:11" x14ac:dyDescent="0.2">
      <c r="A421">
        <f t="shared" si="6"/>
        <v>2314840</v>
      </c>
      <c r="B421">
        <v>2020</v>
      </c>
      <c r="C421" t="s">
        <v>642</v>
      </c>
      <c r="D421" t="s">
        <v>644</v>
      </c>
      <c r="E421" t="s">
        <v>646</v>
      </c>
      <c r="F421" t="s">
        <v>626</v>
      </c>
      <c r="G421" t="s">
        <v>627</v>
      </c>
      <c r="I421">
        <v>0</v>
      </c>
      <c r="J421">
        <v>0</v>
      </c>
      <c r="K421">
        <f>IFERROR(VLOOKUP(F421,'LEAID Match'!$A$2:$B$236,2,FALSE),"")</f>
        <v>2314840</v>
      </c>
    </row>
    <row r="422" spans="1:11" x14ac:dyDescent="0.2">
      <c r="A422">
        <f t="shared" si="6"/>
        <v>2314840</v>
      </c>
      <c r="B422">
        <v>2021</v>
      </c>
      <c r="C422" t="s">
        <v>642</v>
      </c>
      <c r="D422" t="s">
        <v>644</v>
      </c>
      <c r="E422" t="s">
        <v>646</v>
      </c>
      <c r="F422" t="s">
        <v>626</v>
      </c>
      <c r="G422" t="s">
        <v>627</v>
      </c>
      <c r="H422">
        <v>514</v>
      </c>
      <c r="I422">
        <v>8634.8661139958858</v>
      </c>
      <c r="J422">
        <v>9148.8661139958858</v>
      </c>
      <c r="K422">
        <f>IFERROR(VLOOKUP(F422,'LEAID Match'!$A$2:$B$236,2,FALSE),"")</f>
        <v>2314840</v>
      </c>
    </row>
    <row r="423" spans="1:11" x14ac:dyDescent="0.2">
      <c r="A423">
        <f t="shared" si="6"/>
        <v>2314840</v>
      </c>
      <c r="B423">
        <v>2022</v>
      </c>
      <c r="C423" t="s">
        <v>642</v>
      </c>
      <c r="D423" t="s">
        <v>644</v>
      </c>
      <c r="E423" t="s">
        <v>646</v>
      </c>
      <c r="F423" t="s">
        <v>626</v>
      </c>
      <c r="G423" t="s">
        <v>627</v>
      </c>
      <c r="I423">
        <v>0</v>
      </c>
      <c r="J423">
        <v>0</v>
      </c>
      <c r="K423">
        <f>IFERROR(VLOOKUP(F423,'LEAID Match'!$A$2:$B$236,2,FALSE),"")</f>
        <v>2314840</v>
      </c>
    </row>
    <row r="424" spans="1:11" x14ac:dyDescent="0.2">
      <c r="A424">
        <f t="shared" si="6"/>
        <v>0</v>
      </c>
      <c r="B424">
        <v>2015</v>
      </c>
      <c r="C424" t="s">
        <v>642</v>
      </c>
      <c r="D424" t="s">
        <v>644</v>
      </c>
      <c r="E424" t="s">
        <v>646</v>
      </c>
      <c r="F424" t="s">
        <v>489</v>
      </c>
      <c r="G424" t="s">
        <v>100</v>
      </c>
      <c r="I424">
        <v>0</v>
      </c>
      <c r="J424">
        <v>0</v>
      </c>
      <c r="K424">
        <f>IFERROR(VLOOKUP(F424,'LEAID Match'!$A$2:$B$236,2,FALSE),"")</f>
        <v>0</v>
      </c>
    </row>
    <row r="425" spans="1:11" x14ac:dyDescent="0.2">
      <c r="A425">
        <f t="shared" si="6"/>
        <v>0</v>
      </c>
      <c r="B425">
        <v>2016</v>
      </c>
      <c r="C425" t="s">
        <v>642</v>
      </c>
      <c r="D425" t="s">
        <v>644</v>
      </c>
      <c r="E425" t="s">
        <v>646</v>
      </c>
      <c r="F425" s="1" t="s">
        <v>489</v>
      </c>
      <c r="G425" s="1" t="s">
        <v>100</v>
      </c>
      <c r="H425" s="22"/>
      <c r="I425">
        <v>0</v>
      </c>
      <c r="J425">
        <v>0</v>
      </c>
      <c r="K425">
        <f>IFERROR(VLOOKUP(F425,'LEAID Match'!$A$2:$B$236,2,FALSE),"")</f>
        <v>0</v>
      </c>
    </row>
    <row r="426" spans="1:11" x14ac:dyDescent="0.2">
      <c r="A426">
        <f t="shared" si="6"/>
        <v>0</v>
      </c>
      <c r="B426">
        <v>2017</v>
      </c>
      <c r="C426" t="s">
        <v>642</v>
      </c>
      <c r="D426" t="s">
        <v>644</v>
      </c>
      <c r="E426" t="s">
        <v>646</v>
      </c>
      <c r="F426" t="s">
        <v>489</v>
      </c>
      <c r="G426" t="s">
        <v>100</v>
      </c>
      <c r="I426">
        <v>0</v>
      </c>
      <c r="J426">
        <v>0</v>
      </c>
      <c r="K426">
        <f>IFERROR(VLOOKUP(F426,'LEAID Match'!$A$2:$B$236,2,FALSE),"")</f>
        <v>0</v>
      </c>
    </row>
    <row r="427" spans="1:11" x14ac:dyDescent="0.2">
      <c r="A427">
        <f t="shared" si="6"/>
        <v>0</v>
      </c>
      <c r="B427">
        <v>2018</v>
      </c>
      <c r="C427" t="s">
        <v>642</v>
      </c>
      <c r="D427" t="s">
        <v>644</v>
      </c>
      <c r="E427" t="s">
        <v>646</v>
      </c>
      <c r="F427" t="s">
        <v>489</v>
      </c>
      <c r="G427" t="s">
        <v>100</v>
      </c>
      <c r="I427">
        <v>0</v>
      </c>
      <c r="J427">
        <v>0</v>
      </c>
      <c r="K427">
        <f>IFERROR(VLOOKUP(F427,'LEAID Match'!$A$2:$B$236,2,FALSE),"")</f>
        <v>0</v>
      </c>
    </row>
    <row r="428" spans="1:11" x14ac:dyDescent="0.2">
      <c r="A428">
        <f t="shared" si="6"/>
        <v>0</v>
      </c>
      <c r="B428">
        <v>2019</v>
      </c>
      <c r="C428" t="s">
        <v>642</v>
      </c>
      <c r="D428" t="s">
        <v>644</v>
      </c>
      <c r="E428" t="s">
        <v>646</v>
      </c>
      <c r="F428" t="s">
        <v>489</v>
      </c>
      <c r="G428" t="s">
        <v>100</v>
      </c>
      <c r="I428">
        <v>0</v>
      </c>
      <c r="J428">
        <v>0</v>
      </c>
      <c r="K428">
        <f>IFERROR(VLOOKUP(F428,'LEAID Match'!$A$2:$B$236,2,FALSE),"")</f>
        <v>0</v>
      </c>
    </row>
    <row r="429" spans="1:11" x14ac:dyDescent="0.2">
      <c r="A429">
        <f t="shared" si="6"/>
        <v>0</v>
      </c>
      <c r="B429">
        <v>2020</v>
      </c>
      <c r="C429" t="s">
        <v>642</v>
      </c>
      <c r="D429" t="s">
        <v>644</v>
      </c>
      <c r="E429" t="s">
        <v>646</v>
      </c>
      <c r="F429" t="s">
        <v>489</v>
      </c>
      <c r="G429" t="s">
        <v>100</v>
      </c>
      <c r="I429">
        <v>0</v>
      </c>
      <c r="J429">
        <v>0</v>
      </c>
      <c r="K429">
        <f>IFERROR(VLOOKUP(F429,'LEAID Match'!$A$2:$B$236,2,FALSE),"")</f>
        <v>0</v>
      </c>
    </row>
    <row r="430" spans="1:11" x14ac:dyDescent="0.2">
      <c r="A430">
        <f t="shared" si="6"/>
        <v>0</v>
      </c>
      <c r="B430">
        <v>2021</v>
      </c>
      <c r="C430" t="s">
        <v>642</v>
      </c>
      <c r="D430" t="s">
        <v>644</v>
      </c>
      <c r="E430" t="s">
        <v>646</v>
      </c>
      <c r="F430" t="s">
        <v>489</v>
      </c>
      <c r="G430" t="s">
        <v>100</v>
      </c>
      <c r="I430">
        <v>0</v>
      </c>
      <c r="J430">
        <v>0</v>
      </c>
      <c r="K430">
        <f>IFERROR(VLOOKUP(F430,'LEAID Match'!$A$2:$B$236,2,FALSE),"")</f>
        <v>0</v>
      </c>
    </row>
    <row r="431" spans="1:11" x14ac:dyDescent="0.2">
      <c r="A431">
        <f t="shared" si="6"/>
        <v>0</v>
      </c>
      <c r="B431">
        <v>2022</v>
      </c>
      <c r="C431" t="s">
        <v>642</v>
      </c>
      <c r="D431" t="s">
        <v>644</v>
      </c>
      <c r="E431" t="s">
        <v>646</v>
      </c>
      <c r="F431" t="s">
        <v>489</v>
      </c>
      <c r="G431" t="s">
        <v>100</v>
      </c>
      <c r="I431">
        <v>0</v>
      </c>
      <c r="J431">
        <v>0</v>
      </c>
      <c r="K431">
        <f>IFERROR(VLOOKUP(F431,'LEAID Match'!$A$2:$B$236,2,FALSE),"")</f>
        <v>0</v>
      </c>
    </row>
    <row r="432" spans="1:11" x14ac:dyDescent="0.2">
      <c r="A432">
        <f t="shared" si="6"/>
        <v>2314824</v>
      </c>
      <c r="B432">
        <v>2016</v>
      </c>
      <c r="C432" t="s">
        <v>642</v>
      </c>
      <c r="D432" t="s">
        <v>644</v>
      </c>
      <c r="E432" t="s">
        <v>646</v>
      </c>
      <c r="F432" s="1" t="s">
        <v>490</v>
      </c>
      <c r="G432" s="1" t="s">
        <v>491</v>
      </c>
      <c r="H432" s="22">
        <v>1097</v>
      </c>
      <c r="I432">
        <v>20848.048676156308</v>
      </c>
      <c r="J432">
        <v>21945.048676156308</v>
      </c>
      <c r="K432">
        <f>IFERROR(VLOOKUP(F432,'LEAID Match'!$A$2:$B$236,2,FALSE),"")</f>
        <v>2314824</v>
      </c>
    </row>
    <row r="433" spans="1:11" x14ac:dyDescent="0.2">
      <c r="A433">
        <f t="shared" si="6"/>
        <v>2314824</v>
      </c>
      <c r="B433">
        <v>2017</v>
      </c>
      <c r="C433" t="s">
        <v>642</v>
      </c>
      <c r="D433" t="s">
        <v>644</v>
      </c>
      <c r="E433" t="s">
        <v>646</v>
      </c>
      <c r="F433" t="s">
        <v>490</v>
      </c>
      <c r="G433" t="s">
        <v>491</v>
      </c>
      <c r="H433">
        <v>2714</v>
      </c>
      <c r="I433">
        <v>51748.917990100672</v>
      </c>
      <c r="J433">
        <v>54462.917990100672</v>
      </c>
      <c r="K433">
        <f>IFERROR(VLOOKUP(F433,'LEAID Match'!$A$2:$B$236,2,FALSE),"")</f>
        <v>2314824</v>
      </c>
    </row>
    <row r="434" spans="1:11" x14ac:dyDescent="0.2">
      <c r="A434">
        <f t="shared" si="6"/>
        <v>2314824</v>
      </c>
      <c r="B434">
        <v>2018</v>
      </c>
      <c r="C434" t="s">
        <v>642</v>
      </c>
      <c r="D434" t="s">
        <v>644</v>
      </c>
      <c r="E434" t="s">
        <v>646</v>
      </c>
      <c r="F434" t="s">
        <v>490</v>
      </c>
      <c r="G434" t="s">
        <v>491</v>
      </c>
      <c r="H434">
        <v>3902</v>
      </c>
      <c r="I434">
        <v>79090.784521826616</v>
      </c>
      <c r="J434">
        <v>82992.784521826616</v>
      </c>
      <c r="K434">
        <f>IFERROR(VLOOKUP(F434,'LEAID Match'!$A$2:$B$236,2,FALSE),"")</f>
        <v>2314824</v>
      </c>
    </row>
    <row r="435" spans="1:11" x14ac:dyDescent="0.2">
      <c r="A435">
        <f t="shared" si="6"/>
        <v>2314824</v>
      </c>
      <c r="B435">
        <v>2019</v>
      </c>
      <c r="C435" t="s">
        <v>642</v>
      </c>
      <c r="D435" t="s">
        <v>644</v>
      </c>
      <c r="E435" t="s">
        <v>646</v>
      </c>
      <c r="F435" t="s">
        <v>490</v>
      </c>
      <c r="G435" t="s">
        <v>491</v>
      </c>
      <c r="H435">
        <v>3110</v>
      </c>
      <c r="I435">
        <v>66628.753212852447</v>
      </c>
      <c r="J435">
        <v>69738.753212852447</v>
      </c>
      <c r="K435">
        <f>IFERROR(VLOOKUP(F435,'LEAID Match'!$A$2:$B$236,2,FALSE),"")</f>
        <v>2314824</v>
      </c>
    </row>
    <row r="436" spans="1:11" x14ac:dyDescent="0.2">
      <c r="A436">
        <f t="shared" si="6"/>
        <v>2314824</v>
      </c>
      <c r="B436">
        <v>2020</v>
      </c>
      <c r="C436" t="s">
        <v>642</v>
      </c>
      <c r="D436" t="s">
        <v>644</v>
      </c>
      <c r="E436" t="s">
        <v>646</v>
      </c>
      <c r="F436" t="s">
        <v>490</v>
      </c>
      <c r="G436" t="s">
        <v>491</v>
      </c>
      <c r="H436">
        <v>3947</v>
      </c>
      <c r="I436">
        <v>87946.766108669661</v>
      </c>
      <c r="J436">
        <v>91893.766108669661</v>
      </c>
      <c r="K436">
        <f>IFERROR(VLOOKUP(F436,'LEAID Match'!$A$2:$B$236,2,FALSE),"")</f>
        <v>2314824</v>
      </c>
    </row>
    <row r="437" spans="1:11" x14ac:dyDescent="0.2">
      <c r="A437">
        <f t="shared" si="6"/>
        <v>2314824</v>
      </c>
      <c r="B437">
        <v>2021</v>
      </c>
      <c r="C437" t="s">
        <v>642</v>
      </c>
      <c r="D437" t="s">
        <v>644</v>
      </c>
      <c r="E437" t="s">
        <v>646</v>
      </c>
      <c r="F437" t="s">
        <v>490</v>
      </c>
      <c r="G437" t="s">
        <v>491</v>
      </c>
      <c r="H437">
        <v>10474</v>
      </c>
      <c r="I437">
        <v>175956.39626068657</v>
      </c>
      <c r="J437">
        <v>186430.39626068657</v>
      </c>
      <c r="K437">
        <f>IFERROR(VLOOKUP(F437,'LEAID Match'!$A$2:$B$236,2,FALSE),"")</f>
        <v>2314824</v>
      </c>
    </row>
    <row r="438" spans="1:11" x14ac:dyDescent="0.2">
      <c r="A438">
        <f t="shared" si="6"/>
        <v>2314824</v>
      </c>
      <c r="B438">
        <v>2022</v>
      </c>
      <c r="C438" t="s">
        <v>642</v>
      </c>
      <c r="D438" t="s">
        <v>644</v>
      </c>
      <c r="E438" t="s">
        <v>646</v>
      </c>
      <c r="F438" t="s">
        <v>490</v>
      </c>
      <c r="G438" t="s">
        <v>491</v>
      </c>
      <c r="H438">
        <v>11880</v>
      </c>
      <c r="I438">
        <v>171012.27602356448</v>
      </c>
      <c r="J438">
        <v>182892.27602356448</v>
      </c>
      <c r="K438">
        <f>IFERROR(VLOOKUP(F438,'LEAID Match'!$A$2:$B$236,2,FALSE),"")</f>
        <v>2314824</v>
      </c>
    </row>
    <row r="439" spans="1:11" x14ac:dyDescent="0.2">
      <c r="A439">
        <f t="shared" si="6"/>
        <v>2309390</v>
      </c>
      <c r="B439">
        <v>2015</v>
      </c>
      <c r="C439" t="s">
        <v>642</v>
      </c>
      <c r="D439" t="s">
        <v>644</v>
      </c>
      <c r="E439" t="s">
        <v>646</v>
      </c>
      <c r="F439" t="s">
        <v>492</v>
      </c>
      <c r="G439" t="s">
        <v>101</v>
      </c>
      <c r="H439">
        <v>2488</v>
      </c>
      <c r="I439">
        <v>47704.018523724837</v>
      </c>
      <c r="J439">
        <v>50192.018523724837</v>
      </c>
      <c r="K439">
        <f>IFERROR(VLOOKUP(F439,'LEAID Match'!$A$2:$B$236,2,FALSE),"")</f>
        <v>2309390</v>
      </c>
    </row>
    <row r="440" spans="1:11" x14ac:dyDescent="0.2">
      <c r="A440">
        <f t="shared" si="6"/>
        <v>2309390</v>
      </c>
      <c r="B440">
        <v>2016</v>
      </c>
      <c r="C440" t="s">
        <v>642</v>
      </c>
      <c r="D440" t="s">
        <v>644</v>
      </c>
      <c r="E440" t="s">
        <v>646</v>
      </c>
      <c r="F440" s="1" t="s">
        <v>492</v>
      </c>
      <c r="G440" s="1" t="s">
        <v>101</v>
      </c>
      <c r="H440" s="22">
        <v>2120</v>
      </c>
      <c r="I440">
        <v>40289.756785279285</v>
      </c>
      <c r="J440">
        <v>42409.756785279285</v>
      </c>
      <c r="K440">
        <f>IFERROR(VLOOKUP(F440,'LEAID Match'!$A$2:$B$236,2,FALSE),"")</f>
        <v>2309390</v>
      </c>
    </row>
    <row r="441" spans="1:11" x14ac:dyDescent="0.2">
      <c r="A441">
        <f t="shared" si="6"/>
        <v>2309390</v>
      </c>
      <c r="B441">
        <v>2017</v>
      </c>
      <c r="C441" t="s">
        <v>642</v>
      </c>
      <c r="D441" t="s">
        <v>644</v>
      </c>
      <c r="E441" t="s">
        <v>646</v>
      </c>
      <c r="F441" t="s">
        <v>492</v>
      </c>
      <c r="G441" t="s">
        <v>101</v>
      </c>
      <c r="H441">
        <v>1068</v>
      </c>
      <c r="I441">
        <v>20363.980992419867</v>
      </c>
      <c r="J441">
        <v>21431.980992419867</v>
      </c>
      <c r="K441">
        <f>IFERROR(VLOOKUP(F441,'LEAID Match'!$A$2:$B$236,2,FALSE),"")</f>
        <v>2309390</v>
      </c>
    </row>
    <row r="442" spans="1:11" x14ac:dyDescent="0.2">
      <c r="A442">
        <f t="shared" si="6"/>
        <v>2309390</v>
      </c>
      <c r="B442">
        <v>2018</v>
      </c>
      <c r="C442" t="s">
        <v>642</v>
      </c>
      <c r="D442" t="s">
        <v>644</v>
      </c>
      <c r="E442" t="s">
        <v>646</v>
      </c>
      <c r="F442" t="s">
        <v>492</v>
      </c>
      <c r="G442" t="s">
        <v>101</v>
      </c>
      <c r="H442">
        <v>1638</v>
      </c>
      <c r="I442">
        <v>33201.103292350592</v>
      </c>
      <c r="J442">
        <v>34839.103292350592</v>
      </c>
      <c r="K442">
        <f>IFERROR(VLOOKUP(F442,'LEAID Match'!$A$2:$B$236,2,FALSE),"")</f>
        <v>2309390</v>
      </c>
    </row>
    <row r="443" spans="1:11" x14ac:dyDescent="0.2">
      <c r="A443">
        <f t="shared" si="6"/>
        <v>2309390</v>
      </c>
      <c r="B443">
        <v>2019</v>
      </c>
      <c r="C443" t="s">
        <v>642</v>
      </c>
      <c r="D443" t="s">
        <v>644</v>
      </c>
      <c r="E443" t="s">
        <v>646</v>
      </c>
      <c r="F443" t="s">
        <v>492</v>
      </c>
      <c r="G443" t="s">
        <v>101</v>
      </c>
      <c r="I443">
        <v>0</v>
      </c>
      <c r="J443">
        <v>0</v>
      </c>
      <c r="K443">
        <f>IFERROR(VLOOKUP(F443,'LEAID Match'!$A$2:$B$236,2,FALSE),"")</f>
        <v>2309390</v>
      </c>
    </row>
    <row r="444" spans="1:11" x14ac:dyDescent="0.2">
      <c r="A444">
        <f t="shared" si="6"/>
        <v>2309390</v>
      </c>
      <c r="B444">
        <v>2020</v>
      </c>
      <c r="C444" t="s">
        <v>642</v>
      </c>
      <c r="D444" t="s">
        <v>644</v>
      </c>
      <c r="E444" t="s">
        <v>646</v>
      </c>
      <c r="F444" t="s">
        <v>492</v>
      </c>
      <c r="G444" t="s">
        <v>101</v>
      </c>
      <c r="H444">
        <v>2516</v>
      </c>
      <c r="I444">
        <v>56061.328484776503</v>
      </c>
      <c r="J444">
        <v>58577.328484776503</v>
      </c>
      <c r="K444">
        <f>IFERROR(VLOOKUP(F444,'LEAID Match'!$A$2:$B$236,2,FALSE),"")</f>
        <v>2309390</v>
      </c>
    </row>
    <row r="445" spans="1:11" x14ac:dyDescent="0.2">
      <c r="A445">
        <f t="shared" si="6"/>
        <v>2309390</v>
      </c>
      <c r="B445">
        <v>2021</v>
      </c>
      <c r="C445" t="s">
        <v>642</v>
      </c>
      <c r="D445" t="s">
        <v>644</v>
      </c>
      <c r="E445" t="s">
        <v>646</v>
      </c>
      <c r="F445" t="s">
        <v>492</v>
      </c>
      <c r="G445" t="s">
        <v>101</v>
      </c>
      <c r="H445">
        <v>2039</v>
      </c>
      <c r="I445">
        <v>34253.875498905858</v>
      </c>
      <c r="J445">
        <v>36292.875498905858</v>
      </c>
      <c r="K445">
        <f>IFERROR(VLOOKUP(F445,'LEAID Match'!$A$2:$B$236,2,FALSE),"")</f>
        <v>2309390</v>
      </c>
    </row>
    <row r="446" spans="1:11" x14ac:dyDescent="0.2">
      <c r="A446">
        <f t="shared" si="6"/>
        <v>2309390</v>
      </c>
      <c r="B446">
        <v>2022</v>
      </c>
      <c r="C446" t="s">
        <v>642</v>
      </c>
      <c r="D446" t="s">
        <v>644</v>
      </c>
      <c r="E446" t="s">
        <v>646</v>
      </c>
      <c r="F446" t="s">
        <v>492</v>
      </c>
      <c r="G446" t="s">
        <v>101</v>
      </c>
      <c r="I446">
        <v>0</v>
      </c>
      <c r="J446">
        <v>0</v>
      </c>
      <c r="K446">
        <f>IFERROR(VLOOKUP(F446,'LEAID Match'!$A$2:$B$236,2,FALSE),"")</f>
        <v>2309390</v>
      </c>
    </row>
    <row r="447" spans="1:11" x14ac:dyDescent="0.2">
      <c r="A447">
        <f t="shared" si="6"/>
        <v>2309930</v>
      </c>
      <c r="B447">
        <v>2015</v>
      </c>
      <c r="C447" t="s">
        <v>642</v>
      </c>
      <c r="D447" t="s">
        <v>644</v>
      </c>
      <c r="E447" t="s">
        <v>646</v>
      </c>
      <c r="F447" t="s">
        <v>493</v>
      </c>
      <c r="G447" t="s">
        <v>102</v>
      </c>
      <c r="H447">
        <v>524224</v>
      </c>
      <c r="I447">
        <v>10051282.71968695</v>
      </c>
      <c r="J447">
        <v>10575506.71968695</v>
      </c>
      <c r="K447">
        <f>IFERROR(VLOOKUP(F447,'LEAID Match'!$A$2:$B$236,2,FALSE),"")</f>
        <v>2309930</v>
      </c>
    </row>
    <row r="448" spans="1:11" x14ac:dyDescent="0.2">
      <c r="A448">
        <f t="shared" si="6"/>
        <v>2309930</v>
      </c>
      <c r="B448">
        <v>2016</v>
      </c>
      <c r="C448" t="s">
        <v>642</v>
      </c>
      <c r="D448" t="s">
        <v>644</v>
      </c>
      <c r="E448" t="s">
        <v>646</v>
      </c>
      <c r="F448" s="1" t="s">
        <v>493</v>
      </c>
      <c r="G448" s="1" t="s">
        <v>102</v>
      </c>
      <c r="H448" s="22">
        <v>353568</v>
      </c>
      <c r="I448">
        <v>6719419.2108762385</v>
      </c>
      <c r="J448">
        <v>7072987.2108762385</v>
      </c>
      <c r="K448">
        <f>IFERROR(VLOOKUP(F448,'LEAID Match'!$A$2:$B$236,2,FALSE),"")</f>
        <v>2309930</v>
      </c>
    </row>
    <row r="449" spans="1:11" x14ac:dyDescent="0.2">
      <c r="A449">
        <f t="shared" si="6"/>
        <v>2309930</v>
      </c>
      <c r="B449">
        <v>2017</v>
      </c>
      <c r="C449" t="s">
        <v>642</v>
      </c>
      <c r="D449" t="s">
        <v>644</v>
      </c>
      <c r="E449" t="s">
        <v>646</v>
      </c>
      <c r="F449" t="s">
        <v>493</v>
      </c>
      <c r="G449" t="s">
        <v>102</v>
      </c>
      <c r="H449">
        <v>313846</v>
      </c>
      <c r="I449">
        <v>5984226.5716732256</v>
      </c>
      <c r="J449">
        <v>6298072.5716732256</v>
      </c>
      <c r="K449">
        <f>IFERROR(VLOOKUP(F449,'LEAID Match'!$A$2:$B$236,2,FALSE),"")</f>
        <v>2309930</v>
      </c>
    </row>
    <row r="450" spans="1:11" x14ac:dyDescent="0.2">
      <c r="A450">
        <f t="shared" si="6"/>
        <v>2309930</v>
      </c>
      <c r="B450">
        <v>2018</v>
      </c>
      <c r="C450" t="s">
        <v>642</v>
      </c>
      <c r="D450" t="s">
        <v>644</v>
      </c>
      <c r="E450" t="s">
        <v>646</v>
      </c>
      <c r="F450" t="s">
        <v>493</v>
      </c>
      <c r="G450" t="s">
        <v>102</v>
      </c>
      <c r="H450">
        <v>390494</v>
      </c>
      <c r="I450">
        <v>7915037.624568468</v>
      </c>
      <c r="J450">
        <v>8305531.624568468</v>
      </c>
      <c r="K450">
        <f>IFERROR(VLOOKUP(F450,'LEAID Match'!$A$2:$B$236,2,FALSE),"")</f>
        <v>2309930</v>
      </c>
    </row>
    <row r="451" spans="1:11" x14ac:dyDescent="0.2">
      <c r="A451">
        <f t="shared" ref="A451:A514" si="7">K451</f>
        <v>2309930</v>
      </c>
      <c r="B451">
        <v>2019</v>
      </c>
      <c r="C451" t="s">
        <v>642</v>
      </c>
      <c r="D451" t="s">
        <v>644</v>
      </c>
      <c r="E451" t="s">
        <v>646</v>
      </c>
      <c r="F451" t="s">
        <v>493</v>
      </c>
      <c r="G451" t="s">
        <v>102</v>
      </c>
      <c r="H451">
        <v>327731</v>
      </c>
      <c r="I451">
        <v>7021320.8743412681</v>
      </c>
      <c r="J451">
        <v>7349051.8743412681</v>
      </c>
      <c r="K451">
        <f>IFERROR(VLOOKUP(F451,'LEAID Match'!$A$2:$B$236,2,FALSE),"")</f>
        <v>2309930</v>
      </c>
    </row>
    <row r="452" spans="1:11" x14ac:dyDescent="0.2">
      <c r="A452">
        <f t="shared" si="7"/>
        <v>2309930</v>
      </c>
      <c r="B452">
        <v>2020</v>
      </c>
      <c r="C452" t="s">
        <v>642</v>
      </c>
      <c r="D452" t="s">
        <v>644</v>
      </c>
      <c r="E452" t="s">
        <v>646</v>
      </c>
      <c r="F452" t="s">
        <v>493</v>
      </c>
      <c r="G452" t="s">
        <v>102</v>
      </c>
      <c r="H452">
        <v>720980</v>
      </c>
      <c r="I452">
        <v>16064823.772239333</v>
      </c>
      <c r="J452">
        <v>16785803.772239335</v>
      </c>
      <c r="K452">
        <f>IFERROR(VLOOKUP(F452,'LEAID Match'!$A$2:$B$236,2,FALSE),"")</f>
        <v>2309930</v>
      </c>
    </row>
    <row r="453" spans="1:11" x14ac:dyDescent="0.2">
      <c r="A453">
        <f t="shared" si="7"/>
        <v>2309930</v>
      </c>
      <c r="B453">
        <v>2021</v>
      </c>
      <c r="C453" t="s">
        <v>642</v>
      </c>
      <c r="D453" t="s">
        <v>644</v>
      </c>
      <c r="E453" t="s">
        <v>646</v>
      </c>
      <c r="F453" t="s">
        <v>493</v>
      </c>
      <c r="G453" t="s">
        <v>102</v>
      </c>
      <c r="H453">
        <v>1165383</v>
      </c>
      <c r="I453">
        <v>19577677.386239041</v>
      </c>
      <c r="J453">
        <v>20743060.386239041</v>
      </c>
      <c r="K453">
        <f>IFERROR(VLOOKUP(F453,'LEAID Match'!$A$2:$B$236,2,FALSE),"")</f>
        <v>2309930</v>
      </c>
    </row>
    <row r="454" spans="1:11" x14ac:dyDescent="0.2">
      <c r="A454">
        <f t="shared" si="7"/>
        <v>2309930</v>
      </c>
      <c r="B454">
        <v>2022</v>
      </c>
      <c r="C454" t="s">
        <v>642</v>
      </c>
      <c r="D454" t="s">
        <v>644</v>
      </c>
      <c r="E454" t="s">
        <v>646</v>
      </c>
      <c r="F454" t="s">
        <v>493</v>
      </c>
      <c r="G454" t="s">
        <v>102</v>
      </c>
      <c r="H454">
        <v>760122</v>
      </c>
      <c r="I454">
        <v>10941935.460907733</v>
      </c>
      <c r="J454">
        <v>11702057.460907733</v>
      </c>
      <c r="K454">
        <f>IFERROR(VLOOKUP(F454,'LEAID Match'!$A$2:$B$236,2,FALSE),"")</f>
        <v>2309930</v>
      </c>
    </row>
    <row r="455" spans="1:11" x14ac:dyDescent="0.2">
      <c r="A455">
        <f t="shared" si="7"/>
        <v>2310380</v>
      </c>
      <c r="B455">
        <v>2015</v>
      </c>
      <c r="C455" t="s">
        <v>642</v>
      </c>
      <c r="D455" t="s">
        <v>644</v>
      </c>
      <c r="E455" t="s">
        <v>646</v>
      </c>
      <c r="F455" t="s">
        <v>494</v>
      </c>
      <c r="G455" t="s">
        <v>103</v>
      </c>
      <c r="H455">
        <v>52735</v>
      </c>
      <c r="I455">
        <v>1011121.9521095778</v>
      </c>
      <c r="J455">
        <v>1063856.9521095778</v>
      </c>
      <c r="K455">
        <f>IFERROR(VLOOKUP(F455,'LEAID Match'!$A$2:$B$236,2,FALSE),"")</f>
        <v>2310380</v>
      </c>
    </row>
    <row r="456" spans="1:11" x14ac:dyDescent="0.2">
      <c r="A456">
        <f t="shared" si="7"/>
        <v>2310380</v>
      </c>
      <c r="B456">
        <v>2016</v>
      </c>
      <c r="C456" t="s">
        <v>642</v>
      </c>
      <c r="D456" t="s">
        <v>644</v>
      </c>
      <c r="E456" t="s">
        <v>646</v>
      </c>
      <c r="F456" s="1" t="s">
        <v>494</v>
      </c>
      <c r="G456" s="1" t="s">
        <v>103</v>
      </c>
      <c r="H456" s="22">
        <v>44486</v>
      </c>
      <c r="I456">
        <v>845438.73601411993</v>
      </c>
      <c r="J456">
        <v>889924.73601411993</v>
      </c>
      <c r="K456">
        <f>IFERROR(VLOOKUP(F456,'LEAID Match'!$A$2:$B$236,2,FALSE),"")</f>
        <v>2310380</v>
      </c>
    </row>
    <row r="457" spans="1:11" x14ac:dyDescent="0.2">
      <c r="A457">
        <f t="shared" si="7"/>
        <v>2310380</v>
      </c>
      <c r="B457">
        <v>2017</v>
      </c>
      <c r="C457" t="s">
        <v>642</v>
      </c>
      <c r="D457" t="s">
        <v>644</v>
      </c>
      <c r="E457" t="s">
        <v>646</v>
      </c>
      <c r="F457" t="s">
        <v>494</v>
      </c>
      <c r="G457" t="s">
        <v>103</v>
      </c>
      <c r="H457">
        <v>51933</v>
      </c>
      <c r="I457">
        <v>990227.17685331556</v>
      </c>
      <c r="J457">
        <v>1042160.1768533156</v>
      </c>
      <c r="K457">
        <f>IFERROR(VLOOKUP(F457,'LEAID Match'!$A$2:$B$236,2,FALSE),"")</f>
        <v>2310380</v>
      </c>
    </row>
    <row r="458" spans="1:11" x14ac:dyDescent="0.2">
      <c r="A458">
        <f t="shared" si="7"/>
        <v>2310380</v>
      </c>
      <c r="B458">
        <v>2018</v>
      </c>
      <c r="C458" t="s">
        <v>642</v>
      </c>
      <c r="D458" t="s">
        <v>644</v>
      </c>
      <c r="E458" t="s">
        <v>646</v>
      </c>
      <c r="F458" t="s">
        <v>494</v>
      </c>
      <c r="G458" t="s">
        <v>103</v>
      </c>
      <c r="H458">
        <v>45314</v>
      </c>
      <c r="I458">
        <v>918482.78057971585</v>
      </c>
      <c r="J458">
        <v>963796.78057971585</v>
      </c>
      <c r="K458">
        <f>IFERROR(VLOOKUP(F458,'LEAID Match'!$A$2:$B$236,2,FALSE),"")</f>
        <v>2310380</v>
      </c>
    </row>
    <row r="459" spans="1:11" x14ac:dyDescent="0.2">
      <c r="A459">
        <f t="shared" si="7"/>
        <v>2310380</v>
      </c>
      <c r="B459">
        <v>2019</v>
      </c>
      <c r="C459" t="s">
        <v>642</v>
      </c>
      <c r="D459" t="s">
        <v>644</v>
      </c>
      <c r="E459" t="s">
        <v>646</v>
      </c>
      <c r="F459" t="s">
        <v>494</v>
      </c>
      <c r="G459" t="s">
        <v>103</v>
      </c>
      <c r="H459">
        <v>43453</v>
      </c>
      <c r="I459">
        <v>930938.65381288656</v>
      </c>
      <c r="J459">
        <v>974391.65381288656</v>
      </c>
      <c r="K459">
        <f>IFERROR(VLOOKUP(F459,'LEAID Match'!$A$2:$B$236,2,FALSE),"")</f>
        <v>2310380</v>
      </c>
    </row>
    <row r="460" spans="1:11" x14ac:dyDescent="0.2">
      <c r="A460">
        <f t="shared" si="7"/>
        <v>2310380</v>
      </c>
      <c r="B460">
        <v>2020</v>
      </c>
      <c r="C460" t="s">
        <v>642</v>
      </c>
      <c r="D460" t="s">
        <v>644</v>
      </c>
      <c r="E460" t="s">
        <v>646</v>
      </c>
      <c r="F460" t="s">
        <v>494</v>
      </c>
      <c r="G460" t="s">
        <v>103</v>
      </c>
      <c r="H460">
        <v>58375</v>
      </c>
      <c r="I460">
        <v>1300707.4921696456</v>
      </c>
      <c r="J460">
        <v>1359082.4921696456</v>
      </c>
      <c r="K460">
        <f>IFERROR(VLOOKUP(F460,'LEAID Match'!$A$2:$B$236,2,FALSE),"")</f>
        <v>2310380</v>
      </c>
    </row>
    <row r="461" spans="1:11" x14ac:dyDescent="0.2">
      <c r="A461">
        <f t="shared" si="7"/>
        <v>2310380</v>
      </c>
      <c r="B461">
        <v>2021</v>
      </c>
      <c r="C461" t="s">
        <v>642</v>
      </c>
      <c r="D461" t="s">
        <v>644</v>
      </c>
      <c r="E461" t="s">
        <v>646</v>
      </c>
      <c r="F461" t="s">
        <v>494</v>
      </c>
      <c r="G461" t="s">
        <v>103</v>
      </c>
      <c r="H461">
        <v>44254</v>
      </c>
      <c r="I461">
        <v>743438.45332446287</v>
      </c>
      <c r="J461">
        <v>787692.45332446287</v>
      </c>
      <c r="K461">
        <f>IFERROR(VLOOKUP(F461,'LEAID Match'!$A$2:$B$236,2,FALSE),"")</f>
        <v>2310380</v>
      </c>
    </row>
    <row r="462" spans="1:11" x14ac:dyDescent="0.2">
      <c r="A462">
        <f t="shared" si="7"/>
        <v>2310380</v>
      </c>
      <c r="B462">
        <v>2022</v>
      </c>
      <c r="C462" t="s">
        <v>642</v>
      </c>
      <c r="D462" t="s">
        <v>644</v>
      </c>
      <c r="E462" t="s">
        <v>646</v>
      </c>
      <c r="F462" t="s">
        <v>494</v>
      </c>
      <c r="G462" t="s">
        <v>103</v>
      </c>
      <c r="H462">
        <v>45269</v>
      </c>
      <c r="I462">
        <v>651646.02048070205</v>
      </c>
      <c r="J462">
        <v>696915.02048070205</v>
      </c>
      <c r="K462">
        <f>IFERROR(VLOOKUP(F462,'LEAID Match'!$A$2:$B$236,2,FALSE),"")</f>
        <v>2310380</v>
      </c>
    </row>
    <row r="463" spans="1:11" x14ac:dyDescent="0.2">
      <c r="A463">
        <f t="shared" si="7"/>
        <v>2310500</v>
      </c>
      <c r="B463">
        <v>2015</v>
      </c>
      <c r="C463" t="s">
        <v>642</v>
      </c>
      <c r="D463" t="s">
        <v>644</v>
      </c>
      <c r="E463" t="s">
        <v>646</v>
      </c>
      <c r="F463" t="s">
        <v>495</v>
      </c>
      <c r="G463" t="s">
        <v>104</v>
      </c>
      <c r="H463">
        <v>162938</v>
      </c>
      <c r="I463">
        <v>3124114.6986409477</v>
      </c>
      <c r="J463">
        <v>3287052.6986409477</v>
      </c>
      <c r="K463">
        <f>IFERROR(VLOOKUP(F463,'LEAID Match'!$A$2:$B$236,2,FALSE),"")</f>
        <v>2310500</v>
      </c>
    </row>
    <row r="464" spans="1:11" x14ac:dyDescent="0.2">
      <c r="A464">
        <f t="shared" si="7"/>
        <v>2310500</v>
      </c>
      <c r="B464">
        <v>2016</v>
      </c>
      <c r="C464" t="s">
        <v>642</v>
      </c>
      <c r="D464" t="s">
        <v>644</v>
      </c>
      <c r="E464" t="s">
        <v>646</v>
      </c>
      <c r="F464" s="1" t="s">
        <v>495</v>
      </c>
      <c r="G464" s="1" t="s">
        <v>104</v>
      </c>
      <c r="H464" s="22">
        <v>150079</v>
      </c>
      <c r="I464">
        <v>2852191.702159401</v>
      </c>
      <c r="J464">
        <v>3002270.702159401</v>
      </c>
      <c r="K464">
        <f>IFERROR(VLOOKUP(F464,'LEAID Match'!$A$2:$B$236,2,FALSE),"")</f>
        <v>2310500</v>
      </c>
    </row>
    <row r="465" spans="1:11" x14ac:dyDescent="0.2">
      <c r="A465">
        <f t="shared" si="7"/>
        <v>2310500</v>
      </c>
      <c r="B465">
        <v>2017</v>
      </c>
      <c r="C465" t="s">
        <v>642</v>
      </c>
      <c r="D465" t="s">
        <v>644</v>
      </c>
      <c r="E465" t="s">
        <v>646</v>
      </c>
      <c r="F465" t="s">
        <v>495</v>
      </c>
      <c r="G465" t="s">
        <v>104</v>
      </c>
      <c r="H465">
        <v>123155</v>
      </c>
      <c r="I465">
        <v>2348245.3924358319</v>
      </c>
      <c r="J465">
        <v>2471400.3924358319</v>
      </c>
      <c r="K465">
        <f>IFERROR(VLOOKUP(F465,'LEAID Match'!$A$2:$B$236,2,FALSE),"")</f>
        <v>2310500</v>
      </c>
    </row>
    <row r="466" spans="1:11" x14ac:dyDescent="0.2">
      <c r="A466">
        <f t="shared" si="7"/>
        <v>2310500</v>
      </c>
      <c r="B466">
        <v>2018</v>
      </c>
      <c r="C466" t="s">
        <v>642</v>
      </c>
      <c r="D466" t="s">
        <v>644</v>
      </c>
      <c r="E466" t="s">
        <v>646</v>
      </c>
      <c r="F466" t="s">
        <v>495</v>
      </c>
      <c r="G466" t="s">
        <v>104</v>
      </c>
      <c r="H466">
        <v>101192</v>
      </c>
      <c r="I466">
        <v>2051090.381171881</v>
      </c>
      <c r="J466">
        <v>2152282.3811718812</v>
      </c>
      <c r="K466">
        <f>IFERROR(VLOOKUP(F466,'LEAID Match'!$A$2:$B$236,2,FALSE),"")</f>
        <v>2310500</v>
      </c>
    </row>
    <row r="467" spans="1:11" x14ac:dyDescent="0.2">
      <c r="A467">
        <f t="shared" si="7"/>
        <v>2310500</v>
      </c>
      <c r="B467">
        <v>2019</v>
      </c>
      <c r="C467" t="s">
        <v>642</v>
      </c>
      <c r="D467" t="s">
        <v>644</v>
      </c>
      <c r="E467" t="s">
        <v>646</v>
      </c>
      <c r="F467" t="s">
        <v>495</v>
      </c>
      <c r="G467" t="s">
        <v>104</v>
      </c>
      <c r="H467">
        <v>127910</v>
      </c>
      <c r="I467">
        <v>2740348.4962880886</v>
      </c>
      <c r="J467">
        <v>2868258.4962880886</v>
      </c>
      <c r="K467">
        <f>IFERROR(VLOOKUP(F467,'LEAID Match'!$A$2:$B$236,2,FALSE),"")</f>
        <v>2310500</v>
      </c>
    </row>
    <row r="468" spans="1:11" x14ac:dyDescent="0.2">
      <c r="A468">
        <f t="shared" si="7"/>
        <v>2310500</v>
      </c>
      <c r="B468">
        <v>2020</v>
      </c>
      <c r="C468" t="s">
        <v>642</v>
      </c>
      <c r="D468" t="s">
        <v>644</v>
      </c>
      <c r="E468" t="s">
        <v>646</v>
      </c>
      <c r="F468" t="s">
        <v>495</v>
      </c>
      <c r="G468" t="s">
        <v>104</v>
      </c>
      <c r="H468">
        <v>126478</v>
      </c>
      <c r="I468">
        <v>2818173.5707859946</v>
      </c>
      <c r="J468">
        <v>2944651.5707859946</v>
      </c>
      <c r="K468">
        <f>IFERROR(VLOOKUP(F468,'LEAID Match'!$A$2:$B$236,2,FALSE),"")</f>
        <v>2310500</v>
      </c>
    </row>
    <row r="469" spans="1:11" x14ac:dyDescent="0.2">
      <c r="A469">
        <f t="shared" si="7"/>
        <v>2310500</v>
      </c>
      <c r="B469">
        <v>2021</v>
      </c>
      <c r="C469" t="s">
        <v>642</v>
      </c>
      <c r="D469" t="s">
        <v>644</v>
      </c>
      <c r="E469" t="s">
        <v>646</v>
      </c>
      <c r="F469" t="s">
        <v>495</v>
      </c>
      <c r="G469" t="s">
        <v>104</v>
      </c>
      <c r="H469">
        <v>149373</v>
      </c>
      <c r="I469">
        <v>2509369.3697391194</v>
      </c>
      <c r="J469">
        <v>2658742.3697391194</v>
      </c>
      <c r="K469">
        <f>IFERROR(VLOOKUP(F469,'LEAID Match'!$A$2:$B$236,2,FALSE),"")</f>
        <v>2310500</v>
      </c>
    </row>
    <row r="470" spans="1:11" x14ac:dyDescent="0.2">
      <c r="A470">
        <f t="shared" si="7"/>
        <v>2310500</v>
      </c>
      <c r="B470">
        <v>2022</v>
      </c>
      <c r="C470" t="s">
        <v>642</v>
      </c>
      <c r="D470" t="s">
        <v>644</v>
      </c>
      <c r="E470" t="s">
        <v>646</v>
      </c>
      <c r="F470" t="s">
        <v>495</v>
      </c>
      <c r="G470" t="s">
        <v>104</v>
      </c>
      <c r="H470">
        <v>374791</v>
      </c>
      <c r="I470">
        <v>5395106.2241706867</v>
      </c>
      <c r="J470">
        <v>5769897.2241706867</v>
      </c>
      <c r="K470">
        <f>IFERROR(VLOOKUP(F470,'LEAID Match'!$A$2:$B$236,2,FALSE),"")</f>
        <v>2310500</v>
      </c>
    </row>
    <row r="471" spans="1:11" x14ac:dyDescent="0.2">
      <c r="A471">
        <f t="shared" si="7"/>
        <v>2310530</v>
      </c>
      <c r="B471">
        <v>2015</v>
      </c>
      <c r="C471" t="s">
        <v>642</v>
      </c>
      <c r="D471" t="s">
        <v>644</v>
      </c>
      <c r="E471" t="s">
        <v>646</v>
      </c>
      <c r="F471" t="s">
        <v>496</v>
      </c>
      <c r="G471" t="s">
        <v>105</v>
      </c>
      <c r="H471">
        <v>64828</v>
      </c>
      <c r="I471">
        <v>1242988.7913408496</v>
      </c>
      <c r="J471">
        <v>1307816.7913408496</v>
      </c>
      <c r="K471">
        <f>IFERROR(VLOOKUP(F471,'LEAID Match'!$A$2:$B$236,2,FALSE),"")</f>
        <v>2310530</v>
      </c>
    </row>
    <row r="472" spans="1:11" x14ac:dyDescent="0.2">
      <c r="A472">
        <f t="shared" si="7"/>
        <v>2310530</v>
      </c>
      <c r="B472">
        <v>2016</v>
      </c>
      <c r="C472" t="s">
        <v>642</v>
      </c>
      <c r="D472" t="s">
        <v>644</v>
      </c>
      <c r="E472" t="s">
        <v>646</v>
      </c>
      <c r="F472" s="1" t="s">
        <v>496</v>
      </c>
      <c r="G472" s="1" t="s">
        <v>105</v>
      </c>
      <c r="H472" s="22">
        <v>41719</v>
      </c>
      <c r="I472">
        <v>792853.00156842754</v>
      </c>
      <c r="J472">
        <v>834572.00156842754</v>
      </c>
      <c r="K472">
        <f>IFERROR(VLOOKUP(F472,'LEAID Match'!$A$2:$B$236,2,FALSE),"")</f>
        <v>2310530</v>
      </c>
    </row>
    <row r="473" spans="1:11" x14ac:dyDescent="0.2">
      <c r="A473">
        <f t="shared" si="7"/>
        <v>2310530</v>
      </c>
      <c r="B473">
        <v>2017</v>
      </c>
      <c r="C473" t="s">
        <v>642</v>
      </c>
      <c r="D473" t="s">
        <v>644</v>
      </c>
      <c r="E473" t="s">
        <v>646</v>
      </c>
      <c r="F473" t="s">
        <v>496</v>
      </c>
      <c r="G473" t="s">
        <v>105</v>
      </c>
      <c r="H473">
        <v>46493</v>
      </c>
      <c r="I473">
        <v>886500.53209791833</v>
      </c>
      <c r="J473">
        <v>932993.53209791833</v>
      </c>
      <c r="K473">
        <f>IFERROR(VLOOKUP(F473,'LEAID Match'!$A$2:$B$236,2,FALSE),"")</f>
        <v>2310530</v>
      </c>
    </row>
    <row r="474" spans="1:11" x14ac:dyDescent="0.2">
      <c r="A474">
        <f t="shared" si="7"/>
        <v>2310530</v>
      </c>
      <c r="B474">
        <v>2018</v>
      </c>
      <c r="C474" t="s">
        <v>642</v>
      </c>
      <c r="D474" t="s">
        <v>644</v>
      </c>
      <c r="E474" t="s">
        <v>646</v>
      </c>
      <c r="F474" t="s">
        <v>496</v>
      </c>
      <c r="G474" t="s">
        <v>105</v>
      </c>
      <c r="H474">
        <v>49678</v>
      </c>
      <c r="I474">
        <v>1006937.978850667</v>
      </c>
      <c r="J474">
        <v>1056615.9788506669</v>
      </c>
      <c r="K474">
        <f>IFERROR(VLOOKUP(F474,'LEAID Match'!$A$2:$B$236,2,FALSE),"")</f>
        <v>2310530</v>
      </c>
    </row>
    <row r="475" spans="1:11" x14ac:dyDescent="0.2">
      <c r="A475">
        <f t="shared" si="7"/>
        <v>2310530</v>
      </c>
      <c r="B475">
        <v>2019</v>
      </c>
      <c r="C475" t="s">
        <v>642</v>
      </c>
      <c r="D475" t="s">
        <v>644</v>
      </c>
      <c r="E475" t="s">
        <v>646</v>
      </c>
      <c r="F475" t="s">
        <v>496</v>
      </c>
      <c r="G475" t="s">
        <v>105</v>
      </c>
      <c r="H475">
        <v>49617</v>
      </c>
      <c r="I475">
        <v>1062996.4142000321</v>
      </c>
      <c r="J475">
        <v>1112613.4142000321</v>
      </c>
      <c r="K475">
        <f>IFERROR(VLOOKUP(F475,'LEAID Match'!$A$2:$B$236,2,FALSE),"")</f>
        <v>2310530</v>
      </c>
    </row>
    <row r="476" spans="1:11" x14ac:dyDescent="0.2">
      <c r="A476">
        <f t="shared" si="7"/>
        <v>2310530</v>
      </c>
      <c r="B476">
        <v>2020</v>
      </c>
      <c r="C476" t="s">
        <v>642</v>
      </c>
      <c r="D476" t="s">
        <v>644</v>
      </c>
      <c r="E476" t="s">
        <v>646</v>
      </c>
      <c r="F476" t="s">
        <v>496</v>
      </c>
      <c r="G476" t="s">
        <v>105</v>
      </c>
      <c r="H476">
        <v>60779</v>
      </c>
      <c r="I476">
        <v>1354273.2448236211</v>
      </c>
      <c r="J476">
        <v>1415052.2448236211</v>
      </c>
      <c r="K476">
        <f>IFERROR(VLOOKUP(F476,'LEAID Match'!$A$2:$B$236,2,FALSE),"")</f>
        <v>2310530</v>
      </c>
    </row>
    <row r="477" spans="1:11" x14ac:dyDescent="0.2">
      <c r="A477">
        <f t="shared" si="7"/>
        <v>2310530</v>
      </c>
      <c r="B477">
        <v>2021</v>
      </c>
      <c r="C477" t="s">
        <v>642</v>
      </c>
      <c r="D477" t="s">
        <v>644</v>
      </c>
      <c r="E477" t="s">
        <v>646</v>
      </c>
      <c r="F477" t="s">
        <v>496</v>
      </c>
      <c r="G477" t="s">
        <v>105</v>
      </c>
      <c r="H477">
        <v>142045</v>
      </c>
      <c r="I477">
        <v>2386263.7298882208</v>
      </c>
      <c r="J477">
        <v>2528308.7298882208</v>
      </c>
      <c r="K477">
        <f>IFERROR(VLOOKUP(F477,'LEAID Match'!$A$2:$B$236,2,FALSE),"")</f>
        <v>2310530</v>
      </c>
    </row>
    <row r="478" spans="1:11" x14ac:dyDescent="0.2">
      <c r="A478">
        <f t="shared" si="7"/>
        <v>2310530</v>
      </c>
      <c r="B478">
        <v>2022</v>
      </c>
      <c r="C478" t="s">
        <v>642</v>
      </c>
      <c r="D478" t="s">
        <v>644</v>
      </c>
      <c r="E478" t="s">
        <v>646</v>
      </c>
      <c r="F478" t="s">
        <v>496</v>
      </c>
      <c r="G478" t="s">
        <v>105</v>
      </c>
      <c r="H478">
        <v>132275</v>
      </c>
      <c r="I478">
        <v>1904095.017762373</v>
      </c>
      <c r="J478">
        <v>2036370.017762373</v>
      </c>
      <c r="K478">
        <f>IFERROR(VLOOKUP(F478,'LEAID Match'!$A$2:$B$236,2,FALSE),"")</f>
        <v>2310530</v>
      </c>
    </row>
    <row r="479" spans="1:11" x14ac:dyDescent="0.2">
      <c r="A479">
        <f t="shared" si="7"/>
        <v>2314837</v>
      </c>
      <c r="B479">
        <v>2019</v>
      </c>
      <c r="C479" t="s">
        <v>642</v>
      </c>
      <c r="D479" t="s">
        <v>644</v>
      </c>
      <c r="E479" t="s">
        <v>646</v>
      </c>
      <c r="F479" t="s">
        <v>628</v>
      </c>
      <c r="G479" t="s">
        <v>629</v>
      </c>
      <c r="H479">
        <v>3294</v>
      </c>
      <c r="I479">
        <v>70570.775910976183</v>
      </c>
      <c r="J479">
        <v>73864.775910976183</v>
      </c>
      <c r="K479">
        <f>IFERROR(VLOOKUP(F479,'LEAID Match'!$A$2:$B$236,2,FALSE),"")</f>
        <v>2314837</v>
      </c>
    </row>
    <row r="480" spans="1:11" x14ac:dyDescent="0.2">
      <c r="A480">
        <f t="shared" si="7"/>
        <v>2314837</v>
      </c>
      <c r="B480">
        <v>2020</v>
      </c>
      <c r="C480" t="s">
        <v>642</v>
      </c>
      <c r="D480" t="s">
        <v>644</v>
      </c>
      <c r="E480" t="s">
        <v>646</v>
      </c>
      <c r="F480" t="s">
        <v>628</v>
      </c>
      <c r="G480" t="s">
        <v>629</v>
      </c>
      <c r="H480">
        <v>3158</v>
      </c>
      <c r="I480">
        <v>70366.325657760011</v>
      </c>
      <c r="J480">
        <v>73524.325657760011</v>
      </c>
      <c r="K480">
        <f>IFERROR(VLOOKUP(F480,'LEAID Match'!$A$2:$B$236,2,FALSE),"")</f>
        <v>2314837</v>
      </c>
    </row>
    <row r="481" spans="1:11" x14ac:dyDescent="0.2">
      <c r="A481">
        <f t="shared" si="7"/>
        <v>2314837</v>
      </c>
      <c r="B481">
        <v>2021</v>
      </c>
      <c r="C481" t="s">
        <v>642</v>
      </c>
      <c r="D481" t="s">
        <v>644</v>
      </c>
      <c r="E481" t="s">
        <v>646</v>
      </c>
      <c r="F481" t="s">
        <v>628</v>
      </c>
      <c r="G481" t="s">
        <v>629</v>
      </c>
      <c r="H481">
        <v>16409</v>
      </c>
      <c r="I481">
        <v>275660.54098163132</v>
      </c>
      <c r="J481">
        <v>292069.54098163132</v>
      </c>
      <c r="K481">
        <f>IFERROR(VLOOKUP(F481,'LEAID Match'!$A$2:$B$236,2,FALSE),"")</f>
        <v>2314837</v>
      </c>
    </row>
    <row r="482" spans="1:11" x14ac:dyDescent="0.2">
      <c r="A482">
        <f t="shared" si="7"/>
        <v>2314837</v>
      </c>
      <c r="B482">
        <v>2022</v>
      </c>
      <c r="C482" t="s">
        <v>642</v>
      </c>
      <c r="D482" t="s">
        <v>644</v>
      </c>
      <c r="E482" t="s">
        <v>646</v>
      </c>
      <c r="F482" t="s">
        <v>628</v>
      </c>
      <c r="G482" t="s">
        <v>629</v>
      </c>
      <c r="H482">
        <v>13626</v>
      </c>
      <c r="I482">
        <v>196145.89840884594</v>
      </c>
      <c r="J482">
        <v>209771.89840884594</v>
      </c>
      <c r="K482">
        <f>IFERROR(VLOOKUP(F482,'LEAID Match'!$A$2:$B$236,2,FALSE),"")</f>
        <v>2314837</v>
      </c>
    </row>
    <row r="483" spans="1:11" x14ac:dyDescent="0.2">
      <c r="A483">
        <f t="shared" si="7"/>
        <v>2312330</v>
      </c>
      <c r="B483">
        <v>2015</v>
      </c>
      <c r="C483" t="s">
        <v>642</v>
      </c>
      <c r="D483" t="s">
        <v>644</v>
      </c>
      <c r="E483" t="s">
        <v>646</v>
      </c>
      <c r="F483" t="s">
        <v>497</v>
      </c>
      <c r="G483" t="s">
        <v>106</v>
      </c>
      <c r="H483">
        <v>147215</v>
      </c>
      <c r="I483">
        <v>2822647.542994434</v>
      </c>
      <c r="J483">
        <v>2969862.542994434</v>
      </c>
      <c r="K483">
        <f>IFERROR(VLOOKUP(F483,'LEAID Match'!$A$2:$B$236,2,FALSE),"")</f>
        <v>2312330</v>
      </c>
    </row>
    <row r="484" spans="1:11" x14ac:dyDescent="0.2">
      <c r="A484">
        <f t="shared" si="7"/>
        <v>2312330</v>
      </c>
      <c r="B484">
        <v>2016</v>
      </c>
      <c r="C484" t="s">
        <v>642</v>
      </c>
      <c r="D484" t="s">
        <v>644</v>
      </c>
      <c r="E484" t="s">
        <v>646</v>
      </c>
      <c r="F484" s="1" t="s">
        <v>497</v>
      </c>
      <c r="G484" s="1" t="s">
        <v>106</v>
      </c>
      <c r="H484" s="22">
        <v>113317</v>
      </c>
      <c r="I484">
        <v>2153544.5139799495</v>
      </c>
      <c r="J484">
        <v>2266861.5139799495</v>
      </c>
      <c r="K484">
        <f>IFERROR(VLOOKUP(F484,'LEAID Match'!$A$2:$B$236,2,FALSE),"")</f>
        <v>2312330</v>
      </c>
    </row>
    <row r="485" spans="1:11" x14ac:dyDescent="0.2">
      <c r="A485">
        <f t="shared" si="7"/>
        <v>2312330</v>
      </c>
      <c r="B485">
        <v>2017</v>
      </c>
      <c r="C485" t="s">
        <v>642</v>
      </c>
      <c r="D485" t="s">
        <v>644</v>
      </c>
      <c r="E485" t="s">
        <v>646</v>
      </c>
      <c r="F485" t="s">
        <v>497</v>
      </c>
      <c r="G485" t="s">
        <v>106</v>
      </c>
      <c r="H485">
        <v>129099</v>
      </c>
      <c r="I485">
        <v>2461582.0057494496</v>
      </c>
      <c r="J485">
        <v>2590681.0057494496</v>
      </c>
      <c r="K485">
        <f>IFERROR(VLOOKUP(F485,'LEAID Match'!$A$2:$B$236,2,FALSE),"")</f>
        <v>2312330</v>
      </c>
    </row>
    <row r="486" spans="1:11" x14ac:dyDescent="0.2">
      <c r="A486">
        <f t="shared" si="7"/>
        <v>2312330</v>
      </c>
      <c r="B486">
        <v>2018</v>
      </c>
      <c r="C486" t="s">
        <v>642</v>
      </c>
      <c r="D486" t="s">
        <v>644</v>
      </c>
      <c r="E486" t="s">
        <v>646</v>
      </c>
      <c r="F486" t="s">
        <v>497</v>
      </c>
      <c r="G486" t="s">
        <v>106</v>
      </c>
      <c r="H486">
        <v>117562</v>
      </c>
      <c r="I486">
        <v>2382898.7211570945</v>
      </c>
      <c r="J486">
        <v>2500460.7211570945</v>
      </c>
      <c r="K486">
        <f>IFERROR(VLOOKUP(F486,'LEAID Match'!$A$2:$B$236,2,FALSE),"")</f>
        <v>2312330</v>
      </c>
    </row>
    <row r="487" spans="1:11" x14ac:dyDescent="0.2">
      <c r="A487">
        <f t="shared" si="7"/>
        <v>2312330</v>
      </c>
      <c r="B487">
        <v>2019</v>
      </c>
      <c r="C487" t="s">
        <v>642</v>
      </c>
      <c r="D487" t="s">
        <v>644</v>
      </c>
      <c r="E487" t="s">
        <v>646</v>
      </c>
      <c r="F487" t="s">
        <v>497</v>
      </c>
      <c r="G487" t="s">
        <v>106</v>
      </c>
      <c r="H487">
        <v>123522</v>
      </c>
      <c r="I487">
        <v>2646339.8245523986</v>
      </c>
      <c r="J487">
        <v>2769861.8245523986</v>
      </c>
      <c r="K487">
        <f>IFERROR(VLOOKUP(F487,'LEAID Match'!$A$2:$B$236,2,FALSE),"")</f>
        <v>2312330</v>
      </c>
    </row>
    <row r="488" spans="1:11" x14ac:dyDescent="0.2">
      <c r="A488">
        <f t="shared" si="7"/>
        <v>2312330</v>
      </c>
      <c r="B488">
        <v>2020</v>
      </c>
      <c r="C488" t="s">
        <v>642</v>
      </c>
      <c r="D488" t="s">
        <v>644</v>
      </c>
      <c r="E488" t="s">
        <v>646</v>
      </c>
      <c r="F488" t="s">
        <v>497</v>
      </c>
      <c r="G488" t="s">
        <v>106</v>
      </c>
      <c r="H488">
        <v>143721</v>
      </c>
      <c r="I488">
        <v>3202380.8390940237</v>
      </c>
      <c r="J488">
        <v>3346101.8390940237</v>
      </c>
      <c r="K488">
        <f>IFERROR(VLOOKUP(F488,'LEAID Match'!$A$2:$B$236,2,FALSE),"")</f>
        <v>2312330</v>
      </c>
    </row>
    <row r="489" spans="1:11" x14ac:dyDescent="0.2">
      <c r="A489">
        <f t="shared" si="7"/>
        <v>2312330</v>
      </c>
      <c r="B489">
        <v>2021</v>
      </c>
      <c r="C489" t="s">
        <v>642</v>
      </c>
      <c r="D489" t="s">
        <v>644</v>
      </c>
      <c r="E489" t="s">
        <v>646</v>
      </c>
      <c r="F489" t="s">
        <v>497</v>
      </c>
      <c r="G489" t="s">
        <v>106</v>
      </c>
      <c r="H489">
        <v>205342</v>
      </c>
      <c r="I489">
        <v>3449612.2131909397</v>
      </c>
      <c r="J489">
        <v>3654954.2131909397</v>
      </c>
      <c r="K489">
        <f>IFERROR(VLOOKUP(F489,'LEAID Match'!$A$2:$B$236,2,FALSE),"")</f>
        <v>2312330</v>
      </c>
    </row>
    <row r="490" spans="1:11" x14ac:dyDescent="0.2">
      <c r="A490">
        <f t="shared" si="7"/>
        <v>2312330</v>
      </c>
      <c r="B490">
        <v>2022</v>
      </c>
      <c r="C490" t="s">
        <v>642</v>
      </c>
      <c r="D490" t="s">
        <v>644</v>
      </c>
      <c r="E490" t="s">
        <v>646</v>
      </c>
      <c r="F490" t="s">
        <v>497</v>
      </c>
      <c r="G490" t="s">
        <v>106</v>
      </c>
      <c r="H490">
        <v>280541</v>
      </c>
      <c r="I490">
        <v>4038380.044438283</v>
      </c>
      <c r="J490">
        <v>4318921.044438283</v>
      </c>
      <c r="K490">
        <f>IFERROR(VLOOKUP(F490,'LEAID Match'!$A$2:$B$236,2,FALSE),"")</f>
        <v>2312330</v>
      </c>
    </row>
    <row r="491" spans="1:11" x14ac:dyDescent="0.2">
      <c r="A491">
        <f t="shared" si="7"/>
        <v>2314820</v>
      </c>
      <c r="B491">
        <v>2016</v>
      </c>
      <c r="C491" t="s">
        <v>642</v>
      </c>
      <c r="D491" t="s">
        <v>644</v>
      </c>
      <c r="E491" t="s">
        <v>646</v>
      </c>
      <c r="F491" s="1" t="s">
        <v>498</v>
      </c>
      <c r="G491" s="1" t="s">
        <v>499</v>
      </c>
      <c r="H491" s="22">
        <v>5825</v>
      </c>
      <c r="I491">
        <v>110701.808148232</v>
      </c>
      <c r="J491">
        <v>116526.808148232</v>
      </c>
      <c r="K491">
        <f>IFERROR(VLOOKUP(F491,'LEAID Match'!$A$2:$B$236,2,FALSE),"")</f>
        <v>2314820</v>
      </c>
    </row>
    <row r="492" spans="1:11" x14ac:dyDescent="0.2">
      <c r="A492">
        <f t="shared" si="7"/>
        <v>2314820</v>
      </c>
      <c r="B492">
        <v>2017</v>
      </c>
      <c r="C492" t="s">
        <v>642</v>
      </c>
      <c r="D492" t="s">
        <v>644</v>
      </c>
      <c r="E492" t="s">
        <v>646</v>
      </c>
      <c r="F492" t="s">
        <v>498</v>
      </c>
      <c r="G492" t="s">
        <v>499</v>
      </c>
      <c r="H492">
        <v>4633</v>
      </c>
      <c r="I492">
        <v>88339.254623484303</v>
      </c>
      <c r="J492">
        <v>92972.254623484303</v>
      </c>
      <c r="K492">
        <f>IFERROR(VLOOKUP(F492,'LEAID Match'!$A$2:$B$236,2,FALSE),"")</f>
        <v>2314820</v>
      </c>
    </row>
    <row r="493" spans="1:11" x14ac:dyDescent="0.2">
      <c r="A493">
        <f t="shared" si="7"/>
        <v>2314820</v>
      </c>
      <c r="B493">
        <v>2018</v>
      </c>
      <c r="C493" t="s">
        <v>642</v>
      </c>
      <c r="D493" t="s">
        <v>644</v>
      </c>
      <c r="E493" t="s">
        <v>646</v>
      </c>
      <c r="F493" t="s">
        <v>498</v>
      </c>
      <c r="G493" t="s">
        <v>499</v>
      </c>
      <c r="H493">
        <v>3469</v>
      </c>
      <c r="I493">
        <v>70314.180293751037</v>
      </c>
      <c r="J493">
        <v>73783.180293751037</v>
      </c>
      <c r="K493">
        <f>IFERROR(VLOOKUP(F493,'LEAID Match'!$A$2:$B$236,2,FALSE),"")</f>
        <v>2314820</v>
      </c>
    </row>
    <row r="494" spans="1:11" x14ac:dyDescent="0.2">
      <c r="A494">
        <f t="shared" si="7"/>
        <v>2314820</v>
      </c>
      <c r="B494">
        <v>2019</v>
      </c>
      <c r="C494" t="s">
        <v>642</v>
      </c>
      <c r="D494" t="s">
        <v>644</v>
      </c>
      <c r="E494" t="s">
        <v>646</v>
      </c>
      <c r="F494" t="s">
        <v>498</v>
      </c>
      <c r="G494" t="s">
        <v>499</v>
      </c>
      <c r="H494">
        <v>5270</v>
      </c>
      <c r="I494">
        <v>112904.67184300076</v>
      </c>
      <c r="J494">
        <v>118174.67184300076</v>
      </c>
      <c r="K494">
        <f>IFERROR(VLOOKUP(F494,'LEAID Match'!$A$2:$B$236,2,FALSE),"")</f>
        <v>2314820</v>
      </c>
    </row>
    <row r="495" spans="1:11" x14ac:dyDescent="0.2">
      <c r="A495">
        <f t="shared" si="7"/>
        <v>2314820</v>
      </c>
      <c r="B495">
        <v>2020</v>
      </c>
      <c r="C495" t="s">
        <v>642</v>
      </c>
      <c r="D495" t="s">
        <v>644</v>
      </c>
      <c r="E495" t="s">
        <v>646</v>
      </c>
      <c r="F495" t="s">
        <v>498</v>
      </c>
      <c r="G495" t="s">
        <v>499</v>
      </c>
      <c r="H495">
        <v>9127</v>
      </c>
      <c r="I495">
        <v>203367.14828320951</v>
      </c>
      <c r="J495">
        <v>212494.14828320951</v>
      </c>
      <c r="K495">
        <f>IFERROR(VLOOKUP(F495,'LEAID Match'!$A$2:$B$236,2,FALSE),"")</f>
        <v>2314820</v>
      </c>
    </row>
    <row r="496" spans="1:11" x14ac:dyDescent="0.2">
      <c r="A496">
        <f t="shared" si="7"/>
        <v>2314820</v>
      </c>
      <c r="B496">
        <v>2021</v>
      </c>
      <c r="C496" t="s">
        <v>642</v>
      </c>
      <c r="D496" t="s">
        <v>644</v>
      </c>
      <c r="E496" t="s">
        <v>646</v>
      </c>
      <c r="F496" t="s">
        <v>498</v>
      </c>
      <c r="G496" t="s">
        <v>499</v>
      </c>
      <c r="H496">
        <v>9580</v>
      </c>
      <c r="I496">
        <v>160937.77698848362</v>
      </c>
      <c r="J496">
        <v>170517.77698848362</v>
      </c>
      <c r="K496">
        <f>IFERROR(VLOOKUP(F496,'LEAID Match'!$A$2:$B$236,2,FALSE),"")</f>
        <v>2314820</v>
      </c>
    </row>
    <row r="497" spans="1:11" x14ac:dyDescent="0.2">
      <c r="A497">
        <f t="shared" si="7"/>
        <v>2314820</v>
      </c>
      <c r="B497">
        <v>2022</v>
      </c>
      <c r="C497" t="s">
        <v>642</v>
      </c>
      <c r="D497" t="s">
        <v>644</v>
      </c>
      <c r="E497" t="s">
        <v>646</v>
      </c>
      <c r="F497" t="s">
        <v>498</v>
      </c>
      <c r="G497" t="s">
        <v>499</v>
      </c>
      <c r="H497">
        <v>3569</v>
      </c>
      <c r="I497">
        <v>51375.657670715627</v>
      </c>
      <c r="J497">
        <v>54944.657670715627</v>
      </c>
      <c r="K497">
        <f>IFERROR(VLOOKUP(F497,'LEAID Match'!$A$2:$B$236,2,FALSE),"")</f>
        <v>2314820</v>
      </c>
    </row>
    <row r="498" spans="1:11" x14ac:dyDescent="0.2">
      <c r="A498">
        <f t="shared" si="7"/>
        <v>2313140</v>
      </c>
      <c r="B498">
        <v>2015</v>
      </c>
      <c r="C498" t="s">
        <v>642</v>
      </c>
      <c r="D498" t="s">
        <v>644</v>
      </c>
      <c r="E498" t="s">
        <v>646</v>
      </c>
      <c r="F498" t="s">
        <v>107</v>
      </c>
      <c r="G498" t="s">
        <v>108</v>
      </c>
      <c r="H498">
        <v>2480</v>
      </c>
      <c r="I498">
        <v>47550.629396638906</v>
      </c>
      <c r="J498">
        <v>50030.629396638906</v>
      </c>
      <c r="K498">
        <f>IFERROR(VLOOKUP(F498,'LEAID Match'!$A$2:$B$236,2,FALSE),"")</f>
        <v>2313140</v>
      </c>
    </row>
    <row r="499" spans="1:11" x14ac:dyDescent="0.2">
      <c r="A499">
        <f t="shared" si="7"/>
        <v>2313140</v>
      </c>
      <c r="B499">
        <v>2016</v>
      </c>
      <c r="C499" t="s">
        <v>642</v>
      </c>
      <c r="D499" t="s">
        <v>644</v>
      </c>
      <c r="E499" t="s">
        <v>646</v>
      </c>
      <c r="F499" s="1" t="s">
        <v>107</v>
      </c>
      <c r="G499" s="1" t="s">
        <v>108</v>
      </c>
      <c r="H499" s="22">
        <v>1938</v>
      </c>
      <c r="I499">
        <v>36830.91917446757</v>
      </c>
      <c r="J499">
        <v>38768.91917446757</v>
      </c>
      <c r="K499">
        <f>IFERROR(VLOOKUP(F499,'LEAID Match'!$A$2:$B$236,2,FALSE),"")</f>
        <v>2313140</v>
      </c>
    </row>
    <row r="500" spans="1:11" x14ac:dyDescent="0.2">
      <c r="A500">
        <f t="shared" si="7"/>
        <v>2313140</v>
      </c>
      <c r="B500">
        <v>2017</v>
      </c>
      <c r="C500" t="s">
        <v>642</v>
      </c>
      <c r="D500" t="s">
        <v>644</v>
      </c>
      <c r="E500" t="s">
        <v>646</v>
      </c>
      <c r="F500" t="s">
        <v>107</v>
      </c>
      <c r="G500" t="s">
        <v>108</v>
      </c>
      <c r="H500">
        <v>2601</v>
      </c>
      <c r="I500">
        <v>49594.302023674223</v>
      </c>
      <c r="J500">
        <v>52195.302023674223</v>
      </c>
      <c r="K500">
        <f>IFERROR(VLOOKUP(F500,'LEAID Match'!$A$2:$B$236,2,FALSE),"")</f>
        <v>2313140</v>
      </c>
    </row>
    <row r="501" spans="1:11" x14ac:dyDescent="0.2">
      <c r="A501">
        <f t="shared" si="7"/>
        <v>2313140</v>
      </c>
      <c r="B501">
        <v>2018</v>
      </c>
      <c r="C501" t="s">
        <v>642</v>
      </c>
      <c r="D501" t="s">
        <v>644</v>
      </c>
      <c r="E501" t="s">
        <v>646</v>
      </c>
      <c r="F501" t="s">
        <v>107</v>
      </c>
      <c r="G501" t="s">
        <v>108</v>
      </c>
      <c r="H501">
        <v>5792</v>
      </c>
      <c r="I501">
        <v>117399.74985915421</v>
      </c>
      <c r="J501">
        <v>123191.74985915421</v>
      </c>
      <c r="K501">
        <f>IFERROR(VLOOKUP(F501,'LEAID Match'!$A$2:$B$236,2,FALSE),"")</f>
        <v>2313140</v>
      </c>
    </row>
    <row r="502" spans="1:11" x14ac:dyDescent="0.2">
      <c r="A502">
        <f t="shared" si="7"/>
        <v>2313140</v>
      </c>
      <c r="B502">
        <v>2019</v>
      </c>
      <c r="C502" t="s">
        <v>642</v>
      </c>
      <c r="D502" t="s">
        <v>644</v>
      </c>
      <c r="E502" t="s">
        <v>646</v>
      </c>
      <c r="F502" t="s">
        <v>107</v>
      </c>
      <c r="G502" t="s">
        <v>108</v>
      </c>
      <c r="H502">
        <v>3273</v>
      </c>
      <c r="I502">
        <v>70120.871146516409</v>
      </c>
      <c r="J502">
        <v>73393.871146516409</v>
      </c>
      <c r="K502">
        <f>IFERROR(VLOOKUP(F502,'LEAID Match'!$A$2:$B$236,2,FALSE),"")</f>
        <v>2313140</v>
      </c>
    </row>
    <row r="503" spans="1:11" x14ac:dyDescent="0.2">
      <c r="A503">
        <f t="shared" si="7"/>
        <v>2313140</v>
      </c>
      <c r="B503">
        <v>2020</v>
      </c>
      <c r="C503" t="s">
        <v>642</v>
      </c>
      <c r="D503" t="s">
        <v>644</v>
      </c>
      <c r="E503" t="s">
        <v>646</v>
      </c>
      <c r="F503" t="s">
        <v>107</v>
      </c>
      <c r="G503" t="s">
        <v>108</v>
      </c>
      <c r="H503">
        <v>3537</v>
      </c>
      <c r="I503">
        <v>78811.176013773642</v>
      </c>
      <c r="J503">
        <v>82348.176013773642</v>
      </c>
      <c r="K503">
        <f>IFERROR(VLOOKUP(F503,'LEAID Match'!$A$2:$B$236,2,FALSE),"")</f>
        <v>2313140</v>
      </c>
    </row>
    <row r="504" spans="1:11" x14ac:dyDescent="0.2">
      <c r="A504">
        <f t="shared" si="7"/>
        <v>2313140</v>
      </c>
      <c r="B504">
        <v>2021</v>
      </c>
      <c r="C504" t="s">
        <v>642</v>
      </c>
      <c r="D504" t="s">
        <v>644</v>
      </c>
      <c r="E504" t="s">
        <v>646</v>
      </c>
      <c r="F504" t="s">
        <v>107</v>
      </c>
      <c r="G504" t="s">
        <v>108</v>
      </c>
      <c r="H504">
        <v>10387</v>
      </c>
      <c r="I504">
        <v>174494.85277446549</v>
      </c>
      <c r="J504">
        <v>184881.85277446549</v>
      </c>
      <c r="K504">
        <f>IFERROR(VLOOKUP(F504,'LEAID Match'!$A$2:$B$236,2,FALSE),"")</f>
        <v>2313140</v>
      </c>
    </row>
    <row r="505" spans="1:11" x14ac:dyDescent="0.2">
      <c r="A505">
        <f t="shared" si="7"/>
        <v>2313140</v>
      </c>
      <c r="B505">
        <v>2022</v>
      </c>
      <c r="C505" t="s">
        <v>642</v>
      </c>
      <c r="D505" t="s">
        <v>644</v>
      </c>
      <c r="E505" t="s">
        <v>646</v>
      </c>
      <c r="F505" t="s">
        <v>107</v>
      </c>
      <c r="G505" t="s">
        <v>108</v>
      </c>
      <c r="H505">
        <v>11361</v>
      </c>
      <c r="I505">
        <v>163541.28517708048</v>
      </c>
      <c r="J505">
        <v>174902.28517708048</v>
      </c>
      <c r="K505">
        <f>IFERROR(VLOOKUP(F505,'LEAID Match'!$A$2:$B$236,2,FALSE),"")</f>
        <v>2313140</v>
      </c>
    </row>
    <row r="506" spans="1:11" x14ac:dyDescent="0.2">
      <c r="A506">
        <f t="shared" si="7"/>
        <v>2313530</v>
      </c>
      <c r="B506">
        <v>2016</v>
      </c>
      <c r="C506" t="s">
        <v>642</v>
      </c>
      <c r="D506" t="s">
        <v>644</v>
      </c>
      <c r="E506" t="s">
        <v>646</v>
      </c>
      <c r="F506" s="1" t="s">
        <v>500</v>
      </c>
      <c r="G506" s="1" t="s">
        <v>501</v>
      </c>
      <c r="H506" s="22">
        <v>12609</v>
      </c>
      <c r="I506">
        <v>239629.02986112569</v>
      </c>
      <c r="J506">
        <v>252238.02986112569</v>
      </c>
      <c r="K506">
        <f>IFERROR(VLOOKUP(F506,'LEAID Match'!$A$2:$B$236,2,FALSE),"")</f>
        <v>2313530</v>
      </c>
    </row>
    <row r="507" spans="1:11" x14ac:dyDescent="0.2">
      <c r="A507">
        <f t="shared" si="7"/>
        <v>2313530</v>
      </c>
      <c r="B507">
        <v>2017</v>
      </c>
      <c r="C507" t="s">
        <v>642</v>
      </c>
      <c r="D507" t="s">
        <v>644</v>
      </c>
      <c r="E507" t="s">
        <v>646</v>
      </c>
      <c r="F507" t="s">
        <v>500</v>
      </c>
      <c r="G507" t="s">
        <v>501</v>
      </c>
      <c r="H507">
        <v>2354</v>
      </c>
      <c r="I507">
        <v>44884.654734228803</v>
      </c>
      <c r="J507">
        <v>47238.654734228803</v>
      </c>
      <c r="K507">
        <f>IFERROR(VLOOKUP(F507,'LEAID Match'!$A$2:$B$236,2,FALSE),"")</f>
        <v>2313530</v>
      </c>
    </row>
    <row r="508" spans="1:11" x14ac:dyDescent="0.2">
      <c r="A508">
        <f t="shared" si="7"/>
        <v>2313530</v>
      </c>
      <c r="B508">
        <v>2018</v>
      </c>
      <c r="C508" t="s">
        <v>642</v>
      </c>
      <c r="D508" t="s">
        <v>644</v>
      </c>
      <c r="E508" t="s">
        <v>646</v>
      </c>
      <c r="F508" t="s">
        <v>500</v>
      </c>
      <c r="G508" t="s">
        <v>501</v>
      </c>
      <c r="H508">
        <v>5168</v>
      </c>
      <c r="I508">
        <v>104751.71050968733</v>
      </c>
      <c r="J508">
        <v>109919.71050968733</v>
      </c>
      <c r="K508">
        <f>IFERROR(VLOOKUP(F508,'LEAID Match'!$A$2:$B$236,2,FALSE),"")</f>
        <v>2313530</v>
      </c>
    </row>
    <row r="509" spans="1:11" x14ac:dyDescent="0.2">
      <c r="A509">
        <f t="shared" si="7"/>
        <v>2313530</v>
      </c>
      <c r="B509">
        <v>2019</v>
      </c>
      <c r="C509" t="s">
        <v>642</v>
      </c>
      <c r="D509" t="s">
        <v>644</v>
      </c>
      <c r="E509" t="s">
        <v>646</v>
      </c>
      <c r="F509" t="s">
        <v>500</v>
      </c>
      <c r="G509" t="s">
        <v>501</v>
      </c>
      <c r="H509">
        <v>4327</v>
      </c>
      <c r="I509">
        <v>92701.805515116575</v>
      </c>
      <c r="J509">
        <v>97028.805515116575</v>
      </c>
      <c r="K509">
        <f>IFERROR(VLOOKUP(F509,'LEAID Match'!$A$2:$B$236,2,FALSE),"")</f>
        <v>2313530</v>
      </c>
    </row>
    <row r="510" spans="1:11" x14ac:dyDescent="0.2">
      <c r="A510">
        <f t="shared" si="7"/>
        <v>2313530</v>
      </c>
      <c r="B510">
        <v>2020</v>
      </c>
      <c r="C510" t="s">
        <v>642</v>
      </c>
      <c r="D510" t="s">
        <v>644</v>
      </c>
      <c r="E510" t="s">
        <v>646</v>
      </c>
      <c r="F510" t="s">
        <v>500</v>
      </c>
      <c r="G510" t="s">
        <v>501</v>
      </c>
      <c r="H510">
        <v>7702</v>
      </c>
      <c r="I510">
        <v>171615.40222168068</v>
      </c>
      <c r="J510">
        <v>179317.40222168068</v>
      </c>
      <c r="K510">
        <f>IFERROR(VLOOKUP(F510,'LEAID Match'!$A$2:$B$236,2,FALSE),"")</f>
        <v>2313530</v>
      </c>
    </row>
    <row r="511" spans="1:11" x14ac:dyDescent="0.2">
      <c r="A511">
        <f t="shared" si="7"/>
        <v>2313530</v>
      </c>
      <c r="B511">
        <v>2021</v>
      </c>
      <c r="C511" t="s">
        <v>642</v>
      </c>
      <c r="D511" t="s">
        <v>644</v>
      </c>
      <c r="E511" t="s">
        <v>646</v>
      </c>
      <c r="F511" t="s">
        <v>500</v>
      </c>
      <c r="G511" t="s">
        <v>501</v>
      </c>
      <c r="H511">
        <v>7998</v>
      </c>
      <c r="I511">
        <v>134361.2046298426</v>
      </c>
      <c r="J511">
        <v>142359.2046298426</v>
      </c>
      <c r="K511">
        <f>IFERROR(VLOOKUP(F511,'LEAID Match'!$A$2:$B$236,2,FALSE),"")</f>
        <v>2313530</v>
      </c>
    </row>
    <row r="512" spans="1:11" x14ac:dyDescent="0.2">
      <c r="A512">
        <f t="shared" si="7"/>
        <v>2313530</v>
      </c>
      <c r="B512">
        <v>2022</v>
      </c>
      <c r="C512" t="s">
        <v>642</v>
      </c>
      <c r="D512" t="s">
        <v>644</v>
      </c>
      <c r="E512" t="s">
        <v>646</v>
      </c>
      <c r="F512" t="s">
        <v>500</v>
      </c>
      <c r="G512" t="s">
        <v>501</v>
      </c>
      <c r="H512">
        <v>8392</v>
      </c>
      <c r="I512">
        <v>120802.61114391862</v>
      </c>
      <c r="J512">
        <v>129194.61114391862</v>
      </c>
      <c r="K512">
        <f>IFERROR(VLOOKUP(F512,'LEAID Match'!$A$2:$B$236,2,FALSE),"")</f>
        <v>2313530</v>
      </c>
    </row>
    <row r="513" spans="1:11" x14ac:dyDescent="0.2">
      <c r="A513">
        <f t="shared" si="7"/>
        <v>2313560</v>
      </c>
      <c r="B513">
        <v>2015</v>
      </c>
      <c r="C513" t="s">
        <v>642</v>
      </c>
      <c r="D513" t="s">
        <v>644</v>
      </c>
      <c r="E513" t="s">
        <v>646</v>
      </c>
      <c r="F513" t="s">
        <v>109</v>
      </c>
      <c r="G513" t="s">
        <v>110</v>
      </c>
      <c r="H513">
        <v>152899</v>
      </c>
      <c r="I513">
        <v>2931630.517788989</v>
      </c>
      <c r="J513">
        <v>3084529.517788989</v>
      </c>
      <c r="K513">
        <f>IFERROR(VLOOKUP(F513,'LEAID Match'!$A$2:$B$236,2,FALSE),"")</f>
        <v>2313560</v>
      </c>
    </row>
    <row r="514" spans="1:11" x14ac:dyDescent="0.2">
      <c r="A514">
        <f t="shared" si="7"/>
        <v>2313560</v>
      </c>
      <c r="B514">
        <v>2016</v>
      </c>
      <c r="C514" t="s">
        <v>642</v>
      </c>
      <c r="D514" t="s">
        <v>644</v>
      </c>
      <c r="E514" t="s">
        <v>646</v>
      </c>
      <c r="F514" s="1" t="s">
        <v>109</v>
      </c>
      <c r="G514" s="1" t="s">
        <v>110</v>
      </c>
      <c r="H514" s="22">
        <v>116239</v>
      </c>
      <c r="I514">
        <v>2209075.9617755087</v>
      </c>
      <c r="J514">
        <v>2325314.9617755087</v>
      </c>
      <c r="K514">
        <f>IFERROR(VLOOKUP(F514,'LEAID Match'!$A$2:$B$236,2,FALSE),"")</f>
        <v>2313560</v>
      </c>
    </row>
    <row r="515" spans="1:11" x14ac:dyDescent="0.2">
      <c r="A515">
        <f t="shared" ref="A515:A578" si="8">K515</f>
        <v>2313560</v>
      </c>
      <c r="B515">
        <v>2017</v>
      </c>
      <c r="C515" t="s">
        <v>642</v>
      </c>
      <c r="D515" t="s">
        <v>644</v>
      </c>
      <c r="E515" t="s">
        <v>646</v>
      </c>
      <c r="F515" t="s">
        <v>109</v>
      </c>
      <c r="G515" t="s">
        <v>110</v>
      </c>
      <c r="H515">
        <v>135882</v>
      </c>
      <c r="I515">
        <v>2590916.165928835</v>
      </c>
      <c r="J515">
        <v>2726798.165928835</v>
      </c>
      <c r="K515">
        <f>IFERROR(VLOOKUP(F515,'LEAID Match'!$A$2:$B$236,2,FALSE),"")</f>
        <v>2313560</v>
      </c>
    </row>
    <row r="516" spans="1:11" x14ac:dyDescent="0.2">
      <c r="A516">
        <f t="shared" si="8"/>
        <v>2313560</v>
      </c>
      <c r="B516">
        <v>2018</v>
      </c>
      <c r="C516" t="s">
        <v>642</v>
      </c>
      <c r="D516" t="s">
        <v>644</v>
      </c>
      <c r="E516" t="s">
        <v>646</v>
      </c>
      <c r="F516" t="s">
        <v>109</v>
      </c>
      <c r="G516" t="s">
        <v>110</v>
      </c>
      <c r="H516">
        <v>141805</v>
      </c>
      <c r="I516">
        <v>2874287.2114601801</v>
      </c>
      <c r="J516">
        <v>3016092.2114601801</v>
      </c>
      <c r="K516">
        <f>IFERROR(VLOOKUP(F516,'LEAID Match'!$A$2:$B$236,2,FALSE),"")</f>
        <v>2313560</v>
      </c>
    </row>
    <row r="517" spans="1:11" x14ac:dyDescent="0.2">
      <c r="A517">
        <f t="shared" si="8"/>
        <v>2313560</v>
      </c>
      <c r="B517">
        <v>2019</v>
      </c>
      <c r="C517" t="s">
        <v>642</v>
      </c>
      <c r="D517" t="s">
        <v>644</v>
      </c>
      <c r="E517" t="s">
        <v>646</v>
      </c>
      <c r="F517" t="s">
        <v>109</v>
      </c>
      <c r="G517" t="s">
        <v>110</v>
      </c>
      <c r="H517">
        <v>138680</v>
      </c>
      <c r="I517">
        <v>2971085.3683467451</v>
      </c>
      <c r="J517">
        <v>3109765.3683467451</v>
      </c>
      <c r="K517">
        <f>IFERROR(VLOOKUP(F517,'LEAID Match'!$A$2:$B$236,2,FALSE),"")</f>
        <v>2313560</v>
      </c>
    </row>
    <row r="518" spans="1:11" x14ac:dyDescent="0.2">
      <c r="A518">
        <f t="shared" si="8"/>
        <v>2313560</v>
      </c>
      <c r="B518">
        <v>2020</v>
      </c>
      <c r="C518" t="s">
        <v>642</v>
      </c>
      <c r="D518" t="s">
        <v>644</v>
      </c>
      <c r="E518" t="s">
        <v>646</v>
      </c>
      <c r="F518" t="s">
        <v>109</v>
      </c>
      <c r="G518" t="s">
        <v>110</v>
      </c>
      <c r="H518">
        <v>180315</v>
      </c>
      <c r="I518">
        <v>4017765.6779540833</v>
      </c>
      <c r="J518">
        <v>4198080.6779540833</v>
      </c>
      <c r="K518">
        <f>IFERROR(VLOOKUP(F518,'LEAID Match'!$A$2:$B$236,2,FALSE),"")</f>
        <v>2313560</v>
      </c>
    </row>
    <row r="519" spans="1:11" x14ac:dyDescent="0.2">
      <c r="A519">
        <f t="shared" si="8"/>
        <v>2313560</v>
      </c>
      <c r="B519">
        <v>2021</v>
      </c>
      <c r="C519" t="s">
        <v>642</v>
      </c>
      <c r="D519" t="s">
        <v>644</v>
      </c>
      <c r="E519" t="s">
        <v>646</v>
      </c>
      <c r="F519" t="s">
        <v>109</v>
      </c>
      <c r="G519" t="s">
        <v>110</v>
      </c>
      <c r="H519">
        <v>222052</v>
      </c>
      <c r="I519">
        <v>3730329.3586478876</v>
      </c>
      <c r="J519">
        <v>3952381.3586478876</v>
      </c>
      <c r="K519">
        <f>IFERROR(VLOOKUP(F519,'LEAID Match'!$A$2:$B$236,2,FALSE),"")</f>
        <v>2313560</v>
      </c>
    </row>
    <row r="520" spans="1:11" x14ac:dyDescent="0.2">
      <c r="A520">
        <f t="shared" si="8"/>
        <v>2313560</v>
      </c>
      <c r="B520">
        <v>2022</v>
      </c>
      <c r="C520" t="s">
        <v>642</v>
      </c>
      <c r="D520" t="s">
        <v>644</v>
      </c>
      <c r="E520" t="s">
        <v>646</v>
      </c>
      <c r="F520" t="s">
        <v>109</v>
      </c>
      <c r="G520" t="s">
        <v>110</v>
      </c>
      <c r="H520">
        <v>370574</v>
      </c>
      <c r="I520">
        <v>5334402.6241714125</v>
      </c>
      <c r="J520">
        <v>5704976.6241714125</v>
      </c>
      <c r="K520">
        <f>IFERROR(VLOOKUP(F520,'LEAID Match'!$A$2:$B$236,2,FALSE),"")</f>
        <v>2313560</v>
      </c>
    </row>
    <row r="521" spans="1:11" x14ac:dyDescent="0.2">
      <c r="A521">
        <f t="shared" si="8"/>
        <v>2313970</v>
      </c>
      <c r="B521">
        <v>2015</v>
      </c>
      <c r="C521" t="s">
        <v>642</v>
      </c>
      <c r="D521" t="s">
        <v>644</v>
      </c>
      <c r="E521" t="s">
        <v>646</v>
      </c>
      <c r="F521" t="s">
        <v>502</v>
      </c>
      <c r="G521" t="s">
        <v>111</v>
      </c>
      <c r="H521">
        <v>13876</v>
      </c>
      <c r="I521">
        <v>266053.440930549</v>
      </c>
      <c r="J521">
        <v>279929.440930549</v>
      </c>
      <c r="K521">
        <f>IFERROR(VLOOKUP(F521,'LEAID Match'!$A$2:$B$236,2,FALSE),"")</f>
        <v>2313970</v>
      </c>
    </row>
    <row r="522" spans="1:11" x14ac:dyDescent="0.2">
      <c r="A522">
        <f t="shared" si="8"/>
        <v>2313970</v>
      </c>
      <c r="B522">
        <v>2016</v>
      </c>
      <c r="C522" t="s">
        <v>642</v>
      </c>
      <c r="D522" t="s">
        <v>644</v>
      </c>
      <c r="E522" t="s">
        <v>646</v>
      </c>
      <c r="F522" s="1" t="s">
        <v>502</v>
      </c>
      <c r="G522" s="1" t="s">
        <v>111</v>
      </c>
      <c r="H522" s="22">
        <v>10530</v>
      </c>
      <c r="I522">
        <v>200118.46176839192</v>
      </c>
      <c r="J522">
        <v>210648.46176839192</v>
      </c>
      <c r="K522">
        <f>IFERROR(VLOOKUP(F522,'LEAID Match'!$A$2:$B$236,2,FALSE),"")</f>
        <v>2313970</v>
      </c>
    </row>
    <row r="523" spans="1:11" x14ac:dyDescent="0.2">
      <c r="A523">
        <f t="shared" si="8"/>
        <v>2313970</v>
      </c>
      <c r="B523">
        <v>2017</v>
      </c>
      <c r="C523" t="s">
        <v>642</v>
      </c>
      <c r="D523" t="s">
        <v>644</v>
      </c>
      <c r="E523" t="s">
        <v>646</v>
      </c>
      <c r="F523" t="s">
        <v>502</v>
      </c>
      <c r="G523" t="s">
        <v>111</v>
      </c>
      <c r="H523">
        <v>19780</v>
      </c>
      <c r="I523">
        <v>377153.13111429301</v>
      </c>
      <c r="J523">
        <v>396933.13111429301</v>
      </c>
      <c r="K523">
        <f>IFERROR(VLOOKUP(F523,'LEAID Match'!$A$2:$B$236,2,FALSE),"")</f>
        <v>2313970</v>
      </c>
    </row>
    <row r="524" spans="1:11" x14ac:dyDescent="0.2">
      <c r="A524">
        <f t="shared" si="8"/>
        <v>2313970</v>
      </c>
      <c r="B524">
        <v>2018</v>
      </c>
      <c r="C524" t="s">
        <v>642</v>
      </c>
      <c r="D524" t="s">
        <v>644</v>
      </c>
      <c r="E524" t="s">
        <v>646</v>
      </c>
      <c r="F524" t="s">
        <v>502</v>
      </c>
      <c r="G524" t="s">
        <v>111</v>
      </c>
      <c r="H524">
        <v>29214</v>
      </c>
      <c r="I524">
        <v>592147.14992840658</v>
      </c>
      <c r="J524">
        <v>621361.14992840658</v>
      </c>
      <c r="K524">
        <f>IFERROR(VLOOKUP(F524,'LEAID Match'!$A$2:$B$236,2,FALSE),"")</f>
        <v>2313970</v>
      </c>
    </row>
    <row r="525" spans="1:11" x14ac:dyDescent="0.2">
      <c r="A525">
        <f t="shared" si="8"/>
        <v>2313970</v>
      </c>
      <c r="B525">
        <v>2019</v>
      </c>
      <c r="C525" t="s">
        <v>642</v>
      </c>
      <c r="D525" t="s">
        <v>644</v>
      </c>
      <c r="E525" t="s">
        <v>646</v>
      </c>
      <c r="F525" t="s">
        <v>502</v>
      </c>
      <c r="G525" t="s">
        <v>111</v>
      </c>
      <c r="H525">
        <v>21579</v>
      </c>
      <c r="I525">
        <v>462309.28153702343</v>
      </c>
      <c r="J525">
        <v>483888.28153702343</v>
      </c>
      <c r="K525">
        <f>IFERROR(VLOOKUP(F525,'LEAID Match'!$A$2:$B$236,2,FALSE),"")</f>
        <v>2313970</v>
      </c>
    </row>
    <row r="526" spans="1:11" x14ac:dyDescent="0.2">
      <c r="A526">
        <f t="shared" si="8"/>
        <v>2313970</v>
      </c>
      <c r="B526">
        <v>2020</v>
      </c>
      <c r="C526" t="s">
        <v>642</v>
      </c>
      <c r="D526" t="s">
        <v>644</v>
      </c>
      <c r="E526" t="s">
        <v>646</v>
      </c>
      <c r="F526" t="s">
        <v>502</v>
      </c>
      <c r="G526" t="s">
        <v>111</v>
      </c>
      <c r="H526">
        <v>18101</v>
      </c>
      <c r="I526">
        <v>403325.16172612854</v>
      </c>
      <c r="J526">
        <v>421426.16172612854</v>
      </c>
      <c r="K526">
        <f>IFERROR(VLOOKUP(F526,'LEAID Match'!$A$2:$B$236,2,FALSE),"")</f>
        <v>2313970</v>
      </c>
    </row>
    <row r="527" spans="1:11" x14ac:dyDescent="0.2">
      <c r="A527">
        <f t="shared" si="8"/>
        <v>2313970</v>
      </c>
      <c r="B527">
        <v>2021</v>
      </c>
      <c r="C527" t="s">
        <v>642</v>
      </c>
      <c r="D527" t="s">
        <v>644</v>
      </c>
      <c r="E527" t="s">
        <v>646</v>
      </c>
      <c r="F527" t="s">
        <v>502</v>
      </c>
      <c r="G527" t="s">
        <v>111</v>
      </c>
      <c r="H527">
        <v>39042</v>
      </c>
      <c r="I527">
        <v>655880.23895452789</v>
      </c>
      <c r="J527">
        <v>694922.23895452789</v>
      </c>
      <c r="K527">
        <f>IFERROR(VLOOKUP(F527,'LEAID Match'!$A$2:$B$236,2,FALSE),"")</f>
        <v>2313970</v>
      </c>
    </row>
    <row r="528" spans="1:11" x14ac:dyDescent="0.2">
      <c r="A528">
        <f t="shared" si="8"/>
        <v>2313970</v>
      </c>
      <c r="B528">
        <v>2022</v>
      </c>
      <c r="C528" t="s">
        <v>642</v>
      </c>
      <c r="D528" t="s">
        <v>644</v>
      </c>
      <c r="E528" t="s">
        <v>646</v>
      </c>
      <c r="F528" t="s">
        <v>502</v>
      </c>
      <c r="G528" t="s">
        <v>111</v>
      </c>
      <c r="H528">
        <v>72846</v>
      </c>
      <c r="I528">
        <v>1048616.1834354021</v>
      </c>
      <c r="J528">
        <v>1121462.1834354021</v>
      </c>
      <c r="K528">
        <f>IFERROR(VLOOKUP(F528,'LEAID Match'!$A$2:$B$236,2,FALSE),"")</f>
        <v>2313970</v>
      </c>
    </row>
    <row r="529" spans="1:11" x14ac:dyDescent="0.2">
      <c r="A529">
        <f t="shared" si="8"/>
        <v>2313980</v>
      </c>
      <c r="B529">
        <v>2015</v>
      </c>
      <c r="C529" t="s">
        <v>642</v>
      </c>
      <c r="D529" t="s">
        <v>644</v>
      </c>
      <c r="E529" t="s">
        <v>646</v>
      </c>
      <c r="F529" t="s">
        <v>503</v>
      </c>
      <c r="G529" t="s">
        <v>112</v>
      </c>
      <c r="H529">
        <v>20665</v>
      </c>
      <c r="I529">
        <v>396223.28890384798</v>
      </c>
      <c r="J529">
        <v>416888.28890384798</v>
      </c>
      <c r="K529">
        <f>IFERROR(VLOOKUP(F529,'LEAID Match'!$A$2:$B$236,2,FALSE),"")</f>
        <v>2313980</v>
      </c>
    </row>
    <row r="530" spans="1:11" x14ac:dyDescent="0.2">
      <c r="A530">
        <f t="shared" si="8"/>
        <v>2313980</v>
      </c>
      <c r="B530">
        <v>2016</v>
      </c>
      <c r="C530" t="s">
        <v>642</v>
      </c>
      <c r="D530" t="s">
        <v>644</v>
      </c>
      <c r="E530" t="s">
        <v>646</v>
      </c>
      <c r="F530" s="1" t="s">
        <v>503</v>
      </c>
      <c r="G530" s="1" t="s">
        <v>112</v>
      </c>
      <c r="H530" s="22">
        <v>32784</v>
      </c>
      <c r="I530">
        <v>623046.88040028117</v>
      </c>
      <c r="J530">
        <v>655830.88040028117</v>
      </c>
      <c r="K530">
        <f>IFERROR(VLOOKUP(F530,'LEAID Match'!$A$2:$B$236,2,FALSE),"")</f>
        <v>2313980</v>
      </c>
    </row>
    <row r="531" spans="1:11" x14ac:dyDescent="0.2">
      <c r="A531">
        <f t="shared" si="8"/>
        <v>2313980</v>
      </c>
      <c r="B531">
        <v>2017</v>
      </c>
      <c r="C531" t="s">
        <v>642</v>
      </c>
      <c r="D531" t="s">
        <v>644</v>
      </c>
      <c r="E531" t="s">
        <v>646</v>
      </c>
      <c r="F531" t="s">
        <v>503</v>
      </c>
      <c r="G531" t="s">
        <v>112</v>
      </c>
      <c r="H531">
        <v>19062</v>
      </c>
      <c r="I531">
        <v>363462.73939841526</v>
      </c>
      <c r="J531">
        <v>382524.73939841526</v>
      </c>
      <c r="K531">
        <f>IFERROR(VLOOKUP(F531,'LEAID Match'!$A$2:$B$236,2,FALSE),"")</f>
        <v>2313980</v>
      </c>
    </row>
    <row r="532" spans="1:11" x14ac:dyDescent="0.2">
      <c r="A532">
        <f t="shared" si="8"/>
        <v>2313980</v>
      </c>
      <c r="B532">
        <v>2018</v>
      </c>
      <c r="C532" t="s">
        <v>642</v>
      </c>
      <c r="D532" t="s">
        <v>644</v>
      </c>
      <c r="E532" t="s">
        <v>646</v>
      </c>
      <c r="F532" t="s">
        <v>503</v>
      </c>
      <c r="G532" t="s">
        <v>112</v>
      </c>
      <c r="H532">
        <v>24818</v>
      </c>
      <c r="I532">
        <v>503043.33425491879</v>
      </c>
      <c r="J532">
        <v>527861.33425491885</v>
      </c>
      <c r="K532">
        <f>IFERROR(VLOOKUP(F532,'LEAID Match'!$A$2:$B$236,2,FALSE),"")</f>
        <v>2313980</v>
      </c>
    </row>
    <row r="533" spans="1:11" x14ac:dyDescent="0.2">
      <c r="A533">
        <f t="shared" si="8"/>
        <v>2313980</v>
      </c>
      <c r="B533">
        <v>2019</v>
      </c>
      <c r="C533" t="s">
        <v>642</v>
      </c>
      <c r="D533" t="s">
        <v>644</v>
      </c>
      <c r="E533" t="s">
        <v>646</v>
      </c>
      <c r="F533" t="s">
        <v>503</v>
      </c>
      <c r="G533" t="s">
        <v>112</v>
      </c>
      <c r="H533">
        <v>24612</v>
      </c>
      <c r="I533">
        <v>527288.3839468566</v>
      </c>
      <c r="J533">
        <v>551900.3839468566</v>
      </c>
      <c r="K533">
        <f>IFERROR(VLOOKUP(F533,'LEAID Match'!$A$2:$B$236,2,FALSE),"")</f>
        <v>2313980</v>
      </c>
    </row>
    <row r="534" spans="1:11" x14ac:dyDescent="0.2">
      <c r="A534">
        <f t="shared" si="8"/>
        <v>2313980</v>
      </c>
      <c r="B534">
        <v>2020</v>
      </c>
      <c r="C534" t="s">
        <v>642</v>
      </c>
      <c r="D534" t="s">
        <v>644</v>
      </c>
      <c r="E534" t="s">
        <v>646</v>
      </c>
      <c r="F534" t="s">
        <v>503</v>
      </c>
      <c r="G534" t="s">
        <v>112</v>
      </c>
      <c r="H534">
        <v>22974</v>
      </c>
      <c r="I534">
        <v>511904.99229302676</v>
      </c>
      <c r="J534">
        <v>534878.99229302676</v>
      </c>
      <c r="K534">
        <f>IFERROR(VLOOKUP(F534,'LEAID Match'!$A$2:$B$236,2,FALSE),"")</f>
        <v>2313980</v>
      </c>
    </row>
    <row r="535" spans="1:11" x14ac:dyDescent="0.2">
      <c r="A535">
        <f t="shared" si="8"/>
        <v>2313980</v>
      </c>
      <c r="B535">
        <v>2021</v>
      </c>
      <c r="C535" t="s">
        <v>642</v>
      </c>
      <c r="D535" t="s">
        <v>644</v>
      </c>
      <c r="E535" t="s">
        <v>646</v>
      </c>
      <c r="F535" t="s">
        <v>503</v>
      </c>
      <c r="G535" t="s">
        <v>112</v>
      </c>
      <c r="H535">
        <v>21572</v>
      </c>
      <c r="I535">
        <v>362395.58718116587</v>
      </c>
      <c r="J535">
        <v>383967.58718116587</v>
      </c>
      <c r="K535">
        <f>IFERROR(VLOOKUP(F535,'LEAID Match'!$A$2:$B$236,2,FALSE),"")</f>
        <v>2313980</v>
      </c>
    </row>
    <row r="536" spans="1:11" x14ac:dyDescent="0.2">
      <c r="A536">
        <f t="shared" si="8"/>
        <v>2313980</v>
      </c>
      <c r="B536">
        <v>2022</v>
      </c>
      <c r="C536" t="s">
        <v>642</v>
      </c>
      <c r="D536" t="s">
        <v>644</v>
      </c>
      <c r="E536" t="s">
        <v>646</v>
      </c>
      <c r="F536" t="s">
        <v>503</v>
      </c>
      <c r="G536" t="s">
        <v>112</v>
      </c>
      <c r="H536">
        <v>33269</v>
      </c>
      <c r="I536">
        <v>478906.34772962687</v>
      </c>
      <c r="J536">
        <v>512175.34772962687</v>
      </c>
      <c r="K536">
        <f>IFERROR(VLOOKUP(F536,'LEAID Match'!$A$2:$B$236,2,FALSE),"")</f>
        <v>2313980</v>
      </c>
    </row>
    <row r="537" spans="1:11" x14ac:dyDescent="0.2">
      <c r="A537">
        <f t="shared" si="8"/>
        <v>2314100</v>
      </c>
      <c r="B537">
        <v>2015</v>
      </c>
      <c r="C537" t="s">
        <v>642</v>
      </c>
      <c r="D537" t="s">
        <v>644</v>
      </c>
      <c r="E537" t="s">
        <v>646</v>
      </c>
      <c r="F537" t="s">
        <v>504</v>
      </c>
      <c r="G537" t="s">
        <v>113</v>
      </c>
      <c r="H537">
        <v>9107</v>
      </c>
      <c r="I537">
        <v>174614.3475464478</v>
      </c>
      <c r="J537">
        <v>183721.3475464478</v>
      </c>
      <c r="K537">
        <f>IFERROR(VLOOKUP(F537,'LEAID Match'!$A$2:$B$236,2,FALSE),"")</f>
        <v>2314100</v>
      </c>
    </row>
    <row r="538" spans="1:11" x14ac:dyDescent="0.2">
      <c r="A538">
        <f t="shared" si="8"/>
        <v>2314100</v>
      </c>
      <c r="B538">
        <v>2016</v>
      </c>
      <c r="C538" t="s">
        <v>642</v>
      </c>
      <c r="D538" t="s">
        <v>644</v>
      </c>
      <c r="E538" t="s">
        <v>646</v>
      </c>
      <c r="F538" s="1" t="s">
        <v>504</v>
      </c>
      <c r="G538" s="1" t="s">
        <v>113</v>
      </c>
      <c r="H538" s="22">
        <v>10039</v>
      </c>
      <c r="I538">
        <v>190787.20206010318</v>
      </c>
      <c r="J538">
        <v>200826.20206010318</v>
      </c>
      <c r="K538">
        <f>IFERROR(VLOOKUP(F538,'LEAID Match'!$A$2:$B$236,2,FALSE),"")</f>
        <v>2314100</v>
      </c>
    </row>
    <row r="539" spans="1:11" x14ac:dyDescent="0.2">
      <c r="A539">
        <f t="shared" si="8"/>
        <v>2314100</v>
      </c>
      <c r="B539">
        <v>2017</v>
      </c>
      <c r="C539" t="s">
        <v>642</v>
      </c>
      <c r="D539" t="s">
        <v>644</v>
      </c>
      <c r="E539" t="s">
        <v>646</v>
      </c>
      <c r="F539" t="s">
        <v>504</v>
      </c>
      <c r="G539" t="s">
        <v>113</v>
      </c>
      <c r="H539">
        <v>9483</v>
      </c>
      <c r="I539">
        <v>180816.13459842472</v>
      </c>
      <c r="J539">
        <v>190299.13459842472</v>
      </c>
      <c r="K539">
        <f>IFERROR(VLOOKUP(F539,'LEAID Match'!$A$2:$B$236,2,FALSE),"")</f>
        <v>2314100</v>
      </c>
    </row>
    <row r="540" spans="1:11" x14ac:dyDescent="0.2">
      <c r="A540">
        <f t="shared" si="8"/>
        <v>2314100</v>
      </c>
      <c r="B540">
        <v>2018</v>
      </c>
      <c r="C540" t="s">
        <v>642</v>
      </c>
      <c r="D540" t="s">
        <v>644</v>
      </c>
      <c r="E540" t="s">
        <v>646</v>
      </c>
      <c r="F540" t="s">
        <v>504</v>
      </c>
      <c r="G540" t="s">
        <v>113</v>
      </c>
      <c r="H540">
        <v>7144</v>
      </c>
      <c r="I540">
        <v>144803.83511633248</v>
      </c>
      <c r="J540">
        <v>151947.83511633248</v>
      </c>
      <c r="K540">
        <f>IFERROR(VLOOKUP(F540,'LEAID Match'!$A$2:$B$236,2,FALSE),"")</f>
        <v>2314100</v>
      </c>
    </row>
    <row r="541" spans="1:11" x14ac:dyDescent="0.2">
      <c r="A541">
        <f t="shared" si="8"/>
        <v>2314100</v>
      </c>
      <c r="B541">
        <v>2019</v>
      </c>
      <c r="C541" t="s">
        <v>642</v>
      </c>
      <c r="D541" t="s">
        <v>644</v>
      </c>
      <c r="E541" t="s">
        <v>646</v>
      </c>
      <c r="F541" t="s">
        <v>504</v>
      </c>
      <c r="G541" t="s">
        <v>113</v>
      </c>
      <c r="H541">
        <v>7307</v>
      </c>
      <c r="I541">
        <v>156545.43399559899</v>
      </c>
      <c r="J541">
        <v>163852.43399559899</v>
      </c>
      <c r="K541">
        <f>IFERROR(VLOOKUP(F541,'LEAID Match'!$A$2:$B$236,2,FALSE),"")</f>
        <v>2314100</v>
      </c>
    </row>
    <row r="542" spans="1:11" x14ac:dyDescent="0.2">
      <c r="A542">
        <f t="shared" si="8"/>
        <v>2314100</v>
      </c>
      <c r="B542">
        <v>2020</v>
      </c>
      <c r="C542" t="s">
        <v>642</v>
      </c>
      <c r="D542" t="s">
        <v>644</v>
      </c>
      <c r="E542" t="s">
        <v>646</v>
      </c>
      <c r="F542" t="s">
        <v>504</v>
      </c>
      <c r="G542" t="s">
        <v>113</v>
      </c>
      <c r="H542">
        <v>6220</v>
      </c>
      <c r="I542">
        <v>138593.58631769073</v>
      </c>
      <c r="J542">
        <v>144813.58631769073</v>
      </c>
      <c r="K542">
        <f>IFERROR(VLOOKUP(F542,'LEAID Match'!$A$2:$B$236,2,FALSE),"")</f>
        <v>2314100</v>
      </c>
    </row>
    <row r="543" spans="1:11" x14ac:dyDescent="0.2">
      <c r="A543">
        <f t="shared" si="8"/>
        <v>2314100</v>
      </c>
      <c r="B543">
        <v>2021</v>
      </c>
      <c r="C543" t="s">
        <v>642</v>
      </c>
      <c r="D543" t="s">
        <v>644</v>
      </c>
      <c r="E543" t="s">
        <v>646</v>
      </c>
      <c r="F543" t="s">
        <v>504</v>
      </c>
      <c r="G543" t="s">
        <v>113</v>
      </c>
      <c r="H543">
        <v>8549</v>
      </c>
      <c r="I543">
        <v>143617.64670924284</v>
      </c>
      <c r="J543">
        <v>152166.64670924284</v>
      </c>
      <c r="K543">
        <f>IFERROR(VLOOKUP(F543,'LEAID Match'!$A$2:$B$236,2,FALSE),"")</f>
        <v>2314100</v>
      </c>
    </row>
    <row r="544" spans="1:11" x14ac:dyDescent="0.2">
      <c r="A544">
        <f t="shared" si="8"/>
        <v>2314100</v>
      </c>
      <c r="B544">
        <v>2022</v>
      </c>
      <c r="C544" t="s">
        <v>642</v>
      </c>
      <c r="D544" t="s">
        <v>644</v>
      </c>
      <c r="E544" t="s">
        <v>646</v>
      </c>
      <c r="F544" t="s">
        <v>504</v>
      </c>
      <c r="G544" t="s">
        <v>113</v>
      </c>
      <c r="H544">
        <v>7675</v>
      </c>
      <c r="I544">
        <v>110481.41569704187</v>
      </c>
      <c r="J544">
        <v>118156.41569704187</v>
      </c>
      <c r="K544">
        <f>IFERROR(VLOOKUP(F544,'LEAID Match'!$A$2:$B$236,2,FALSE),"")</f>
        <v>2314100</v>
      </c>
    </row>
    <row r="545" spans="1:11" x14ac:dyDescent="0.2">
      <c r="A545">
        <f t="shared" si="8"/>
        <v>2314130</v>
      </c>
      <c r="B545">
        <v>2015</v>
      </c>
      <c r="C545" t="s">
        <v>642</v>
      </c>
      <c r="D545" t="s">
        <v>644</v>
      </c>
      <c r="E545" t="s">
        <v>646</v>
      </c>
      <c r="F545" t="s">
        <v>114</v>
      </c>
      <c r="G545" t="s">
        <v>115</v>
      </c>
      <c r="H545">
        <v>21131</v>
      </c>
      <c r="I545">
        <v>405158.2055566035</v>
      </c>
      <c r="J545">
        <v>426289.2055566035</v>
      </c>
      <c r="K545">
        <f>IFERROR(VLOOKUP(F545,'LEAID Match'!$A$2:$B$236,2,FALSE),"")</f>
        <v>2314130</v>
      </c>
    </row>
    <row r="546" spans="1:11" x14ac:dyDescent="0.2">
      <c r="A546">
        <f t="shared" si="8"/>
        <v>2314130</v>
      </c>
      <c r="B546">
        <v>2016</v>
      </c>
      <c r="C546" t="s">
        <v>642</v>
      </c>
      <c r="D546" t="s">
        <v>644</v>
      </c>
      <c r="E546" t="s">
        <v>646</v>
      </c>
      <c r="F546" s="1" t="s">
        <v>114</v>
      </c>
      <c r="G546" s="1" t="s">
        <v>115</v>
      </c>
      <c r="H546" s="22">
        <v>16729</v>
      </c>
      <c r="I546">
        <v>317927.99116081942</v>
      </c>
      <c r="J546">
        <v>334656.99116081942</v>
      </c>
      <c r="K546">
        <f>IFERROR(VLOOKUP(F546,'LEAID Match'!$A$2:$B$236,2,FALSE),"")</f>
        <v>2314130</v>
      </c>
    </row>
    <row r="547" spans="1:11" x14ac:dyDescent="0.2">
      <c r="A547">
        <f t="shared" si="8"/>
        <v>2314130</v>
      </c>
      <c r="B547">
        <v>2017</v>
      </c>
      <c r="C547" t="s">
        <v>642</v>
      </c>
      <c r="D547" t="s">
        <v>644</v>
      </c>
      <c r="E547" t="s">
        <v>646</v>
      </c>
      <c r="F547" t="s">
        <v>114</v>
      </c>
      <c r="G547" t="s">
        <v>115</v>
      </c>
      <c r="H547">
        <v>17315</v>
      </c>
      <c r="I547">
        <v>330151.99520950374</v>
      </c>
      <c r="J547">
        <v>347466.99520950374</v>
      </c>
      <c r="K547">
        <f>IFERROR(VLOOKUP(F547,'LEAID Match'!$A$2:$B$236,2,FALSE),"")</f>
        <v>2314130</v>
      </c>
    </row>
    <row r="548" spans="1:11" x14ac:dyDescent="0.2">
      <c r="A548">
        <f t="shared" si="8"/>
        <v>2314130</v>
      </c>
      <c r="B548">
        <v>2018</v>
      </c>
      <c r="C548" t="s">
        <v>642</v>
      </c>
      <c r="D548" t="s">
        <v>644</v>
      </c>
      <c r="E548" t="s">
        <v>646</v>
      </c>
      <c r="F548" t="s">
        <v>114</v>
      </c>
      <c r="G548" t="s">
        <v>115</v>
      </c>
      <c r="H548">
        <v>16144</v>
      </c>
      <c r="I548">
        <v>327227.47957979725</v>
      </c>
      <c r="J548">
        <v>343371.47957979725</v>
      </c>
      <c r="K548">
        <f>IFERROR(VLOOKUP(F548,'LEAID Match'!$A$2:$B$236,2,FALSE),"")</f>
        <v>2314130</v>
      </c>
    </row>
    <row r="549" spans="1:11" x14ac:dyDescent="0.2">
      <c r="A549">
        <f t="shared" si="8"/>
        <v>2314130</v>
      </c>
      <c r="B549">
        <v>2019</v>
      </c>
      <c r="C549" t="s">
        <v>642</v>
      </c>
      <c r="D549" t="s">
        <v>644</v>
      </c>
      <c r="E549" t="s">
        <v>646</v>
      </c>
      <c r="F549" t="s">
        <v>114</v>
      </c>
      <c r="G549" t="s">
        <v>115</v>
      </c>
      <c r="H549">
        <v>16286</v>
      </c>
      <c r="I549">
        <v>348911.85685675719</v>
      </c>
      <c r="J549">
        <v>365197.85685675719</v>
      </c>
      <c r="K549">
        <f>IFERROR(VLOOKUP(F549,'LEAID Match'!$A$2:$B$236,2,FALSE),"")</f>
        <v>2314130</v>
      </c>
    </row>
    <row r="550" spans="1:11" x14ac:dyDescent="0.2">
      <c r="A550">
        <f t="shared" si="8"/>
        <v>2314130</v>
      </c>
      <c r="B550">
        <v>2020</v>
      </c>
      <c r="C550" t="s">
        <v>642</v>
      </c>
      <c r="D550" t="s">
        <v>644</v>
      </c>
      <c r="E550" t="s">
        <v>646</v>
      </c>
      <c r="F550" t="s">
        <v>114</v>
      </c>
      <c r="G550" t="s">
        <v>115</v>
      </c>
      <c r="H550">
        <v>31776</v>
      </c>
      <c r="I550">
        <v>708030.51428150153</v>
      </c>
      <c r="J550">
        <v>739806.51428150153</v>
      </c>
      <c r="K550">
        <f>IFERROR(VLOOKUP(F550,'LEAID Match'!$A$2:$B$236,2,FALSE),"")</f>
        <v>2314130</v>
      </c>
    </row>
    <row r="551" spans="1:11" x14ac:dyDescent="0.2">
      <c r="A551">
        <f t="shared" si="8"/>
        <v>2314130</v>
      </c>
      <c r="B551">
        <v>2021</v>
      </c>
      <c r="C551" t="s">
        <v>642</v>
      </c>
      <c r="D551" t="s">
        <v>644</v>
      </c>
      <c r="E551" t="s">
        <v>646</v>
      </c>
      <c r="F551" t="s">
        <v>114</v>
      </c>
      <c r="G551" t="s">
        <v>115</v>
      </c>
      <c r="H551">
        <v>13148</v>
      </c>
      <c r="I551">
        <v>220877.85927396477</v>
      </c>
      <c r="J551">
        <v>234025.85927396477</v>
      </c>
      <c r="K551">
        <f>IFERROR(VLOOKUP(F551,'LEAID Match'!$A$2:$B$236,2,FALSE),"")</f>
        <v>2314130</v>
      </c>
    </row>
    <row r="552" spans="1:11" x14ac:dyDescent="0.2">
      <c r="A552">
        <f t="shared" si="8"/>
        <v>2314130</v>
      </c>
      <c r="B552">
        <v>2022</v>
      </c>
      <c r="C552" t="s">
        <v>642</v>
      </c>
      <c r="D552" t="s">
        <v>644</v>
      </c>
      <c r="E552" t="s">
        <v>646</v>
      </c>
      <c r="F552" t="s">
        <v>114</v>
      </c>
      <c r="G552" t="s">
        <v>115</v>
      </c>
      <c r="H552">
        <v>20158</v>
      </c>
      <c r="I552">
        <v>290173.86027634784</v>
      </c>
      <c r="J552">
        <v>310331.86027634784</v>
      </c>
      <c r="K552">
        <f>IFERROR(VLOOKUP(F552,'LEAID Match'!$A$2:$B$236,2,FALSE),"")</f>
        <v>2314130</v>
      </c>
    </row>
    <row r="553" spans="1:11" x14ac:dyDescent="0.2">
      <c r="A553">
        <f t="shared" si="8"/>
        <v>2310860</v>
      </c>
      <c r="B553">
        <v>2015</v>
      </c>
      <c r="C553" t="s">
        <v>642</v>
      </c>
      <c r="D553" t="s">
        <v>644</v>
      </c>
      <c r="E553" t="s">
        <v>646</v>
      </c>
      <c r="F553" s="1" t="s">
        <v>505</v>
      </c>
      <c r="G553" t="s">
        <v>116</v>
      </c>
      <c r="H553">
        <v>58561</v>
      </c>
      <c r="I553">
        <v>1122827.5839099076</v>
      </c>
      <c r="J553">
        <v>1181388.5839099076</v>
      </c>
      <c r="K553">
        <f>IFERROR(VLOOKUP(F553,'LEAID Match'!$A$2:$B$236,2,FALSE),"")</f>
        <v>2310860</v>
      </c>
    </row>
    <row r="554" spans="1:11" x14ac:dyDescent="0.2">
      <c r="A554">
        <f t="shared" si="8"/>
        <v>2310860</v>
      </c>
      <c r="B554">
        <v>2016</v>
      </c>
      <c r="C554" t="s">
        <v>642</v>
      </c>
      <c r="D554" t="s">
        <v>644</v>
      </c>
      <c r="E554" t="s">
        <v>646</v>
      </c>
      <c r="F554" s="1" t="s">
        <v>505</v>
      </c>
      <c r="G554" s="1" t="s">
        <v>116</v>
      </c>
      <c r="H554" s="22">
        <v>43141</v>
      </c>
      <c r="I554">
        <v>819877.54597817617</v>
      </c>
      <c r="J554">
        <v>863018.54597817617</v>
      </c>
      <c r="K554">
        <f>IFERROR(VLOOKUP(F554,'LEAID Match'!$A$2:$B$236,2,FALSE),"")</f>
        <v>2310860</v>
      </c>
    </row>
    <row r="555" spans="1:11" x14ac:dyDescent="0.2">
      <c r="A555">
        <f t="shared" si="8"/>
        <v>2310860</v>
      </c>
      <c r="B555">
        <v>2017</v>
      </c>
      <c r="C555" t="s">
        <v>642</v>
      </c>
      <c r="D555" t="s">
        <v>644</v>
      </c>
      <c r="E555" t="s">
        <v>646</v>
      </c>
      <c r="F555" t="s">
        <v>505</v>
      </c>
      <c r="G555" t="s">
        <v>116</v>
      </c>
      <c r="H555">
        <v>41141</v>
      </c>
      <c r="I555">
        <v>784451.81836062332</v>
      </c>
      <c r="J555">
        <v>825592.81836062332</v>
      </c>
      <c r="K555">
        <f>IFERROR(VLOOKUP(F555,'LEAID Match'!$A$2:$B$236,2,FALSE),"")</f>
        <v>2310860</v>
      </c>
    </row>
    <row r="556" spans="1:11" x14ac:dyDescent="0.2">
      <c r="A556">
        <f t="shared" si="8"/>
        <v>2310860</v>
      </c>
      <c r="B556">
        <v>2018</v>
      </c>
      <c r="C556" t="s">
        <v>642</v>
      </c>
      <c r="D556" t="s">
        <v>644</v>
      </c>
      <c r="E556" t="s">
        <v>646</v>
      </c>
      <c r="F556" t="s">
        <v>505</v>
      </c>
      <c r="G556" t="s">
        <v>116</v>
      </c>
      <c r="H556">
        <v>44692</v>
      </c>
      <c r="I556">
        <v>905875.27981790749</v>
      </c>
      <c r="J556">
        <v>950567.27981790749</v>
      </c>
      <c r="K556">
        <f>IFERROR(VLOOKUP(F556,'LEAID Match'!$A$2:$B$236,2,FALSE),"")</f>
        <v>2310860</v>
      </c>
    </row>
    <row r="557" spans="1:11" x14ac:dyDescent="0.2">
      <c r="A557">
        <f t="shared" si="8"/>
        <v>2310860</v>
      </c>
      <c r="B557">
        <v>2019</v>
      </c>
      <c r="C557" t="s">
        <v>642</v>
      </c>
      <c r="D557" t="s">
        <v>644</v>
      </c>
      <c r="E557" t="s">
        <v>646</v>
      </c>
      <c r="F557" t="s">
        <v>505</v>
      </c>
      <c r="G557" t="s">
        <v>116</v>
      </c>
      <c r="H557">
        <v>39691</v>
      </c>
      <c r="I557">
        <v>850341.42886537826</v>
      </c>
      <c r="J557">
        <v>890032.42886537826</v>
      </c>
      <c r="K557">
        <f>IFERROR(VLOOKUP(F557,'LEAID Match'!$A$2:$B$236,2,FALSE),"")</f>
        <v>2310860</v>
      </c>
    </row>
    <row r="558" spans="1:11" x14ac:dyDescent="0.2">
      <c r="A558">
        <f t="shared" si="8"/>
        <v>2310860</v>
      </c>
      <c r="B558">
        <v>2020</v>
      </c>
      <c r="C558" t="s">
        <v>642</v>
      </c>
      <c r="D558" t="s">
        <v>644</v>
      </c>
      <c r="E558" t="s">
        <v>646</v>
      </c>
      <c r="F558" t="s">
        <v>505</v>
      </c>
      <c r="G558" t="s">
        <v>116</v>
      </c>
      <c r="H558">
        <v>65309</v>
      </c>
      <c r="I558">
        <v>1455210.3744086917</v>
      </c>
      <c r="J558">
        <v>1520519.3744086917</v>
      </c>
      <c r="K558">
        <f>IFERROR(VLOOKUP(F558,'LEAID Match'!$A$2:$B$236,2,FALSE),"")</f>
        <v>2310860</v>
      </c>
    </row>
    <row r="559" spans="1:11" x14ac:dyDescent="0.2">
      <c r="A559">
        <f t="shared" si="8"/>
        <v>2310860</v>
      </c>
      <c r="B559">
        <v>2021</v>
      </c>
      <c r="C559" t="s">
        <v>642</v>
      </c>
      <c r="D559" t="s">
        <v>644</v>
      </c>
      <c r="E559" t="s">
        <v>646</v>
      </c>
      <c r="F559" t="s">
        <v>505</v>
      </c>
      <c r="G559" t="s">
        <v>116</v>
      </c>
      <c r="H559">
        <v>137298</v>
      </c>
      <c r="I559">
        <v>2306517.2134618815</v>
      </c>
      <c r="J559">
        <v>2443815.2134618815</v>
      </c>
      <c r="K559">
        <f>IFERROR(VLOOKUP(F559,'LEAID Match'!$A$2:$B$236,2,FALSE),"")</f>
        <v>2310860</v>
      </c>
    </row>
    <row r="560" spans="1:11" x14ac:dyDescent="0.2">
      <c r="A560">
        <f t="shared" si="8"/>
        <v>2310860</v>
      </c>
      <c r="B560">
        <v>2022</v>
      </c>
      <c r="C560" t="s">
        <v>642</v>
      </c>
      <c r="D560" t="s">
        <v>644</v>
      </c>
      <c r="E560" t="s">
        <v>646</v>
      </c>
      <c r="F560" t="s">
        <v>505</v>
      </c>
      <c r="G560" t="s">
        <v>116</v>
      </c>
      <c r="H560">
        <v>70211</v>
      </c>
      <c r="I560">
        <v>1010685.4302938121</v>
      </c>
      <c r="J560">
        <v>1080896.430293812</v>
      </c>
      <c r="K560">
        <f>IFERROR(VLOOKUP(F560,'LEAID Match'!$A$2:$B$236,2,FALSE),"")</f>
        <v>2310860</v>
      </c>
    </row>
    <row r="561" spans="1:11" x14ac:dyDescent="0.2">
      <c r="A561">
        <f t="shared" si="8"/>
        <v>2311520</v>
      </c>
      <c r="B561">
        <v>2015</v>
      </c>
      <c r="C561" t="s">
        <v>642</v>
      </c>
      <c r="D561" t="s">
        <v>644</v>
      </c>
      <c r="E561" t="s">
        <v>646</v>
      </c>
      <c r="F561" s="1" t="s">
        <v>506</v>
      </c>
      <c r="G561" t="s">
        <v>117</v>
      </c>
      <c r="H561">
        <v>93274</v>
      </c>
      <c r="I561">
        <v>1788402.1799766524</v>
      </c>
      <c r="J561">
        <v>1881676.1799766524</v>
      </c>
      <c r="K561">
        <f>IFERROR(VLOOKUP(F561,'LEAID Match'!$A$2:$B$236,2,FALSE),"")</f>
        <v>2311520</v>
      </c>
    </row>
    <row r="562" spans="1:11" x14ac:dyDescent="0.2">
      <c r="A562">
        <f t="shared" si="8"/>
        <v>2311520</v>
      </c>
      <c r="B562">
        <v>2016</v>
      </c>
      <c r="C562" t="s">
        <v>642</v>
      </c>
      <c r="D562" t="s">
        <v>644</v>
      </c>
      <c r="E562" t="s">
        <v>646</v>
      </c>
      <c r="F562" s="1" t="s">
        <v>506</v>
      </c>
      <c r="G562" s="1" t="s">
        <v>117</v>
      </c>
      <c r="H562" s="22">
        <v>75983</v>
      </c>
      <c r="I562">
        <v>1444026.6933093753</v>
      </c>
      <c r="J562">
        <v>1520009.6933093753</v>
      </c>
      <c r="K562">
        <f>IFERROR(VLOOKUP(F562,'LEAID Match'!$A$2:$B$236,2,FALSE),"")</f>
        <v>2311520</v>
      </c>
    </row>
    <row r="563" spans="1:11" x14ac:dyDescent="0.2">
      <c r="A563">
        <f t="shared" si="8"/>
        <v>2311520</v>
      </c>
      <c r="B563">
        <v>2017</v>
      </c>
      <c r="C563" t="s">
        <v>642</v>
      </c>
      <c r="D563" t="s">
        <v>644</v>
      </c>
      <c r="E563" t="s">
        <v>646</v>
      </c>
      <c r="F563" t="s">
        <v>506</v>
      </c>
      <c r="G563" t="s">
        <v>117</v>
      </c>
      <c r="H563">
        <v>68052</v>
      </c>
      <c r="I563">
        <v>1297574.5641349782</v>
      </c>
      <c r="J563">
        <v>1365626.5641349782</v>
      </c>
      <c r="K563">
        <f>IFERROR(VLOOKUP(F563,'LEAID Match'!$A$2:$B$236,2,FALSE),"")</f>
        <v>2311520</v>
      </c>
    </row>
    <row r="564" spans="1:11" x14ac:dyDescent="0.2">
      <c r="A564">
        <f t="shared" si="8"/>
        <v>2311520</v>
      </c>
      <c r="B564">
        <v>2018</v>
      </c>
      <c r="C564" t="s">
        <v>642</v>
      </c>
      <c r="D564" t="s">
        <v>644</v>
      </c>
      <c r="E564" t="s">
        <v>646</v>
      </c>
      <c r="F564" t="s">
        <v>506</v>
      </c>
      <c r="G564" t="s">
        <v>117</v>
      </c>
      <c r="H564">
        <v>67047</v>
      </c>
      <c r="I564">
        <v>1358995.3433713249</v>
      </c>
      <c r="J564">
        <v>1426042.3433713249</v>
      </c>
      <c r="K564">
        <f>IFERROR(VLOOKUP(F564,'LEAID Match'!$A$2:$B$236,2,FALSE),"")</f>
        <v>2311520</v>
      </c>
    </row>
    <row r="565" spans="1:11" x14ac:dyDescent="0.2">
      <c r="A565">
        <f t="shared" si="8"/>
        <v>2311520</v>
      </c>
      <c r="B565">
        <v>2019</v>
      </c>
      <c r="C565" t="s">
        <v>642</v>
      </c>
      <c r="D565" t="s">
        <v>644</v>
      </c>
      <c r="E565" t="s">
        <v>646</v>
      </c>
      <c r="F565" t="s">
        <v>506</v>
      </c>
      <c r="G565" t="s">
        <v>117</v>
      </c>
      <c r="H565">
        <v>70942</v>
      </c>
      <c r="I565">
        <v>1519863.9904907325</v>
      </c>
      <c r="J565">
        <v>1590805.9904907325</v>
      </c>
      <c r="K565">
        <f>IFERROR(VLOOKUP(F565,'LEAID Match'!$A$2:$B$236,2,FALSE),"")</f>
        <v>2311520</v>
      </c>
    </row>
    <row r="566" spans="1:11" x14ac:dyDescent="0.2">
      <c r="A566">
        <f t="shared" si="8"/>
        <v>2311520</v>
      </c>
      <c r="B566">
        <v>2020</v>
      </c>
      <c r="C566" t="s">
        <v>642</v>
      </c>
      <c r="D566" t="s">
        <v>644</v>
      </c>
      <c r="E566" t="s">
        <v>646</v>
      </c>
      <c r="F566" t="s">
        <v>506</v>
      </c>
      <c r="G566" t="s">
        <v>117</v>
      </c>
      <c r="H566">
        <v>90465</v>
      </c>
      <c r="I566">
        <v>2015734.5315482139</v>
      </c>
      <c r="J566">
        <v>2106199.5315482141</v>
      </c>
      <c r="K566">
        <f>IFERROR(VLOOKUP(F566,'LEAID Match'!$A$2:$B$236,2,FALSE),"")</f>
        <v>2311520</v>
      </c>
    </row>
    <row r="567" spans="1:11" x14ac:dyDescent="0.2">
      <c r="A567">
        <f t="shared" si="8"/>
        <v>2311520</v>
      </c>
      <c r="B567">
        <v>2021</v>
      </c>
      <c r="C567" t="s">
        <v>642</v>
      </c>
      <c r="D567" t="s">
        <v>644</v>
      </c>
      <c r="E567" t="s">
        <v>646</v>
      </c>
      <c r="F567" t="s">
        <v>506</v>
      </c>
      <c r="G567" t="s">
        <v>117</v>
      </c>
      <c r="H567">
        <v>129786</v>
      </c>
      <c r="I567">
        <v>2180320.4931343775</v>
      </c>
      <c r="J567">
        <v>2310106.4931343775</v>
      </c>
      <c r="K567">
        <f>IFERROR(VLOOKUP(F567,'LEAID Match'!$A$2:$B$236,2,FALSE),"")</f>
        <v>2311520</v>
      </c>
    </row>
    <row r="568" spans="1:11" x14ac:dyDescent="0.2">
      <c r="A568">
        <f t="shared" si="8"/>
        <v>2311520</v>
      </c>
      <c r="B568">
        <v>2022</v>
      </c>
      <c r="C568" t="s">
        <v>642</v>
      </c>
      <c r="D568" t="s">
        <v>644</v>
      </c>
      <c r="E568" t="s">
        <v>646</v>
      </c>
      <c r="F568" t="s">
        <v>506</v>
      </c>
      <c r="G568" t="s">
        <v>117</v>
      </c>
      <c r="H568">
        <v>203028</v>
      </c>
      <c r="I568">
        <v>2922582.523275442</v>
      </c>
      <c r="J568">
        <v>3125610.523275442</v>
      </c>
      <c r="K568">
        <f>IFERROR(VLOOKUP(F568,'LEAID Match'!$A$2:$B$236,2,FALSE),"")</f>
        <v>2311520</v>
      </c>
    </row>
    <row r="569" spans="1:11" x14ac:dyDescent="0.2">
      <c r="A569">
        <f t="shared" si="8"/>
        <v>0</v>
      </c>
      <c r="B569">
        <v>2015</v>
      </c>
      <c r="C569" t="s">
        <v>642</v>
      </c>
      <c r="D569" t="s">
        <v>644</v>
      </c>
      <c r="E569" t="s">
        <v>646</v>
      </c>
      <c r="F569" t="s">
        <v>118</v>
      </c>
      <c r="G569" t="s">
        <v>119</v>
      </c>
      <c r="H569">
        <v>33499</v>
      </c>
      <c r="I569">
        <v>642297.79603145435</v>
      </c>
      <c r="J569">
        <v>675796.79603145435</v>
      </c>
      <c r="K569">
        <f>IFERROR(VLOOKUP(F569,'LEAID Match'!$A$2:$B$236,2,FALSE),"")</f>
        <v>0</v>
      </c>
    </row>
    <row r="570" spans="1:11" x14ac:dyDescent="0.2">
      <c r="A570">
        <f t="shared" si="8"/>
        <v>0</v>
      </c>
      <c r="B570">
        <v>2016</v>
      </c>
      <c r="C570" t="s">
        <v>642</v>
      </c>
      <c r="D570" t="s">
        <v>644</v>
      </c>
      <c r="E570" t="s">
        <v>646</v>
      </c>
      <c r="F570" s="1" t="s">
        <v>118</v>
      </c>
      <c r="G570" s="1" t="s">
        <v>119</v>
      </c>
      <c r="H570" s="22">
        <v>27039</v>
      </c>
      <c r="I570">
        <v>513865.44043262576</v>
      </c>
      <c r="J570">
        <v>540904.44043262582</v>
      </c>
      <c r="K570">
        <f>IFERROR(VLOOKUP(F570,'LEAID Match'!$A$2:$B$236,2,FALSE),"")</f>
        <v>0</v>
      </c>
    </row>
    <row r="571" spans="1:11" x14ac:dyDescent="0.2">
      <c r="A571">
        <f t="shared" si="8"/>
        <v>0</v>
      </c>
      <c r="B571">
        <v>2017</v>
      </c>
      <c r="C571" t="s">
        <v>642</v>
      </c>
      <c r="D571" t="s">
        <v>644</v>
      </c>
      <c r="E571" t="s">
        <v>646</v>
      </c>
      <c r="F571" t="s">
        <v>118</v>
      </c>
      <c r="G571" t="s">
        <v>119</v>
      </c>
      <c r="H571">
        <v>20157</v>
      </c>
      <c r="I571">
        <v>384341.54013502551</v>
      </c>
      <c r="J571">
        <v>404498.54013502551</v>
      </c>
      <c r="K571">
        <f>IFERROR(VLOOKUP(F571,'LEAID Match'!$A$2:$B$236,2,FALSE),"")</f>
        <v>0</v>
      </c>
    </row>
    <row r="572" spans="1:11" x14ac:dyDescent="0.2">
      <c r="A572">
        <f t="shared" si="8"/>
        <v>0</v>
      </c>
      <c r="B572">
        <v>2018</v>
      </c>
      <c r="C572" t="s">
        <v>642</v>
      </c>
      <c r="D572" t="s">
        <v>644</v>
      </c>
      <c r="E572" t="s">
        <v>646</v>
      </c>
      <c r="F572" t="s">
        <v>118</v>
      </c>
      <c r="G572" t="s">
        <v>119</v>
      </c>
      <c r="H572">
        <v>25253</v>
      </c>
      <c r="I572">
        <v>511860.47707065294</v>
      </c>
      <c r="J572">
        <v>537113.47707065288</v>
      </c>
      <c r="K572">
        <f>IFERROR(VLOOKUP(F572,'LEAID Match'!$A$2:$B$236,2,FALSE),"")</f>
        <v>0</v>
      </c>
    </row>
    <row r="573" spans="1:11" x14ac:dyDescent="0.2">
      <c r="A573">
        <f t="shared" si="8"/>
        <v>0</v>
      </c>
      <c r="B573">
        <v>2019</v>
      </c>
      <c r="C573" t="s">
        <v>642</v>
      </c>
      <c r="D573" t="s">
        <v>644</v>
      </c>
      <c r="E573" t="s">
        <v>646</v>
      </c>
      <c r="F573" t="s">
        <v>118</v>
      </c>
      <c r="G573" t="s">
        <v>119</v>
      </c>
      <c r="H573">
        <v>26538</v>
      </c>
      <c r="I573">
        <v>568551.07805873896</v>
      </c>
      <c r="J573">
        <v>595089.07805873896</v>
      </c>
      <c r="K573">
        <f>IFERROR(VLOOKUP(F573,'LEAID Match'!$A$2:$B$236,2,FALSE),"")</f>
        <v>0</v>
      </c>
    </row>
    <row r="574" spans="1:11" x14ac:dyDescent="0.2">
      <c r="A574">
        <f t="shared" si="8"/>
        <v>0</v>
      </c>
      <c r="B574">
        <v>2020</v>
      </c>
      <c r="C574" t="s">
        <v>642</v>
      </c>
      <c r="D574" t="s">
        <v>644</v>
      </c>
      <c r="E574" t="s">
        <v>646</v>
      </c>
      <c r="F574" t="s">
        <v>118</v>
      </c>
      <c r="G574" t="s">
        <v>119</v>
      </c>
      <c r="H574">
        <v>32300</v>
      </c>
      <c r="I574">
        <v>719706.24406131997</v>
      </c>
      <c r="J574">
        <v>752006.24406131997</v>
      </c>
      <c r="K574">
        <f>IFERROR(VLOOKUP(F574,'LEAID Match'!$A$2:$B$236,2,FALSE),"")</f>
        <v>0</v>
      </c>
    </row>
    <row r="575" spans="1:11" x14ac:dyDescent="0.2">
      <c r="A575">
        <f t="shared" si="8"/>
        <v>0</v>
      </c>
      <c r="B575">
        <v>2021</v>
      </c>
      <c r="C575" t="s">
        <v>642</v>
      </c>
      <c r="D575" t="s">
        <v>644</v>
      </c>
      <c r="E575" t="s">
        <v>646</v>
      </c>
      <c r="F575" t="s">
        <v>118</v>
      </c>
      <c r="G575" t="s">
        <v>119</v>
      </c>
      <c r="H575">
        <v>41310</v>
      </c>
      <c r="I575">
        <v>693981.16569877439</v>
      </c>
      <c r="J575">
        <v>735291.16569877439</v>
      </c>
      <c r="K575">
        <f>IFERROR(VLOOKUP(F575,'LEAID Match'!$A$2:$B$236,2,FALSE),"")</f>
        <v>0</v>
      </c>
    </row>
    <row r="576" spans="1:11" x14ac:dyDescent="0.2">
      <c r="A576">
        <f t="shared" si="8"/>
        <v>0</v>
      </c>
      <c r="B576">
        <v>2022</v>
      </c>
      <c r="C576" t="s">
        <v>642</v>
      </c>
      <c r="D576" t="s">
        <v>644</v>
      </c>
      <c r="E576" t="s">
        <v>646</v>
      </c>
      <c r="F576" t="s">
        <v>118</v>
      </c>
      <c r="G576" t="s">
        <v>119</v>
      </c>
      <c r="H576">
        <v>60351</v>
      </c>
      <c r="I576">
        <v>868750.99918334512</v>
      </c>
      <c r="J576">
        <v>929101.99918334512</v>
      </c>
      <c r="K576">
        <f>IFERROR(VLOOKUP(F576,'LEAID Match'!$A$2:$B$236,2,FALSE),"")</f>
        <v>0</v>
      </c>
    </row>
    <row r="577" spans="1:11" x14ac:dyDescent="0.2">
      <c r="A577">
        <f t="shared" si="8"/>
        <v>2311790</v>
      </c>
      <c r="B577">
        <v>2015</v>
      </c>
      <c r="C577" t="s">
        <v>642</v>
      </c>
      <c r="D577" t="s">
        <v>644</v>
      </c>
      <c r="E577" t="s">
        <v>646</v>
      </c>
      <c r="F577" s="1" t="s">
        <v>507</v>
      </c>
      <c r="G577" t="s">
        <v>120</v>
      </c>
      <c r="H577">
        <v>61293</v>
      </c>
      <c r="I577">
        <v>1175209.9708097535</v>
      </c>
      <c r="J577">
        <v>1236502.9708097535</v>
      </c>
      <c r="K577">
        <f>IFERROR(VLOOKUP(F577,'LEAID Match'!$A$2:$B$236,2,FALSE),"")</f>
        <v>2311790</v>
      </c>
    </row>
    <row r="578" spans="1:11" x14ac:dyDescent="0.2">
      <c r="A578">
        <f t="shared" si="8"/>
        <v>2311790</v>
      </c>
      <c r="B578">
        <v>2016</v>
      </c>
      <c r="C578" t="s">
        <v>642</v>
      </c>
      <c r="D578" t="s">
        <v>644</v>
      </c>
      <c r="E578" t="s">
        <v>646</v>
      </c>
      <c r="F578" s="1" t="s">
        <v>507</v>
      </c>
      <c r="G578" s="1" t="s">
        <v>120</v>
      </c>
      <c r="H578" s="22">
        <v>46016</v>
      </c>
      <c r="I578">
        <v>874515.77746764699</v>
      </c>
      <c r="J578">
        <v>920531.77746764699</v>
      </c>
      <c r="K578">
        <f>IFERROR(VLOOKUP(F578,'LEAID Match'!$A$2:$B$236,2,FALSE),"")</f>
        <v>2311790</v>
      </c>
    </row>
    <row r="579" spans="1:11" x14ac:dyDescent="0.2">
      <c r="A579">
        <f t="shared" ref="A579:A642" si="9">K579</f>
        <v>2311790</v>
      </c>
      <c r="B579">
        <v>2017</v>
      </c>
      <c r="C579" t="s">
        <v>642</v>
      </c>
      <c r="D579" t="s">
        <v>644</v>
      </c>
      <c r="E579" t="s">
        <v>646</v>
      </c>
      <c r="F579" t="s">
        <v>507</v>
      </c>
      <c r="G579" t="s">
        <v>120</v>
      </c>
      <c r="H579">
        <v>41593</v>
      </c>
      <c r="I579">
        <v>793070.28222632909</v>
      </c>
      <c r="J579">
        <v>834663.28222632909</v>
      </c>
      <c r="K579">
        <f>IFERROR(VLOOKUP(F579,'LEAID Match'!$A$2:$B$236,2,FALSE),"")</f>
        <v>2311790</v>
      </c>
    </row>
    <row r="580" spans="1:11" x14ac:dyDescent="0.2">
      <c r="A580">
        <f t="shared" si="9"/>
        <v>2311790</v>
      </c>
      <c r="B580">
        <v>2018</v>
      </c>
      <c r="C580" t="s">
        <v>642</v>
      </c>
      <c r="D580" t="s">
        <v>644</v>
      </c>
      <c r="E580" t="s">
        <v>646</v>
      </c>
      <c r="F580" t="s">
        <v>507</v>
      </c>
      <c r="G580" t="s">
        <v>120</v>
      </c>
      <c r="H580">
        <v>41517</v>
      </c>
      <c r="I580">
        <v>841520.27190996299</v>
      </c>
      <c r="J580">
        <v>883037.27190996299</v>
      </c>
      <c r="K580">
        <f>IFERROR(VLOOKUP(F580,'LEAID Match'!$A$2:$B$236,2,FALSE),"")</f>
        <v>2311790</v>
      </c>
    </row>
    <row r="581" spans="1:11" x14ac:dyDescent="0.2">
      <c r="A581">
        <f t="shared" si="9"/>
        <v>2311790</v>
      </c>
      <c r="B581">
        <v>2019</v>
      </c>
      <c r="C581" t="s">
        <v>642</v>
      </c>
      <c r="D581" t="s">
        <v>644</v>
      </c>
      <c r="E581" t="s">
        <v>646</v>
      </c>
      <c r="F581" t="s">
        <v>507</v>
      </c>
      <c r="G581" t="s">
        <v>120</v>
      </c>
      <c r="H581">
        <v>43206</v>
      </c>
      <c r="I581">
        <v>925646.91682138352</v>
      </c>
      <c r="J581">
        <v>968852.91682138352</v>
      </c>
      <c r="K581">
        <f>IFERROR(VLOOKUP(F581,'LEAID Match'!$A$2:$B$236,2,FALSE),"")</f>
        <v>2311790</v>
      </c>
    </row>
    <row r="582" spans="1:11" x14ac:dyDescent="0.2">
      <c r="A582">
        <f t="shared" si="9"/>
        <v>2311790</v>
      </c>
      <c r="B582">
        <v>2020</v>
      </c>
      <c r="C582" t="s">
        <v>642</v>
      </c>
      <c r="D582" t="s">
        <v>644</v>
      </c>
      <c r="E582" t="s">
        <v>646</v>
      </c>
      <c r="F582" t="s">
        <v>507</v>
      </c>
      <c r="G582" t="s">
        <v>120</v>
      </c>
      <c r="H582">
        <v>59564</v>
      </c>
      <c r="I582">
        <v>1327200.7034448439</v>
      </c>
      <c r="J582">
        <v>1386764.7034448439</v>
      </c>
      <c r="K582">
        <f>IFERROR(VLOOKUP(F582,'LEAID Match'!$A$2:$B$236,2,FALSE),"")</f>
        <v>2311790</v>
      </c>
    </row>
    <row r="583" spans="1:11" x14ac:dyDescent="0.2">
      <c r="A583">
        <f t="shared" si="9"/>
        <v>2311790</v>
      </c>
      <c r="B583">
        <v>2021</v>
      </c>
      <c r="C583" t="s">
        <v>642</v>
      </c>
      <c r="D583" t="s">
        <v>644</v>
      </c>
      <c r="E583" t="s">
        <v>646</v>
      </c>
      <c r="F583" t="s">
        <v>507</v>
      </c>
      <c r="G583" t="s">
        <v>120</v>
      </c>
      <c r="H583">
        <v>91356</v>
      </c>
      <c r="I583">
        <v>1534721.456634646</v>
      </c>
      <c r="J583">
        <v>1626077.456634646</v>
      </c>
      <c r="K583">
        <f>IFERROR(VLOOKUP(F583,'LEAID Match'!$A$2:$B$236,2,FALSE),"")</f>
        <v>2311790</v>
      </c>
    </row>
    <row r="584" spans="1:11" x14ac:dyDescent="0.2">
      <c r="A584">
        <f t="shared" si="9"/>
        <v>2311790</v>
      </c>
      <c r="B584">
        <v>2022</v>
      </c>
      <c r="C584" t="s">
        <v>642</v>
      </c>
      <c r="D584" t="s">
        <v>644</v>
      </c>
      <c r="E584" t="s">
        <v>646</v>
      </c>
      <c r="F584" t="s">
        <v>507</v>
      </c>
      <c r="G584" t="s">
        <v>120</v>
      </c>
      <c r="H584">
        <v>274801</v>
      </c>
      <c r="I584">
        <v>3955752.9009723519</v>
      </c>
      <c r="J584">
        <v>4230553.9009723514</v>
      </c>
      <c r="K584">
        <f>IFERROR(VLOOKUP(F584,'LEAID Match'!$A$2:$B$236,2,FALSE),"")</f>
        <v>2311790</v>
      </c>
    </row>
    <row r="585" spans="1:11" x14ac:dyDescent="0.2">
      <c r="A585">
        <f t="shared" si="9"/>
        <v>0</v>
      </c>
      <c r="B585">
        <v>2015</v>
      </c>
      <c r="C585" t="s">
        <v>642</v>
      </c>
      <c r="D585" t="s">
        <v>644</v>
      </c>
      <c r="E585" t="s">
        <v>646</v>
      </c>
      <c r="F585" t="s">
        <v>121</v>
      </c>
      <c r="G585" t="s">
        <v>122</v>
      </c>
      <c r="I585">
        <v>0</v>
      </c>
      <c r="J585">
        <v>0</v>
      </c>
      <c r="K585">
        <f>IFERROR(VLOOKUP(F585,'LEAID Match'!$A$2:$B$236,2,FALSE),"")</f>
        <v>0</v>
      </c>
    </row>
    <row r="586" spans="1:11" x14ac:dyDescent="0.2">
      <c r="A586">
        <f t="shared" si="9"/>
        <v>0</v>
      </c>
      <c r="B586">
        <v>2016</v>
      </c>
      <c r="C586" t="s">
        <v>642</v>
      </c>
      <c r="D586" t="s">
        <v>644</v>
      </c>
      <c r="E586" t="s">
        <v>646</v>
      </c>
      <c r="F586" s="1" t="s">
        <v>121</v>
      </c>
      <c r="G586" s="1" t="s">
        <v>122</v>
      </c>
      <c r="H586" s="22"/>
      <c r="I586">
        <v>0</v>
      </c>
      <c r="J586">
        <v>0</v>
      </c>
      <c r="K586">
        <f>IFERROR(VLOOKUP(F586,'LEAID Match'!$A$2:$B$236,2,FALSE),"")</f>
        <v>0</v>
      </c>
    </row>
    <row r="587" spans="1:11" x14ac:dyDescent="0.2">
      <c r="A587">
        <f t="shared" si="9"/>
        <v>0</v>
      </c>
      <c r="B587">
        <v>2017</v>
      </c>
      <c r="C587" t="s">
        <v>642</v>
      </c>
      <c r="D587" t="s">
        <v>644</v>
      </c>
      <c r="E587" t="s">
        <v>646</v>
      </c>
      <c r="F587" t="s">
        <v>121</v>
      </c>
      <c r="G587" t="s">
        <v>122</v>
      </c>
      <c r="H587">
        <v>3618</v>
      </c>
      <c r="I587">
        <v>68985.845721512233</v>
      </c>
      <c r="J587">
        <v>72603.845721512233</v>
      </c>
      <c r="K587">
        <f>IFERROR(VLOOKUP(F587,'LEAID Match'!$A$2:$B$236,2,FALSE),"")</f>
        <v>0</v>
      </c>
    </row>
    <row r="588" spans="1:11" x14ac:dyDescent="0.2">
      <c r="A588">
        <f t="shared" si="9"/>
        <v>0</v>
      </c>
      <c r="B588">
        <v>2018</v>
      </c>
      <c r="C588" t="s">
        <v>642</v>
      </c>
      <c r="D588" t="s">
        <v>644</v>
      </c>
      <c r="E588" t="s">
        <v>646</v>
      </c>
      <c r="F588" t="s">
        <v>121</v>
      </c>
      <c r="G588" t="s">
        <v>122</v>
      </c>
      <c r="H588">
        <v>3049</v>
      </c>
      <c r="I588">
        <v>61801.076885456008</v>
      </c>
      <c r="J588">
        <v>64850.076885456008</v>
      </c>
      <c r="K588">
        <f>IFERROR(VLOOKUP(F588,'LEAID Match'!$A$2:$B$236,2,FALSE),"")</f>
        <v>0</v>
      </c>
    </row>
    <row r="589" spans="1:11" x14ac:dyDescent="0.2">
      <c r="A589">
        <f t="shared" si="9"/>
        <v>0</v>
      </c>
      <c r="B589">
        <v>2019</v>
      </c>
      <c r="C589" t="s">
        <v>642</v>
      </c>
      <c r="D589" t="s">
        <v>644</v>
      </c>
      <c r="E589" t="s">
        <v>646</v>
      </c>
      <c r="F589" t="s">
        <v>121</v>
      </c>
      <c r="G589" t="s">
        <v>122</v>
      </c>
      <c r="I589">
        <v>0</v>
      </c>
      <c r="J589">
        <v>0</v>
      </c>
      <c r="K589">
        <f>IFERROR(VLOOKUP(F589,'LEAID Match'!$A$2:$B$236,2,FALSE),"")</f>
        <v>0</v>
      </c>
    </row>
    <row r="590" spans="1:11" x14ac:dyDescent="0.2">
      <c r="A590">
        <f t="shared" si="9"/>
        <v>0</v>
      </c>
      <c r="B590">
        <v>2020</v>
      </c>
      <c r="C590" t="s">
        <v>642</v>
      </c>
      <c r="D590" t="s">
        <v>644</v>
      </c>
      <c r="E590" t="s">
        <v>646</v>
      </c>
      <c r="F590" t="s">
        <v>121</v>
      </c>
      <c r="G590" t="s">
        <v>122</v>
      </c>
      <c r="I590">
        <v>0</v>
      </c>
      <c r="J590">
        <v>0</v>
      </c>
      <c r="K590">
        <f>IFERROR(VLOOKUP(F590,'LEAID Match'!$A$2:$B$236,2,FALSE),"")</f>
        <v>0</v>
      </c>
    </row>
    <row r="591" spans="1:11" x14ac:dyDescent="0.2">
      <c r="A591">
        <f t="shared" si="9"/>
        <v>0</v>
      </c>
      <c r="B591">
        <v>2021</v>
      </c>
      <c r="C591" t="s">
        <v>642</v>
      </c>
      <c r="D591" t="s">
        <v>644</v>
      </c>
      <c r="E591" t="s">
        <v>646</v>
      </c>
      <c r="F591" t="s">
        <v>121</v>
      </c>
      <c r="G591" t="s">
        <v>122</v>
      </c>
      <c r="I591">
        <v>0</v>
      </c>
      <c r="J591">
        <v>0</v>
      </c>
      <c r="K591">
        <f>IFERROR(VLOOKUP(F591,'LEAID Match'!$A$2:$B$236,2,FALSE),"")</f>
        <v>0</v>
      </c>
    </row>
    <row r="592" spans="1:11" x14ac:dyDescent="0.2">
      <c r="A592">
        <f t="shared" si="9"/>
        <v>0</v>
      </c>
      <c r="B592">
        <v>2022</v>
      </c>
      <c r="C592" t="s">
        <v>642</v>
      </c>
      <c r="D592" t="s">
        <v>644</v>
      </c>
      <c r="E592" t="s">
        <v>646</v>
      </c>
      <c r="F592" t="s">
        <v>121</v>
      </c>
      <c r="G592" t="s">
        <v>122</v>
      </c>
      <c r="I592">
        <v>0</v>
      </c>
      <c r="J592">
        <v>0</v>
      </c>
      <c r="K592">
        <f>IFERROR(VLOOKUP(F592,'LEAID Match'!$A$2:$B$236,2,FALSE),"")</f>
        <v>0</v>
      </c>
    </row>
    <row r="593" spans="1:11" x14ac:dyDescent="0.2">
      <c r="A593">
        <f t="shared" si="9"/>
        <v>0</v>
      </c>
      <c r="B593">
        <v>2015</v>
      </c>
      <c r="C593" t="s">
        <v>642</v>
      </c>
      <c r="D593" t="s">
        <v>644</v>
      </c>
      <c r="E593" t="s">
        <v>646</v>
      </c>
      <c r="F593" t="s">
        <v>123</v>
      </c>
      <c r="G593" t="s">
        <v>124</v>
      </c>
      <c r="H593">
        <v>4942</v>
      </c>
      <c r="I593">
        <v>94756.13325733447</v>
      </c>
      <c r="J593">
        <v>99698.13325733447</v>
      </c>
      <c r="K593">
        <f>IFERROR(VLOOKUP(F593,'LEAID Match'!$A$2:$B$236,2,FALSE),"")</f>
        <v>0</v>
      </c>
    </row>
    <row r="594" spans="1:11" x14ac:dyDescent="0.2">
      <c r="A594">
        <f t="shared" si="9"/>
        <v>0</v>
      </c>
      <c r="B594">
        <v>2016</v>
      </c>
      <c r="C594" t="s">
        <v>642</v>
      </c>
      <c r="D594" t="s">
        <v>644</v>
      </c>
      <c r="E594" t="s">
        <v>646</v>
      </c>
      <c r="F594" s="1" t="s">
        <v>123</v>
      </c>
      <c r="G594" s="1" t="s">
        <v>124</v>
      </c>
      <c r="H594" s="22">
        <v>5152</v>
      </c>
      <c r="I594">
        <v>97911.710829131538</v>
      </c>
      <c r="J594">
        <v>103063.71082913154</v>
      </c>
      <c r="K594">
        <f>IFERROR(VLOOKUP(F594,'LEAID Match'!$A$2:$B$236,2,FALSE),"")</f>
        <v>0</v>
      </c>
    </row>
    <row r="595" spans="1:11" x14ac:dyDescent="0.2">
      <c r="A595">
        <f t="shared" si="9"/>
        <v>0</v>
      </c>
      <c r="B595">
        <v>2017</v>
      </c>
      <c r="C595" t="s">
        <v>642</v>
      </c>
      <c r="D595" t="s">
        <v>644</v>
      </c>
      <c r="E595" t="s">
        <v>646</v>
      </c>
      <c r="F595" t="s">
        <v>123</v>
      </c>
      <c r="G595" t="s">
        <v>124</v>
      </c>
      <c r="H595">
        <v>4659</v>
      </c>
      <c r="I595">
        <v>88835.00696974172</v>
      </c>
      <c r="J595">
        <v>93494.00696974172</v>
      </c>
      <c r="K595">
        <f>IFERROR(VLOOKUP(F595,'LEAID Match'!$A$2:$B$236,2,FALSE),"")</f>
        <v>0</v>
      </c>
    </row>
    <row r="596" spans="1:11" x14ac:dyDescent="0.2">
      <c r="A596">
        <f t="shared" si="9"/>
        <v>0</v>
      </c>
      <c r="B596">
        <v>2018</v>
      </c>
      <c r="C596" t="s">
        <v>642</v>
      </c>
      <c r="D596" t="s">
        <v>644</v>
      </c>
      <c r="E596" t="s">
        <v>646</v>
      </c>
      <c r="F596" t="s">
        <v>123</v>
      </c>
      <c r="G596" t="s">
        <v>124</v>
      </c>
      <c r="H596">
        <v>5156</v>
      </c>
      <c r="I596">
        <v>104508.47898373604</v>
      </c>
      <c r="J596">
        <v>109664.47898373604</v>
      </c>
      <c r="K596">
        <f>IFERROR(VLOOKUP(F596,'LEAID Match'!$A$2:$B$236,2,FALSE),"")</f>
        <v>0</v>
      </c>
    </row>
    <row r="597" spans="1:11" x14ac:dyDescent="0.2">
      <c r="A597">
        <f t="shared" si="9"/>
        <v>0</v>
      </c>
      <c r="B597">
        <v>2019</v>
      </c>
      <c r="C597" t="s">
        <v>642</v>
      </c>
      <c r="D597" t="s">
        <v>644</v>
      </c>
      <c r="E597" t="s">
        <v>646</v>
      </c>
      <c r="F597" t="s">
        <v>123</v>
      </c>
      <c r="G597" t="s">
        <v>124</v>
      </c>
      <c r="H597">
        <v>6165</v>
      </c>
      <c r="I597">
        <v>132079.18442354834</v>
      </c>
      <c r="J597">
        <v>138244.18442354834</v>
      </c>
      <c r="K597">
        <f>IFERROR(VLOOKUP(F597,'LEAID Match'!$A$2:$B$236,2,FALSE),"")</f>
        <v>0</v>
      </c>
    </row>
    <row r="598" spans="1:11" x14ac:dyDescent="0.2">
      <c r="A598">
        <f t="shared" si="9"/>
        <v>0</v>
      </c>
      <c r="B598">
        <v>2020</v>
      </c>
      <c r="C598" t="s">
        <v>642</v>
      </c>
      <c r="D598" t="s">
        <v>644</v>
      </c>
      <c r="E598" t="s">
        <v>646</v>
      </c>
      <c r="F598" t="s">
        <v>123</v>
      </c>
      <c r="G598" t="s">
        <v>124</v>
      </c>
      <c r="H598">
        <v>7353</v>
      </c>
      <c r="I598">
        <v>163839.00967748871</v>
      </c>
      <c r="J598">
        <v>171192.00967748871</v>
      </c>
      <c r="K598">
        <f>IFERROR(VLOOKUP(F598,'LEAID Match'!$A$2:$B$236,2,FALSE),"")</f>
        <v>0</v>
      </c>
    </row>
    <row r="599" spans="1:11" x14ac:dyDescent="0.2">
      <c r="A599">
        <f t="shared" si="9"/>
        <v>0</v>
      </c>
      <c r="B599">
        <v>2021</v>
      </c>
      <c r="C599" t="s">
        <v>642</v>
      </c>
      <c r="D599" t="s">
        <v>644</v>
      </c>
      <c r="E599" t="s">
        <v>646</v>
      </c>
      <c r="F599" t="s">
        <v>123</v>
      </c>
      <c r="G599" t="s">
        <v>124</v>
      </c>
      <c r="H599">
        <v>7903</v>
      </c>
      <c r="I599">
        <v>132765.26634029084</v>
      </c>
      <c r="J599">
        <v>140668.26634029084</v>
      </c>
      <c r="K599">
        <f>IFERROR(VLOOKUP(F599,'LEAID Match'!$A$2:$B$236,2,FALSE),"")</f>
        <v>0</v>
      </c>
    </row>
    <row r="600" spans="1:11" x14ac:dyDescent="0.2">
      <c r="A600">
        <f t="shared" si="9"/>
        <v>0</v>
      </c>
      <c r="B600">
        <v>2022</v>
      </c>
      <c r="C600" t="s">
        <v>642</v>
      </c>
      <c r="D600" t="s">
        <v>644</v>
      </c>
      <c r="E600" t="s">
        <v>646</v>
      </c>
      <c r="F600" t="s">
        <v>123</v>
      </c>
      <c r="G600" t="s">
        <v>124</v>
      </c>
      <c r="H600">
        <v>8469</v>
      </c>
      <c r="I600">
        <v>121911.02404407135</v>
      </c>
      <c r="J600">
        <v>130380.02404407135</v>
      </c>
      <c r="K600">
        <f>IFERROR(VLOOKUP(F600,'LEAID Match'!$A$2:$B$236,2,FALSE),"")</f>
        <v>0</v>
      </c>
    </row>
    <row r="601" spans="1:11" x14ac:dyDescent="0.2">
      <c r="A601">
        <f t="shared" si="9"/>
        <v>2314809</v>
      </c>
      <c r="B601">
        <v>2015</v>
      </c>
      <c r="C601" t="s">
        <v>642</v>
      </c>
      <c r="D601" t="s">
        <v>644</v>
      </c>
      <c r="E601" t="s">
        <v>646</v>
      </c>
      <c r="F601" s="1" t="s">
        <v>508</v>
      </c>
      <c r="G601" t="s">
        <v>125</v>
      </c>
      <c r="H601">
        <v>135114</v>
      </c>
      <c r="I601">
        <v>2590627.3146360763</v>
      </c>
      <c r="J601">
        <v>2725741.3146360763</v>
      </c>
      <c r="K601">
        <f>IFERROR(VLOOKUP(F601,'LEAID Match'!$A$2:$B$236,2,FALSE),"")</f>
        <v>2314809</v>
      </c>
    </row>
    <row r="602" spans="1:11" x14ac:dyDescent="0.2">
      <c r="A602">
        <f t="shared" si="9"/>
        <v>2314809</v>
      </c>
      <c r="B602">
        <v>2016</v>
      </c>
      <c r="C602" t="s">
        <v>642</v>
      </c>
      <c r="D602" t="s">
        <v>644</v>
      </c>
      <c r="E602" t="s">
        <v>646</v>
      </c>
      <c r="F602" s="1" t="s">
        <v>508</v>
      </c>
      <c r="G602" s="1" t="s">
        <v>125</v>
      </c>
      <c r="H602" s="22">
        <v>101726</v>
      </c>
      <c r="I602">
        <v>1933262.1692166605</v>
      </c>
      <c r="J602">
        <v>2034988.1692166605</v>
      </c>
      <c r="K602">
        <f>IFERROR(VLOOKUP(F602,'LEAID Match'!$A$2:$B$236,2,FALSE),"")</f>
        <v>2314809</v>
      </c>
    </row>
    <row r="603" spans="1:11" x14ac:dyDescent="0.2">
      <c r="A603">
        <f t="shared" si="9"/>
        <v>2314809</v>
      </c>
      <c r="B603">
        <v>2017</v>
      </c>
      <c r="C603" t="s">
        <v>642</v>
      </c>
      <c r="D603" t="s">
        <v>644</v>
      </c>
      <c r="E603" t="s">
        <v>646</v>
      </c>
      <c r="F603" t="s">
        <v>508</v>
      </c>
      <c r="G603" t="s">
        <v>125</v>
      </c>
      <c r="H603">
        <v>88243</v>
      </c>
      <c r="I603">
        <v>1682564.3957997249</v>
      </c>
      <c r="J603">
        <v>1770807.3957997249</v>
      </c>
      <c r="K603">
        <f>IFERROR(VLOOKUP(F603,'LEAID Match'!$A$2:$B$236,2,FALSE),"")</f>
        <v>2314809</v>
      </c>
    </row>
    <row r="604" spans="1:11" x14ac:dyDescent="0.2">
      <c r="A604">
        <f t="shared" si="9"/>
        <v>2314809</v>
      </c>
      <c r="B604">
        <v>2018</v>
      </c>
      <c r="C604" t="s">
        <v>642</v>
      </c>
      <c r="D604" t="s">
        <v>644</v>
      </c>
      <c r="E604" t="s">
        <v>646</v>
      </c>
      <c r="F604" t="s">
        <v>508</v>
      </c>
      <c r="G604" t="s">
        <v>125</v>
      </c>
      <c r="H604">
        <v>96238</v>
      </c>
      <c r="I604">
        <v>1950676.2995416583</v>
      </c>
      <c r="J604">
        <v>2046914.2995416583</v>
      </c>
      <c r="K604">
        <f>IFERROR(VLOOKUP(F604,'LEAID Match'!$A$2:$B$236,2,FALSE),"")</f>
        <v>2314809</v>
      </c>
    </row>
    <row r="605" spans="1:11" x14ac:dyDescent="0.2">
      <c r="A605">
        <f t="shared" si="9"/>
        <v>2314809</v>
      </c>
      <c r="B605">
        <v>2019</v>
      </c>
      <c r="C605" t="s">
        <v>642</v>
      </c>
      <c r="D605" t="s">
        <v>644</v>
      </c>
      <c r="E605" t="s">
        <v>646</v>
      </c>
      <c r="F605" t="s">
        <v>508</v>
      </c>
      <c r="G605" t="s">
        <v>125</v>
      </c>
      <c r="H605">
        <v>105864</v>
      </c>
      <c r="I605">
        <v>2268034.1897509359</v>
      </c>
      <c r="J605">
        <v>2373898.1897509359</v>
      </c>
      <c r="K605">
        <f>IFERROR(VLOOKUP(F605,'LEAID Match'!$A$2:$B$236,2,FALSE),"")</f>
        <v>2314809</v>
      </c>
    </row>
    <row r="606" spans="1:11" x14ac:dyDescent="0.2">
      <c r="A606">
        <f t="shared" si="9"/>
        <v>2314809</v>
      </c>
      <c r="B606">
        <v>2020</v>
      </c>
      <c r="C606" t="s">
        <v>642</v>
      </c>
      <c r="D606" t="s">
        <v>644</v>
      </c>
      <c r="E606" t="s">
        <v>646</v>
      </c>
      <c r="F606" t="s">
        <v>508</v>
      </c>
      <c r="G606" t="s">
        <v>125</v>
      </c>
      <c r="H606">
        <v>133316</v>
      </c>
      <c r="I606">
        <v>2970537.3880272117</v>
      </c>
      <c r="J606">
        <v>3103853.3880272117</v>
      </c>
      <c r="K606">
        <f>IFERROR(VLOOKUP(F606,'LEAID Match'!$A$2:$B$236,2,FALSE),"")</f>
        <v>2314809</v>
      </c>
    </row>
    <row r="607" spans="1:11" x14ac:dyDescent="0.2">
      <c r="A607">
        <f t="shared" si="9"/>
        <v>2314809</v>
      </c>
      <c r="B607">
        <v>2021</v>
      </c>
      <c r="C607" t="s">
        <v>642</v>
      </c>
      <c r="D607" t="s">
        <v>644</v>
      </c>
      <c r="E607" t="s">
        <v>646</v>
      </c>
      <c r="F607" t="s">
        <v>508</v>
      </c>
      <c r="G607" t="s">
        <v>125</v>
      </c>
      <c r="H607">
        <v>139558</v>
      </c>
      <c r="I607">
        <v>2344483.7454027971</v>
      </c>
      <c r="J607">
        <v>2484041.7454027971</v>
      </c>
      <c r="K607">
        <f>IFERROR(VLOOKUP(F607,'LEAID Match'!$A$2:$B$236,2,FALSE),"")</f>
        <v>2314809</v>
      </c>
    </row>
    <row r="608" spans="1:11" x14ac:dyDescent="0.2">
      <c r="A608">
        <f t="shared" si="9"/>
        <v>2314809</v>
      </c>
      <c r="B608">
        <v>2022</v>
      </c>
      <c r="C608" t="s">
        <v>642</v>
      </c>
      <c r="D608" t="s">
        <v>644</v>
      </c>
      <c r="E608" t="s">
        <v>646</v>
      </c>
      <c r="F608" t="s">
        <v>508</v>
      </c>
      <c r="G608" t="s">
        <v>125</v>
      </c>
      <c r="H608">
        <v>178158</v>
      </c>
      <c r="I608">
        <v>2564579.5514988382</v>
      </c>
      <c r="J608">
        <v>2742737.5514988382</v>
      </c>
      <c r="K608">
        <f>IFERROR(VLOOKUP(F608,'LEAID Match'!$A$2:$B$236,2,FALSE),"")</f>
        <v>2314809</v>
      </c>
    </row>
    <row r="609" spans="1:11" x14ac:dyDescent="0.2">
      <c r="A609">
        <f t="shared" si="9"/>
        <v>2310590</v>
      </c>
      <c r="B609">
        <v>2015</v>
      </c>
      <c r="C609" t="s">
        <v>642</v>
      </c>
      <c r="D609" t="s">
        <v>644</v>
      </c>
      <c r="E609" t="s">
        <v>646</v>
      </c>
      <c r="F609" s="1" t="s">
        <v>509</v>
      </c>
      <c r="G609" t="s">
        <v>126</v>
      </c>
      <c r="H609">
        <v>85832</v>
      </c>
      <c r="I609">
        <v>1645711.9445049639</v>
      </c>
      <c r="J609">
        <v>1731543.9445049639</v>
      </c>
      <c r="K609">
        <f>IFERROR(VLOOKUP(F609,'LEAID Match'!$A$2:$B$236,2,FALSE),"")</f>
        <v>2310590</v>
      </c>
    </row>
    <row r="610" spans="1:11" x14ac:dyDescent="0.2">
      <c r="A610">
        <f t="shared" si="9"/>
        <v>2310590</v>
      </c>
      <c r="B610">
        <v>2016</v>
      </c>
      <c r="C610" t="s">
        <v>642</v>
      </c>
      <c r="D610" t="s">
        <v>644</v>
      </c>
      <c r="E610" t="s">
        <v>646</v>
      </c>
      <c r="F610" s="1" t="s">
        <v>509</v>
      </c>
      <c r="G610" s="1" t="s">
        <v>126</v>
      </c>
      <c r="H610" s="22">
        <v>46842</v>
      </c>
      <c r="I610">
        <v>890213.57893209998</v>
      </c>
      <c r="J610">
        <v>937055.57893209998</v>
      </c>
      <c r="K610">
        <f>IFERROR(VLOOKUP(F610,'LEAID Match'!$A$2:$B$236,2,FALSE),"")</f>
        <v>2310590</v>
      </c>
    </row>
    <row r="611" spans="1:11" x14ac:dyDescent="0.2">
      <c r="A611">
        <f t="shared" si="9"/>
        <v>2310590</v>
      </c>
      <c r="B611">
        <v>2017</v>
      </c>
      <c r="C611" t="s">
        <v>642</v>
      </c>
      <c r="D611" t="s">
        <v>644</v>
      </c>
      <c r="E611" t="s">
        <v>646</v>
      </c>
      <c r="F611" t="s">
        <v>509</v>
      </c>
      <c r="G611" t="s">
        <v>126</v>
      </c>
      <c r="H611">
        <v>123707</v>
      </c>
      <c r="I611">
        <v>2358770.5960948355</v>
      </c>
      <c r="J611">
        <v>2482477.5960948355</v>
      </c>
      <c r="K611">
        <f>IFERROR(VLOOKUP(F611,'LEAID Match'!$A$2:$B$236,2,FALSE),"")</f>
        <v>2310590</v>
      </c>
    </row>
    <row r="612" spans="1:11" x14ac:dyDescent="0.2">
      <c r="A612">
        <f t="shared" si="9"/>
        <v>2310590</v>
      </c>
      <c r="B612">
        <v>2018</v>
      </c>
      <c r="C612" t="s">
        <v>642</v>
      </c>
      <c r="D612" t="s">
        <v>644</v>
      </c>
      <c r="E612" t="s">
        <v>646</v>
      </c>
      <c r="F612" t="s">
        <v>509</v>
      </c>
      <c r="G612" t="s">
        <v>126</v>
      </c>
      <c r="H612">
        <v>122426</v>
      </c>
      <c r="I612">
        <v>2481488.5663426821</v>
      </c>
      <c r="J612">
        <v>2603914.5663426821</v>
      </c>
      <c r="K612">
        <f>IFERROR(VLOOKUP(F612,'LEAID Match'!$A$2:$B$236,2,FALSE),"")</f>
        <v>2310590</v>
      </c>
    </row>
    <row r="613" spans="1:11" x14ac:dyDescent="0.2">
      <c r="A613">
        <f t="shared" si="9"/>
        <v>2310590</v>
      </c>
      <c r="B613">
        <v>2019</v>
      </c>
      <c r="C613" t="s">
        <v>642</v>
      </c>
      <c r="D613" t="s">
        <v>644</v>
      </c>
      <c r="E613" t="s">
        <v>646</v>
      </c>
      <c r="F613" t="s">
        <v>509</v>
      </c>
      <c r="G613" t="s">
        <v>126</v>
      </c>
      <c r="H613">
        <v>46551</v>
      </c>
      <c r="I613">
        <v>997310.31858890492</v>
      </c>
      <c r="J613">
        <v>1043861.3185889049</v>
      </c>
      <c r="K613">
        <f>IFERROR(VLOOKUP(F613,'LEAID Match'!$A$2:$B$236,2,FALSE),"")</f>
        <v>2310590</v>
      </c>
    </row>
    <row r="614" spans="1:11" x14ac:dyDescent="0.2">
      <c r="A614">
        <f t="shared" si="9"/>
        <v>2310590</v>
      </c>
      <c r="B614">
        <v>2020</v>
      </c>
      <c r="C614" t="s">
        <v>642</v>
      </c>
      <c r="D614" t="s">
        <v>644</v>
      </c>
      <c r="E614" t="s">
        <v>646</v>
      </c>
      <c r="F614" t="s">
        <v>509</v>
      </c>
      <c r="G614" t="s">
        <v>126</v>
      </c>
      <c r="H614">
        <v>48228</v>
      </c>
      <c r="I614">
        <v>1074612.7782844997</v>
      </c>
      <c r="J614">
        <v>1122840.7782844997</v>
      </c>
      <c r="K614">
        <f>IFERROR(VLOOKUP(F614,'LEAID Match'!$A$2:$B$236,2,FALSE),"")</f>
        <v>2310590</v>
      </c>
    </row>
    <row r="615" spans="1:11" x14ac:dyDescent="0.2">
      <c r="A615">
        <f t="shared" si="9"/>
        <v>2310590</v>
      </c>
      <c r="B615">
        <v>2021</v>
      </c>
      <c r="C615" t="s">
        <v>642</v>
      </c>
      <c r="D615" t="s">
        <v>644</v>
      </c>
      <c r="E615" t="s">
        <v>646</v>
      </c>
      <c r="F615" t="s">
        <v>509</v>
      </c>
      <c r="G615" t="s">
        <v>126</v>
      </c>
      <c r="H615">
        <v>79519</v>
      </c>
      <c r="I615">
        <v>1335867.5457564958</v>
      </c>
      <c r="J615">
        <v>1415386.5457564958</v>
      </c>
      <c r="K615">
        <f>IFERROR(VLOOKUP(F615,'LEAID Match'!$A$2:$B$236,2,FALSE),"")</f>
        <v>2310590</v>
      </c>
    </row>
    <row r="616" spans="1:11" x14ac:dyDescent="0.2">
      <c r="A616">
        <f t="shared" si="9"/>
        <v>2310590</v>
      </c>
      <c r="B616">
        <v>2022</v>
      </c>
      <c r="C616" t="s">
        <v>642</v>
      </c>
      <c r="D616" t="s">
        <v>644</v>
      </c>
      <c r="E616" t="s">
        <v>646</v>
      </c>
      <c r="F616" t="s">
        <v>509</v>
      </c>
      <c r="G616" t="s">
        <v>126</v>
      </c>
      <c r="H616">
        <v>150479</v>
      </c>
      <c r="I616">
        <v>2166141.1013257541</v>
      </c>
      <c r="J616">
        <v>2316620.1013257541</v>
      </c>
      <c r="K616">
        <f>IFERROR(VLOOKUP(F616,'LEAID Match'!$A$2:$B$236,2,FALSE),"")</f>
        <v>2310590</v>
      </c>
    </row>
    <row r="617" spans="1:11" x14ac:dyDescent="0.2">
      <c r="A617">
        <f t="shared" si="9"/>
        <v>2310620</v>
      </c>
      <c r="B617">
        <v>2015</v>
      </c>
      <c r="C617" t="s">
        <v>642</v>
      </c>
      <c r="D617" t="s">
        <v>644</v>
      </c>
      <c r="E617" t="s">
        <v>646</v>
      </c>
      <c r="F617" t="s">
        <v>127</v>
      </c>
      <c r="G617" t="s">
        <v>128</v>
      </c>
      <c r="H617">
        <v>4746</v>
      </c>
      <c r="I617">
        <v>90998.099643729132</v>
      </c>
      <c r="J617">
        <v>95744.099643729132</v>
      </c>
      <c r="K617">
        <f>IFERROR(VLOOKUP(F617,'LEAID Match'!$A$2:$B$236,2,FALSE),"")</f>
        <v>2310620</v>
      </c>
    </row>
    <row r="618" spans="1:11" x14ac:dyDescent="0.2">
      <c r="A618">
        <f t="shared" si="9"/>
        <v>2310620</v>
      </c>
      <c r="B618">
        <v>2016</v>
      </c>
      <c r="C618" t="s">
        <v>642</v>
      </c>
      <c r="D618" t="s">
        <v>644</v>
      </c>
      <c r="E618" t="s">
        <v>646</v>
      </c>
      <c r="F618" s="1" t="s">
        <v>127</v>
      </c>
      <c r="G618" s="1" t="s">
        <v>128</v>
      </c>
      <c r="H618" s="22">
        <v>7299</v>
      </c>
      <c r="I618">
        <v>138714.5918753554</v>
      </c>
      <c r="J618">
        <v>146013.5918753554</v>
      </c>
      <c r="K618">
        <f>IFERROR(VLOOKUP(F618,'LEAID Match'!$A$2:$B$236,2,FALSE),"")</f>
        <v>2310620</v>
      </c>
    </row>
    <row r="619" spans="1:11" x14ac:dyDescent="0.2">
      <c r="A619">
        <f t="shared" si="9"/>
        <v>2310620</v>
      </c>
      <c r="B619">
        <v>2017</v>
      </c>
      <c r="C619" t="s">
        <v>642</v>
      </c>
      <c r="D619" t="s">
        <v>644</v>
      </c>
      <c r="E619" t="s">
        <v>646</v>
      </c>
      <c r="F619" t="s">
        <v>127</v>
      </c>
      <c r="G619" t="s">
        <v>128</v>
      </c>
      <c r="H619">
        <v>8306</v>
      </c>
      <c r="I619">
        <v>158373.80723131032</v>
      </c>
      <c r="J619">
        <v>166679.80723131032</v>
      </c>
      <c r="K619">
        <f>IFERROR(VLOOKUP(F619,'LEAID Match'!$A$2:$B$236,2,FALSE),"")</f>
        <v>2310620</v>
      </c>
    </row>
    <row r="620" spans="1:11" x14ac:dyDescent="0.2">
      <c r="A620">
        <f t="shared" si="9"/>
        <v>2310620</v>
      </c>
      <c r="B620">
        <v>2018</v>
      </c>
      <c r="C620" t="s">
        <v>642</v>
      </c>
      <c r="D620" t="s">
        <v>644</v>
      </c>
      <c r="E620" t="s">
        <v>646</v>
      </c>
      <c r="F620" t="s">
        <v>127</v>
      </c>
      <c r="G620" t="s">
        <v>128</v>
      </c>
      <c r="H620">
        <v>3535</v>
      </c>
      <c r="I620">
        <v>71651.953686483117</v>
      </c>
      <c r="J620">
        <v>75186.953686483117</v>
      </c>
      <c r="K620">
        <f>IFERROR(VLOOKUP(F620,'LEAID Match'!$A$2:$B$236,2,FALSE),"")</f>
        <v>2310620</v>
      </c>
    </row>
    <row r="621" spans="1:11" x14ac:dyDescent="0.2">
      <c r="A621">
        <f t="shared" si="9"/>
        <v>2310620</v>
      </c>
      <c r="B621">
        <v>2019</v>
      </c>
      <c r="C621" t="s">
        <v>642</v>
      </c>
      <c r="D621" t="s">
        <v>644</v>
      </c>
      <c r="E621" t="s">
        <v>646</v>
      </c>
      <c r="F621" t="s">
        <v>127</v>
      </c>
      <c r="G621" t="s">
        <v>128</v>
      </c>
      <c r="H621">
        <v>1370</v>
      </c>
      <c r="I621">
        <v>29350.929871899629</v>
      </c>
      <c r="J621">
        <v>30720.929871899629</v>
      </c>
      <c r="K621">
        <f>IFERROR(VLOOKUP(F621,'LEAID Match'!$A$2:$B$236,2,FALSE),"")</f>
        <v>2310620</v>
      </c>
    </row>
    <row r="622" spans="1:11" x14ac:dyDescent="0.2">
      <c r="A622">
        <f t="shared" si="9"/>
        <v>2310620</v>
      </c>
      <c r="B622">
        <v>2020</v>
      </c>
      <c r="C622" t="s">
        <v>642</v>
      </c>
      <c r="D622" t="s">
        <v>644</v>
      </c>
      <c r="E622" t="s">
        <v>646</v>
      </c>
      <c r="F622" t="s">
        <v>127</v>
      </c>
      <c r="G622" t="s">
        <v>128</v>
      </c>
      <c r="H622">
        <v>2223</v>
      </c>
      <c r="I622">
        <v>49532.723855984965</v>
      </c>
      <c r="J622">
        <v>51755.723855984965</v>
      </c>
      <c r="K622">
        <f>IFERROR(VLOOKUP(F622,'LEAID Match'!$A$2:$B$236,2,FALSE),"")</f>
        <v>2310620</v>
      </c>
    </row>
    <row r="623" spans="1:11" x14ac:dyDescent="0.2">
      <c r="A623">
        <f t="shared" si="9"/>
        <v>2310620</v>
      </c>
      <c r="B623">
        <v>2021</v>
      </c>
      <c r="C623" t="s">
        <v>642</v>
      </c>
      <c r="D623" t="s">
        <v>644</v>
      </c>
      <c r="E623" t="s">
        <v>646</v>
      </c>
      <c r="F623" t="s">
        <v>127</v>
      </c>
      <c r="G623" t="s">
        <v>128</v>
      </c>
      <c r="I623">
        <v>0</v>
      </c>
      <c r="J623">
        <v>0</v>
      </c>
      <c r="K623">
        <f>IFERROR(VLOOKUP(F623,'LEAID Match'!$A$2:$B$236,2,FALSE),"")</f>
        <v>2310620</v>
      </c>
    </row>
    <row r="624" spans="1:11" x14ac:dyDescent="0.2">
      <c r="A624">
        <f t="shared" si="9"/>
        <v>2310620</v>
      </c>
      <c r="B624">
        <v>2022</v>
      </c>
      <c r="C624" t="s">
        <v>642</v>
      </c>
      <c r="D624" t="s">
        <v>644</v>
      </c>
      <c r="E624" t="s">
        <v>646</v>
      </c>
      <c r="F624" t="s">
        <v>127</v>
      </c>
      <c r="G624" t="s">
        <v>128</v>
      </c>
      <c r="H624">
        <v>2973</v>
      </c>
      <c r="I624">
        <v>42796.25392407889</v>
      </c>
      <c r="J624">
        <v>45769.25392407889</v>
      </c>
      <c r="K624">
        <f>IFERROR(VLOOKUP(F624,'LEAID Match'!$A$2:$B$236,2,FALSE),"")</f>
        <v>2310620</v>
      </c>
    </row>
    <row r="625" spans="1:11" x14ac:dyDescent="0.2">
      <c r="A625">
        <f t="shared" si="9"/>
        <v>2310650</v>
      </c>
      <c r="B625">
        <v>2015</v>
      </c>
      <c r="C625" t="s">
        <v>642</v>
      </c>
      <c r="D625" t="s">
        <v>644</v>
      </c>
      <c r="E625" t="s">
        <v>646</v>
      </c>
      <c r="F625" t="s">
        <v>129</v>
      </c>
      <c r="G625" t="s">
        <v>130</v>
      </c>
      <c r="H625">
        <v>15223</v>
      </c>
      <c r="I625">
        <v>291880.33520364284</v>
      </c>
      <c r="J625">
        <v>307103.33520364284</v>
      </c>
      <c r="K625">
        <f>IFERROR(VLOOKUP(F625,'LEAID Match'!$A$2:$B$236,2,FALSE),"")</f>
        <v>2310650</v>
      </c>
    </row>
    <row r="626" spans="1:11" x14ac:dyDescent="0.2">
      <c r="A626">
        <f t="shared" si="9"/>
        <v>2310650</v>
      </c>
      <c r="B626">
        <v>2016</v>
      </c>
      <c r="C626" t="s">
        <v>642</v>
      </c>
      <c r="D626" t="s">
        <v>644</v>
      </c>
      <c r="E626" t="s">
        <v>646</v>
      </c>
      <c r="F626" s="1" t="s">
        <v>129</v>
      </c>
      <c r="G626" s="1" t="s">
        <v>130</v>
      </c>
      <c r="H626" s="22">
        <v>13207</v>
      </c>
      <c r="I626">
        <v>250993.7820109356</v>
      </c>
      <c r="J626">
        <v>264200.7820109356</v>
      </c>
      <c r="K626">
        <f>IFERROR(VLOOKUP(F626,'LEAID Match'!$A$2:$B$236,2,FALSE),"")</f>
        <v>2310650</v>
      </c>
    </row>
    <row r="627" spans="1:11" x14ac:dyDescent="0.2">
      <c r="A627">
        <f t="shared" si="9"/>
        <v>2310650</v>
      </c>
      <c r="B627">
        <v>2017</v>
      </c>
      <c r="C627" t="s">
        <v>642</v>
      </c>
      <c r="D627" t="s">
        <v>644</v>
      </c>
      <c r="E627" t="s">
        <v>646</v>
      </c>
      <c r="F627" t="s">
        <v>129</v>
      </c>
      <c r="G627" t="s">
        <v>130</v>
      </c>
      <c r="H627">
        <v>12068</v>
      </c>
      <c r="I627">
        <v>230105.3582551713</v>
      </c>
      <c r="J627">
        <v>242173.3582551713</v>
      </c>
      <c r="K627">
        <f>IFERROR(VLOOKUP(F627,'LEAID Match'!$A$2:$B$236,2,FALSE),"")</f>
        <v>2310650</v>
      </c>
    </row>
    <row r="628" spans="1:11" x14ac:dyDescent="0.2">
      <c r="A628">
        <f t="shared" si="9"/>
        <v>2310650</v>
      </c>
      <c r="B628">
        <v>2018</v>
      </c>
      <c r="C628" t="s">
        <v>642</v>
      </c>
      <c r="D628" t="s">
        <v>644</v>
      </c>
      <c r="E628" t="s">
        <v>646</v>
      </c>
      <c r="F628" t="s">
        <v>129</v>
      </c>
      <c r="G628" t="s">
        <v>130</v>
      </c>
      <c r="H628">
        <v>13661</v>
      </c>
      <c r="I628">
        <v>276898.82300171023</v>
      </c>
      <c r="J628">
        <v>290559.82300171023</v>
      </c>
      <c r="K628">
        <f>IFERROR(VLOOKUP(F628,'LEAID Match'!$A$2:$B$236,2,FALSE),"")</f>
        <v>2310650</v>
      </c>
    </row>
    <row r="629" spans="1:11" x14ac:dyDescent="0.2">
      <c r="A629">
        <f t="shared" si="9"/>
        <v>2310650</v>
      </c>
      <c r="B629">
        <v>2019</v>
      </c>
      <c r="C629" t="s">
        <v>642</v>
      </c>
      <c r="D629" t="s">
        <v>644</v>
      </c>
      <c r="E629" t="s">
        <v>646</v>
      </c>
      <c r="F629" t="s">
        <v>129</v>
      </c>
      <c r="G629" t="s">
        <v>130</v>
      </c>
      <c r="H629">
        <v>11475</v>
      </c>
      <c r="I629">
        <v>245840.81772266296</v>
      </c>
      <c r="J629">
        <v>257315.81772266296</v>
      </c>
      <c r="K629">
        <f>IFERROR(VLOOKUP(F629,'LEAID Match'!$A$2:$B$236,2,FALSE),"")</f>
        <v>2310650</v>
      </c>
    </row>
    <row r="630" spans="1:11" x14ac:dyDescent="0.2">
      <c r="A630">
        <f t="shared" si="9"/>
        <v>2310650</v>
      </c>
      <c r="B630">
        <v>2020</v>
      </c>
      <c r="C630" t="s">
        <v>642</v>
      </c>
      <c r="D630" t="s">
        <v>644</v>
      </c>
      <c r="E630" t="s">
        <v>646</v>
      </c>
      <c r="F630" t="s">
        <v>129</v>
      </c>
      <c r="G630" t="s">
        <v>130</v>
      </c>
      <c r="H630">
        <v>20116</v>
      </c>
      <c r="I630">
        <v>448223.24475348333</v>
      </c>
      <c r="J630">
        <v>468339.24475348333</v>
      </c>
      <c r="K630">
        <f>IFERROR(VLOOKUP(F630,'LEAID Match'!$A$2:$B$236,2,FALSE),"")</f>
        <v>2310650</v>
      </c>
    </row>
    <row r="631" spans="1:11" x14ac:dyDescent="0.2">
      <c r="A631">
        <f t="shared" si="9"/>
        <v>2310650</v>
      </c>
      <c r="B631">
        <v>2021</v>
      </c>
      <c r="C631" t="s">
        <v>642</v>
      </c>
      <c r="D631" t="s">
        <v>644</v>
      </c>
      <c r="E631" t="s">
        <v>646</v>
      </c>
      <c r="F631" t="s">
        <v>129</v>
      </c>
      <c r="G631" t="s">
        <v>130</v>
      </c>
      <c r="H631">
        <v>18213</v>
      </c>
      <c r="I631">
        <v>305966.56913269858</v>
      </c>
      <c r="J631">
        <v>324179.56913269858</v>
      </c>
      <c r="K631">
        <f>IFERROR(VLOOKUP(F631,'LEAID Match'!$A$2:$B$236,2,FALSE),"")</f>
        <v>2310650</v>
      </c>
    </row>
    <row r="632" spans="1:11" x14ac:dyDescent="0.2">
      <c r="A632">
        <f t="shared" si="9"/>
        <v>2310650</v>
      </c>
      <c r="B632">
        <v>2022</v>
      </c>
      <c r="C632" t="s">
        <v>642</v>
      </c>
      <c r="D632" t="s">
        <v>644</v>
      </c>
      <c r="E632" t="s">
        <v>646</v>
      </c>
      <c r="F632" t="s">
        <v>129</v>
      </c>
      <c r="G632" t="s">
        <v>130</v>
      </c>
      <c r="H632">
        <v>29327</v>
      </c>
      <c r="I632">
        <v>422161.36523089866</v>
      </c>
      <c r="J632">
        <v>451488.36523089866</v>
      </c>
      <c r="K632">
        <f>IFERROR(VLOOKUP(F632,'LEAID Match'!$A$2:$B$236,2,FALSE),"")</f>
        <v>2310650</v>
      </c>
    </row>
    <row r="633" spans="1:11" x14ac:dyDescent="0.2">
      <c r="A633">
        <f t="shared" si="9"/>
        <v>2310710</v>
      </c>
      <c r="B633">
        <v>2015</v>
      </c>
      <c r="C633" t="s">
        <v>642</v>
      </c>
      <c r="D633" t="s">
        <v>644</v>
      </c>
      <c r="E633" t="s">
        <v>646</v>
      </c>
      <c r="F633" s="1" t="s">
        <v>510</v>
      </c>
      <c r="G633" t="s">
        <v>131</v>
      </c>
      <c r="H633">
        <v>57607</v>
      </c>
      <c r="I633">
        <v>1104535.9305049104</v>
      </c>
      <c r="J633">
        <v>1162142.9305049104</v>
      </c>
      <c r="K633">
        <f>IFERROR(VLOOKUP(F633,'LEAID Match'!$A$2:$B$236,2,FALSE),"")</f>
        <v>2310710</v>
      </c>
    </row>
    <row r="634" spans="1:11" x14ac:dyDescent="0.2">
      <c r="A634">
        <f t="shared" si="9"/>
        <v>2310710</v>
      </c>
      <c r="B634">
        <v>2016</v>
      </c>
      <c r="C634" t="s">
        <v>642</v>
      </c>
      <c r="D634" t="s">
        <v>644</v>
      </c>
      <c r="E634" t="s">
        <v>646</v>
      </c>
      <c r="F634" s="1" t="s">
        <v>510</v>
      </c>
      <c r="G634" s="1" t="s">
        <v>131</v>
      </c>
      <c r="H634" s="22">
        <v>44050</v>
      </c>
      <c r="I634">
        <v>837152.7294299776</v>
      </c>
      <c r="J634">
        <v>881202.7294299776</v>
      </c>
      <c r="K634">
        <f>IFERROR(VLOOKUP(F634,'LEAID Match'!$A$2:$B$236,2,FALSE),"")</f>
        <v>2310710</v>
      </c>
    </row>
    <row r="635" spans="1:11" x14ac:dyDescent="0.2">
      <c r="A635">
        <f t="shared" si="9"/>
        <v>2310710</v>
      </c>
      <c r="B635">
        <v>2017</v>
      </c>
      <c r="C635" t="s">
        <v>642</v>
      </c>
      <c r="D635" t="s">
        <v>644</v>
      </c>
      <c r="E635" t="s">
        <v>646</v>
      </c>
      <c r="F635" t="s">
        <v>510</v>
      </c>
      <c r="G635" t="s">
        <v>131</v>
      </c>
      <c r="H635">
        <v>37120</v>
      </c>
      <c r="I635">
        <v>707781.81127212115</v>
      </c>
      <c r="J635">
        <v>744901.81127212115</v>
      </c>
      <c r="K635">
        <f>IFERROR(VLOOKUP(F635,'LEAID Match'!$A$2:$B$236,2,FALSE),"")</f>
        <v>2310710</v>
      </c>
    </row>
    <row r="636" spans="1:11" x14ac:dyDescent="0.2">
      <c r="A636">
        <f t="shared" si="9"/>
        <v>2310710</v>
      </c>
      <c r="B636">
        <v>2018</v>
      </c>
      <c r="C636" t="s">
        <v>642</v>
      </c>
      <c r="D636" t="s">
        <v>644</v>
      </c>
      <c r="E636" t="s">
        <v>646</v>
      </c>
      <c r="F636" t="s">
        <v>510</v>
      </c>
      <c r="G636" t="s">
        <v>131</v>
      </c>
      <c r="H636">
        <v>43839</v>
      </c>
      <c r="I636">
        <v>888585.57218153693</v>
      </c>
      <c r="J636">
        <v>932424.57218153693</v>
      </c>
      <c r="K636">
        <f>IFERROR(VLOOKUP(F636,'LEAID Match'!$A$2:$B$236,2,FALSE),"")</f>
        <v>2310710</v>
      </c>
    </row>
    <row r="637" spans="1:11" x14ac:dyDescent="0.2">
      <c r="A637">
        <f t="shared" si="9"/>
        <v>2310710</v>
      </c>
      <c r="B637">
        <v>2019</v>
      </c>
      <c r="C637" t="s">
        <v>642</v>
      </c>
      <c r="D637" t="s">
        <v>644</v>
      </c>
      <c r="E637" t="s">
        <v>646</v>
      </c>
      <c r="F637" t="s">
        <v>510</v>
      </c>
      <c r="G637" t="s">
        <v>131</v>
      </c>
      <c r="H637">
        <v>55128</v>
      </c>
      <c r="I637">
        <v>1181064.2788161188</v>
      </c>
      <c r="J637">
        <v>1236192.2788161188</v>
      </c>
      <c r="K637">
        <f>IFERROR(VLOOKUP(F637,'LEAID Match'!$A$2:$B$236,2,FALSE),"")</f>
        <v>2310710</v>
      </c>
    </row>
    <row r="638" spans="1:11" x14ac:dyDescent="0.2">
      <c r="A638">
        <f t="shared" si="9"/>
        <v>2310710</v>
      </c>
      <c r="B638">
        <v>2020</v>
      </c>
      <c r="C638" t="s">
        <v>642</v>
      </c>
      <c r="D638" t="s">
        <v>644</v>
      </c>
      <c r="E638" t="s">
        <v>646</v>
      </c>
      <c r="F638" t="s">
        <v>510</v>
      </c>
      <c r="G638" t="s">
        <v>131</v>
      </c>
      <c r="H638">
        <v>69308</v>
      </c>
      <c r="I638">
        <v>1544315.800724519</v>
      </c>
      <c r="J638">
        <v>1613623.800724519</v>
      </c>
      <c r="K638">
        <f>IFERROR(VLOOKUP(F638,'LEAID Match'!$A$2:$B$236,2,FALSE),"")</f>
        <v>2310710</v>
      </c>
    </row>
    <row r="639" spans="1:11" x14ac:dyDescent="0.2">
      <c r="A639">
        <f t="shared" si="9"/>
        <v>2310710</v>
      </c>
      <c r="B639">
        <v>2021</v>
      </c>
      <c r="C639" t="s">
        <v>642</v>
      </c>
      <c r="D639" t="s">
        <v>644</v>
      </c>
      <c r="E639" t="s">
        <v>646</v>
      </c>
      <c r="F639" t="s">
        <v>510</v>
      </c>
      <c r="G639" t="s">
        <v>131</v>
      </c>
      <c r="H639">
        <v>71646</v>
      </c>
      <c r="I639">
        <v>1203606.2599286949</v>
      </c>
      <c r="J639">
        <v>1275252.2599286949</v>
      </c>
      <c r="K639">
        <f>IFERROR(VLOOKUP(F639,'LEAID Match'!$A$2:$B$236,2,FALSE),"")</f>
        <v>2310710</v>
      </c>
    </row>
    <row r="640" spans="1:11" x14ac:dyDescent="0.2">
      <c r="A640">
        <f t="shared" si="9"/>
        <v>2310710</v>
      </c>
      <c r="B640">
        <v>2022</v>
      </c>
      <c r="C640" t="s">
        <v>642</v>
      </c>
      <c r="D640" t="s">
        <v>644</v>
      </c>
      <c r="E640" t="s">
        <v>646</v>
      </c>
      <c r="F640" t="s">
        <v>510</v>
      </c>
      <c r="G640" t="s">
        <v>131</v>
      </c>
      <c r="H640">
        <v>111668</v>
      </c>
      <c r="I640">
        <v>1607457.814730589</v>
      </c>
      <c r="J640">
        <v>1719125.814730589</v>
      </c>
      <c r="K640">
        <f>IFERROR(VLOOKUP(F640,'LEAID Match'!$A$2:$B$236,2,FALSE),"")</f>
        <v>2310710</v>
      </c>
    </row>
    <row r="641" spans="1:11" x14ac:dyDescent="0.2">
      <c r="A641">
        <f t="shared" si="9"/>
        <v>2310770</v>
      </c>
      <c r="B641">
        <v>2015</v>
      </c>
      <c r="C641" t="s">
        <v>642</v>
      </c>
      <c r="D641" t="s">
        <v>644</v>
      </c>
      <c r="E641" t="s">
        <v>646</v>
      </c>
      <c r="F641" t="s">
        <v>511</v>
      </c>
      <c r="G641" t="s">
        <v>132</v>
      </c>
      <c r="H641">
        <v>72166</v>
      </c>
      <c r="I641">
        <v>1383684.9681604207</v>
      </c>
      <c r="J641">
        <v>1455850.9681604207</v>
      </c>
      <c r="K641">
        <f>IFERROR(VLOOKUP(F641,'LEAID Match'!$A$2:$B$236,2,FALSE),"")</f>
        <v>2310770</v>
      </c>
    </row>
    <row r="642" spans="1:11" x14ac:dyDescent="0.2">
      <c r="A642">
        <f t="shared" si="9"/>
        <v>2310770</v>
      </c>
      <c r="B642">
        <v>2016</v>
      </c>
      <c r="C642" t="s">
        <v>642</v>
      </c>
      <c r="D642" t="s">
        <v>644</v>
      </c>
      <c r="E642" t="s">
        <v>646</v>
      </c>
      <c r="F642" s="1" t="s">
        <v>511</v>
      </c>
      <c r="G642" s="1" t="s">
        <v>132</v>
      </c>
      <c r="H642" s="22">
        <v>93376</v>
      </c>
      <c r="I642">
        <v>1774573.7403689804</v>
      </c>
      <c r="J642">
        <v>1867949.7403689804</v>
      </c>
      <c r="K642">
        <f>IFERROR(VLOOKUP(F642,'LEAID Match'!$A$2:$B$236,2,FALSE),"")</f>
        <v>2310770</v>
      </c>
    </row>
    <row r="643" spans="1:11" x14ac:dyDescent="0.2">
      <c r="A643">
        <f t="shared" ref="A643:A706" si="10">K643</f>
        <v>2310770</v>
      </c>
      <c r="B643">
        <v>2017</v>
      </c>
      <c r="C643" t="s">
        <v>642</v>
      </c>
      <c r="D643" t="s">
        <v>644</v>
      </c>
      <c r="E643" t="s">
        <v>646</v>
      </c>
      <c r="F643" t="s">
        <v>511</v>
      </c>
      <c r="G643" t="s">
        <v>132</v>
      </c>
      <c r="H643">
        <v>90382</v>
      </c>
      <c r="I643">
        <v>1723349.5599783636</v>
      </c>
      <c r="J643">
        <v>1813731.5599783636</v>
      </c>
      <c r="K643">
        <f>IFERROR(VLOOKUP(F643,'LEAID Match'!$A$2:$B$236,2,FALSE),"")</f>
        <v>2310770</v>
      </c>
    </row>
    <row r="644" spans="1:11" x14ac:dyDescent="0.2">
      <c r="A644">
        <f t="shared" si="10"/>
        <v>2310770</v>
      </c>
      <c r="B644">
        <v>2018</v>
      </c>
      <c r="C644" t="s">
        <v>642</v>
      </c>
      <c r="D644" t="s">
        <v>644</v>
      </c>
      <c r="E644" t="s">
        <v>646</v>
      </c>
      <c r="F644" t="s">
        <v>511</v>
      </c>
      <c r="G644" t="s">
        <v>132</v>
      </c>
      <c r="H644">
        <v>92669</v>
      </c>
      <c r="I644">
        <v>1878335.1898649798</v>
      </c>
      <c r="J644">
        <v>1971004.1898649798</v>
      </c>
      <c r="K644">
        <f>IFERROR(VLOOKUP(F644,'LEAID Match'!$A$2:$B$236,2,FALSE),"")</f>
        <v>2310770</v>
      </c>
    </row>
    <row r="645" spans="1:11" x14ac:dyDescent="0.2">
      <c r="A645">
        <f t="shared" si="10"/>
        <v>2310770</v>
      </c>
      <c r="B645">
        <v>2019</v>
      </c>
      <c r="C645" t="s">
        <v>642</v>
      </c>
      <c r="D645" t="s">
        <v>644</v>
      </c>
      <c r="E645" t="s">
        <v>646</v>
      </c>
      <c r="F645" t="s">
        <v>511</v>
      </c>
      <c r="G645" t="s">
        <v>132</v>
      </c>
      <c r="H645">
        <v>78884</v>
      </c>
      <c r="I645">
        <v>1690013.6876021391</v>
      </c>
      <c r="J645">
        <v>1768897.6876021391</v>
      </c>
      <c r="K645">
        <f>IFERROR(VLOOKUP(F645,'LEAID Match'!$A$2:$B$236,2,FALSE),"")</f>
        <v>2310770</v>
      </c>
    </row>
    <row r="646" spans="1:11" x14ac:dyDescent="0.2">
      <c r="A646">
        <f t="shared" si="10"/>
        <v>2310770</v>
      </c>
      <c r="B646">
        <v>2020</v>
      </c>
      <c r="C646" t="s">
        <v>642</v>
      </c>
      <c r="D646" t="s">
        <v>644</v>
      </c>
      <c r="E646" t="s">
        <v>646</v>
      </c>
      <c r="F646" t="s">
        <v>511</v>
      </c>
      <c r="G646" t="s">
        <v>132</v>
      </c>
      <c r="H646">
        <v>71527</v>
      </c>
      <c r="I646">
        <v>1593759.3968722611</v>
      </c>
      <c r="J646">
        <v>1665286.3968722611</v>
      </c>
      <c r="K646">
        <f>IFERROR(VLOOKUP(F646,'LEAID Match'!$A$2:$B$236,2,FALSE),"")</f>
        <v>2310770</v>
      </c>
    </row>
    <row r="647" spans="1:11" x14ac:dyDescent="0.2">
      <c r="A647">
        <f t="shared" si="10"/>
        <v>2310770</v>
      </c>
      <c r="B647">
        <v>2021</v>
      </c>
      <c r="C647" t="s">
        <v>642</v>
      </c>
      <c r="D647" t="s">
        <v>644</v>
      </c>
      <c r="E647" t="s">
        <v>646</v>
      </c>
      <c r="F647" t="s">
        <v>511</v>
      </c>
      <c r="G647" t="s">
        <v>132</v>
      </c>
      <c r="H647">
        <v>82826</v>
      </c>
      <c r="I647">
        <v>1391422.9975833136</v>
      </c>
      <c r="J647">
        <v>1474248.9975833136</v>
      </c>
      <c r="K647">
        <f>IFERROR(VLOOKUP(F647,'LEAID Match'!$A$2:$B$236,2,FALSE),"")</f>
        <v>2310770</v>
      </c>
    </row>
    <row r="648" spans="1:11" x14ac:dyDescent="0.2">
      <c r="A648">
        <f t="shared" si="10"/>
        <v>2310770</v>
      </c>
      <c r="B648">
        <v>2022</v>
      </c>
      <c r="C648" t="s">
        <v>642</v>
      </c>
      <c r="D648" t="s">
        <v>644</v>
      </c>
      <c r="E648" t="s">
        <v>646</v>
      </c>
      <c r="F648" t="s">
        <v>511</v>
      </c>
      <c r="G648" t="s">
        <v>132</v>
      </c>
      <c r="H648">
        <v>111947</v>
      </c>
      <c r="I648">
        <v>1611474.0121220516</v>
      </c>
      <c r="J648">
        <v>1723421.0121220516</v>
      </c>
      <c r="K648">
        <f>IFERROR(VLOOKUP(F648,'LEAID Match'!$A$2:$B$236,2,FALSE),"")</f>
        <v>2310770</v>
      </c>
    </row>
    <row r="649" spans="1:11" x14ac:dyDescent="0.2">
      <c r="A649">
        <f t="shared" si="10"/>
        <v>2310890</v>
      </c>
      <c r="B649">
        <v>2015</v>
      </c>
      <c r="C649" t="s">
        <v>642</v>
      </c>
      <c r="D649" t="s">
        <v>644</v>
      </c>
      <c r="E649" t="s">
        <v>646</v>
      </c>
      <c r="F649" t="s">
        <v>133</v>
      </c>
      <c r="G649" t="s">
        <v>134</v>
      </c>
      <c r="H649">
        <v>11952</v>
      </c>
      <c r="I649">
        <v>229163.35586638234</v>
      </c>
      <c r="J649">
        <v>241115.35586638234</v>
      </c>
      <c r="K649">
        <f>IFERROR(VLOOKUP(F649,'LEAID Match'!$A$2:$B$236,2,FALSE),"")</f>
        <v>2310890</v>
      </c>
    </row>
    <row r="650" spans="1:11" x14ac:dyDescent="0.2">
      <c r="A650">
        <f t="shared" si="10"/>
        <v>2310890</v>
      </c>
      <c r="B650">
        <v>2016</v>
      </c>
      <c r="C650" t="s">
        <v>642</v>
      </c>
      <c r="D650" t="s">
        <v>644</v>
      </c>
      <c r="E650" t="s">
        <v>646</v>
      </c>
      <c r="F650" s="1" t="s">
        <v>133</v>
      </c>
      <c r="G650" s="1" t="s">
        <v>134</v>
      </c>
      <c r="H650" s="22">
        <v>14735</v>
      </c>
      <c r="I650">
        <v>280032.81425994821</v>
      </c>
      <c r="J650">
        <v>294767.81425994821</v>
      </c>
      <c r="K650">
        <f>IFERROR(VLOOKUP(F650,'LEAID Match'!$A$2:$B$236,2,FALSE),"")</f>
        <v>2310890</v>
      </c>
    </row>
    <row r="651" spans="1:11" x14ac:dyDescent="0.2">
      <c r="A651">
        <f t="shared" si="10"/>
        <v>2310890</v>
      </c>
      <c r="B651">
        <v>2017</v>
      </c>
      <c r="C651" t="s">
        <v>642</v>
      </c>
      <c r="D651" t="s">
        <v>644</v>
      </c>
      <c r="E651" t="s">
        <v>646</v>
      </c>
      <c r="F651" t="s">
        <v>133</v>
      </c>
      <c r="G651" t="s">
        <v>134</v>
      </c>
      <c r="H651">
        <v>20997</v>
      </c>
      <c r="I651">
        <v>400358.15439872647</v>
      </c>
      <c r="J651">
        <v>421355.15439872647</v>
      </c>
      <c r="K651">
        <f>IFERROR(VLOOKUP(F651,'LEAID Match'!$A$2:$B$236,2,FALSE),"")</f>
        <v>2310890</v>
      </c>
    </row>
    <row r="652" spans="1:11" x14ac:dyDescent="0.2">
      <c r="A652">
        <f t="shared" si="10"/>
        <v>2310890</v>
      </c>
      <c r="B652">
        <v>2018</v>
      </c>
      <c r="C652" t="s">
        <v>642</v>
      </c>
      <c r="D652" t="s">
        <v>644</v>
      </c>
      <c r="E652" t="s">
        <v>646</v>
      </c>
      <c r="F652" t="s">
        <v>133</v>
      </c>
      <c r="G652" t="s">
        <v>134</v>
      </c>
      <c r="H652">
        <v>22526</v>
      </c>
      <c r="I652">
        <v>456586.11279822304</v>
      </c>
      <c r="J652">
        <v>479112.11279822304</v>
      </c>
      <c r="K652">
        <f>IFERROR(VLOOKUP(F652,'LEAID Match'!$A$2:$B$236,2,FALSE),"")</f>
        <v>2310890</v>
      </c>
    </row>
    <row r="653" spans="1:11" x14ac:dyDescent="0.2">
      <c r="A653">
        <f t="shared" si="10"/>
        <v>2310890</v>
      </c>
      <c r="B653">
        <v>2019</v>
      </c>
      <c r="C653" t="s">
        <v>642</v>
      </c>
      <c r="D653" t="s">
        <v>644</v>
      </c>
      <c r="E653" t="s">
        <v>646</v>
      </c>
      <c r="F653" t="s">
        <v>133</v>
      </c>
      <c r="G653" t="s">
        <v>134</v>
      </c>
      <c r="H653">
        <v>20104</v>
      </c>
      <c r="I653">
        <v>430708.82784282492</v>
      </c>
      <c r="J653">
        <v>450812.82784282492</v>
      </c>
      <c r="K653">
        <f>IFERROR(VLOOKUP(F653,'LEAID Match'!$A$2:$B$236,2,FALSE),"")</f>
        <v>2310890</v>
      </c>
    </row>
    <row r="654" spans="1:11" x14ac:dyDescent="0.2">
      <c r="A654">
        <f t="shared" si="10"/>
        <v>2310890</v>
      </c>
      <c r="B654">
        <v>2020</v>
      </c>
      <c r="C654" t="s">
        <v>642</v>
      </c>
      <c r="D654" t="s">
        <v>644</v>
      </c>
      <c r="E654" t="s">
        <v>646</v>
      </c>
      <c r="F654" t="s">
        <v>133</v>
      </c>
      <c r="G654" t="s">
        <v>134</v>
      </c>
      <c r="H654">
        <v>26831</v>
      </c>
      <c r="I654">
        <v>597846.38496623142</v>
      </c>
      <c r="J654">
        <v>624677.38496623142</v>
      </c>
      <c r="K654">
        <f>IFERROR(VLOOKUP(F654,'LEAID Match'!$A$2:$B$236,2,FALSE),"")</f>
        <v>2310890</v>
      </c>
    </row>
    <row r="655" spans="1:11" x14ac:dyDescent="0.2">
      <c r="A655">
        <f t="shared" si="10"/>
        <v>2310890</v>
      </c>
      <c r="B655">
        <v>2021</v>
      </c>
      <c r="C655" t="s">
        <v>642</v>
      </c>
      <c r="D655" t="s">
        <v>644</v>
      </c>
      <c r="E655" t="s">
        <v>646</v>
      </c>
      <c r="F655" t="s">
        <v>133</v>
      </c>
      <c r="G655" t="s">
        <v>134</v>
      </c>
      <c r="H655">
        <v>31273</v>
      </c>
      <c r="I655">
        <v>525366.08557002596</v>
      </c>
      <c r="J655">
        <v>556639.08557002596</v>
      </c>
      <c r="K655">
        <f>IFERROR(VLOOKUP(F655,'LEAID Match'!$A$2:$B$236,2,FALSE),"")</f>
        <v>2310890</v>
      </c>
    </row>
    <row r="656" spans="1:11" x14ac:dyDescent="0.2">
      <c r="A656">
        <f t="shared" si="10"/>
        <v>2310890</v>
      </c>
      <c r="B656">
        <v>2022</v>
      </c>
      <c r="C656" t="s">
        <v>642</v>
      </c>
      <c r="D656" t="s">
        <v>644</v>
      </c>
      <c r="E656" t="s">
        <v>646</v>
      </c>
      <c r="F656" t="s">
        <v>133</v>
      </c>
      <c r="G656" t="s">
        <v>134</v>
      </c>
      <c r="H656">
        <v>46758</v>
      </c>
      <c r="I656">
        <v>673080.1348745646</v>
      </c>
      <c r="J656">
        <v>719838.1348745646</v>
      </c>
      <c r="K656">
        <f>IFERROR(VLOOKUP(F656,'LEAID Match'!$A$2:$B$236,2,FALSE),"")</f>
        <v>2310890</v>
      </c>
    </row>
    <row r="657" spans="1:11" x14ac:dyDescent="0.2">
      <c r="A657">
        <f t="shared" si="10"/>
        <v>2314815</v>
      </c>
      <c r="B657">
        <v>2015</v>
      </c>
      <c r="C657" t="s">
        <v>642</v>
      </c>
      <c r="D657" t="s">
        <v>644</v>
      </c>
      <c r="E657" t="s">
        <v>646</v>
      </c>
      <c r="F657" t="s">
        <v>512</v>
      </c>
      <c r="G657" t="s">
        <v>135</v>
      </c>
      <c r="H657">
        <v>48881</v>
      </c>
      <c r="I657">
        <v>937226.74013593001</v>
      </c>
      <c r="J657">
        <v>986107.74013593001</v>
      </c>
      <c r="K657">
        <f>IFERROR(VLOOKUP(F657,'LEAID Match'!$A$2:$B$236,2,FALSE),"")</f>
        <v>2314815</v>
      </c>
    </row>
    <row r="658" spans="1:11" x14ac:dyDescent="0.2">
      <c r="A658">
        <f t="shared" si="10"/>
        <v>2314815</v>
      </c>
      <c r="B658">
        <v>2016</v>
      </c>
      <c r="C658" t="s">
        <v>642</v>
      </c>
      <c r="D658" t="s">
        <v>644</v>
      </c>
      <c r="E658" t="s">
        <v>646</v>
      </c>
      <c r="F658" s="1" t="s">
        <v>512</v>
      </c>
      <c r="G658" s="1" t="s">
        <v>135</v>
      </c>
      <c r="H658" s="22">
        <v>42586</v>
      </c>
      <c r="I658">
        <v>809329.99172542628</v>
      </c>
      <c r="J658">
        <v>851915.99172542628</v>
      </c>
      <c r="K658">
        <f>IFERROR(VLOOKUP(F658,'LEAID Match'!$A$2:$B$236,2,FALSE),"")</f>
        <v>2314815</v>
      </c>
    </row>
    <row r="659" spans="1:11" x14ac:dyDescent="0.2">
      <c r="A659">
        <f t="shared" si="10"/>
        <v>2314815</v>
      </c>
      <c r="B659">
        <v>2017</v>
      </c>
      <c r="C659" t="s">
        <v>642</v>
      </c>
      <c r="D659" t="s">
        <v>644</v>
      </c>
      <c r="E659" t="s">
        <v>646</v>
      </c>
      <c r="F659" t="s">
        <v>512</v>
      </c>
      <c r="G659" t="s">
        <v>135</v>
      </c>
      <c r="H659">
        <v>39244</v>
      </c>
      <c r="I659">
        <v>748280.96448176517</v>
      </c>
      <c r="J659">
        <v>787524.96448176517</v>
      </c>
      <c r="K659">
        <f>IFERROR(VLOOKUP(F659,'LEAID Match'!$A$2:$B$236,2,FALSE),"")</f>
        <v>2314815</v>
      </c>
    </row>
    <row r="660" spans="1:11" x14ac:dyDescent="0.2">
      <c r="A660">
        <f t="shared" si="10"/>
        <v>2314815</v>
      </c>
      <c r="B660">
        <v>2018</v>
      </c>
      <c r="C660" t="s">
        <v>642</v>
      </c>
      <c r="D660" t="s">
        <v>644</v>
      </c>
      <c r="E660" t="s">
        <v>646</v>
      </c>
      <c r="F660" t="s">
        <v>512</v>
      </c>
      <c r="G660" t="s">
        <v>135</v>
      </c>
      <c r="H660">
        <v>45008</v>
      </c>
      <c r="I660">
        <v>912280.37666795799</v>
      </c>
      <c r="J660">
        <v>957288.37666795799</v>
      </c>
      <c r="K660">
        <f>IFERROR(VLOOKUP(F660,'LEAID Match'!$A$2:$B$236,2,FALSE),"")</f>
        <v>2314815</v>
      </c>
    </row>
    <row r="661" spans="1:11" x14ac:dyDescent="0.2">
      <c r="A661">
        <f t="shared" si="10"/>
        <v>2314815</v>
      </c>
      <c r="B661">
        <v>2019</v>
      </c>
      <c r="C661" t="s">
        <v>642</v>
      </c>
      <c r="D661" t="s">
        <v>644</v>
      </c>
      <c r="E661" t="s">
        <v>646</v>
      </c>
      <c r="F661" t="s">
        <v>512</v>
      </c>
      <c r="G661" t="s">
        <v>135</v>
      </c>
      <c r="H661">
        <v>46186</v>
      </c>
      <c r="I661">
        <v>989490.5453018659</v>
      </c>
      <c r="J661">
        <v>1035676.5453018659</v>
      </c>
      <c r="K661">
        <f>IFERROR(VLOOKUP(F661,'LEAID Match'!$A$2:$B$236,2,FALSE),"")</f>
        <v>2314815</v>
      </c>
    </row>
    <row r="662" spans="1:11" x14ac:dyDescent="0.2">
      <c r="A662">
        <f t="shared" si="10"/>
        <v>2314815</v>
      </c>
      <c r="B662">
        <v>2020</v>
      </c>
      <c r="C662" t="s">
        <v>642</v>
      </c>
      <c r="D662" t="s">
        <v>644</v>
      </c>
      <c r="E662" t="s">
        <v>646</v>
      </c>
      <c r="F662" t="s">
        <v>512</v>
      </c>
      <c r="G662" t="s">
        <v>135</v>
      </c>
      <c r="H662">
        <v>61237</v>
      </c>
      <c r="I662">
        <v>1364478.3674174319</v>
      </c>
      <c r="J662">
        <v>1425715.3674174319</v>
      </c>
      <c r="K662">
        <f>IFERROR(VLOOKUP(F662,'LEAID Match'!$A$2:$B$236,2,FALSE),"")</f>
        <v>2314815</v>
      </c>
    </row>
    <row r="663" spans="1:11" x14ac:dyDescent="0.2">
      <c r="A663">
        <f t="shared" si="10"/>
        <v>2314815</v>
      </c>
      <c r="B663">
        <v>2021</v>
      </c>
      <c r="C663" t="s">
        <v>642</v>
      </c>
      <c r="D663" t="s">
        <v>644</v>
      </c>
      <c r="E663" t="s">
        <v>646</v>
      </c>
      <c r="F663" t="s">
        <v>512</v>
      </c>
      <c r="G663" t="s">
        <v>135</v>
      </c>
      <c r="H663">
        <v>89206</v>
      </c>
      <c r="I663">
        <v>1498602.8532395272</v>
      </c>
      <c r="J663">
        <v>1587808.8532395272</v>
      </c>
      <c r="K663">
        <f>IFERROR(VLOOKUP(F663,'LEAID Match'!$A$2:$B$236,2,FALSE),"")</f>
        <v>2314815</v>
      </c>
    </row>
    <row r="664" spans="1:11" x14ac:dyDescent="0.2">
      <c r="A664">
        <f t="shared" si="10"/>
        <v>2314815</v>
      </c>
      <c r="B664">
        <v>2022</v>
      </c>
      <c r="C664" t="s">
        <v>642</v>
      </c>
      <c r="D664" t="s">
        <v>644</v>
      </c>
      <c r="E664" t="s">
        <v>646</v>
      </c>
      <c r="F664" t="s">
        <v>512</v>
      </c>
      <c r="G664" t="s">
        <v>135</v>
      </c>
      <c r="H664">
        <v>84721</v>
      </c>
      <c r="I664">
        <v>1219556.4845953204</v>
      </c>
      <c r="J664">
        <v>1304277.4845953204</v>
      </c>
      <c r="K664">
        <f>IFERROR(VLOOKUP(F664,'LEAID Match'!$A$2:$B$236,2,FALSE),"")</f>
        <v>2314815</v>
      </c>
    </row>
    <row r="665" spans="1:11" x14ac:dyDescent="0.2">
      <c r="A665">
        <f t="shared" si="10"/>
        <v>2310980</v>
      </c>
      <c r="B665">
        <v>2015</v>
      </c>
      <c r="C665" t="s">
        <v>642</v>
      </c>
      <c r="D665" t="s">
        <v>644</v>
      </c>
      <c r="E665" t="s">
        <v>646</v>
      </c>
      <c r="F665" t="s">
        <v>136</v>
      </c>
      <c r="G665" t="s">
        <v>137</v>
      </c>
      <c r="H665">
        <v>31315</v>
      </c>
      <c r="I665">
        <v>600422.56433699501</v>
      </c>
      <c r="J665">
        <v>631737.56433699501</v>
      </c>
      <c r="K665">
        <f>IFERROR(VLOOKUP(F665,'LEAID Match'!$A$2:$B$236,2,FALSE),"")</f>
        <v>2310980</v>
      </c>
    </row>
    <row r="666" spans="1:11" x14ac:dyDescent="0.2">
      <c r="A666">
        <f t="shared" si="10"/>
        <v>2310980</v>
      </c>
      <c r="B666">
        <v>2016</v>
      </c>
      <c r="C666" t="s">
        <v>642</v>
      </c>
      <c r="D666" t="s">
        <v>644</v>
      </c>
      <c r="E666" t="s">
        <v>646</v>
      </c>
      <c r="F666" s="1" t="s">
        <v>136</v>
      </c>
      <c r="G666" s="1" t="s">
        <v>137</v>
      </c>
      <c r="H666" s="22">
        <v>24548</v>
      </c>
      <c r="I666">
        <v>466524.97620992258</v>
      </c>
      <c r="J666">
        <v>491072.97620992258</v>
      </c>
      <c r="K666">
        <f>IFERROR(VLOOKUP(F666,'LEAID Match'!$A$2:$B$236,2,FALSE),"")</f>
        <v>2310980</v>
      </c>
    </row>
    <row r="667" spans="1:11" x14ac:dyDescent="0.2">
      <c r="A667">
        <f t="shared" si="10"/>
        <v>2310980</v>
      </c>
      <c r="B667">
        <v>2017</v>
      </c>
      <c r="C667" t="s">
        <v>642</v>
      </c>
      <c r="D667" t="s">
        <v>644</v>
      </c>
      <c r="E667" t="s">
        <v>646</v>
      </c>
      <c r="F667" t="s">
        <v>136</v>
      </c>
      <c r="G667" t="s">
        <v>137</v>
      </c>
      <c r="H667">
        <v>23631</v>
      </c>
      <c r="I667">
        <v>450581.68055418902</v>
      </c>
      <c r="J667">
        <v>474212.68055418902</v>
      </c>
      <c r="K667">
        <f>IFERROR(VLOOKUP(F667,'LEAID Match'!$A$2:$B$236,2,FALSE),"")</f>
        <v>2310980</v>
      </c>
    </row>
    <row r="668" spans="1:11" x14ac:dyDescent="0.2">
      <c r="A668">
        <f t="shared" si="10"/>
        <v>2310980</v>
      </c>
      <c r="B668">
        <v>2018</v>
      </c>
      <c r="C668" t="s">
        <v>642</v>
      </c>
      <c r="D668" t="s">
        <v>644</v>
      </c>
      <c r="E668" t="s">
        <v>646</v>
      </c>
      <c r="F668" t="s">
        <v>136</v>
      </c>
      <c r="G668" t="s">
        <v>137</v>
      </c>
      <c r="H668">
        <v>22481</v>
      </c>
      <c r="I668">
        <v>455673.99457590573</v>
      </c>
      <c r="J668">
        <v>478154.99457590573</v>
      </c>
      <c r="K668">
        <f>IFERROR(VLOOKUP(F668,'LEAID Match'!$A$2:$B$236,2,FALSE),"")</f>
        <v>2310980</v>
      </c>
    </row>
    <row r="669" spans="1:11" x14ac:dyDescent="0.2">
      <c r="A669">
        <f t="shared" si="10"/>
        <v>2310980</v>
      </c>
      <c r="B669">
        <v>2019</v>
      </c>
      <c r="C669" t="s">
        <v>642</v>
      </c>
      <c r="D669" t="s">
        <v>644</v>
      </c>
      <c r="E669" t="s">
        <v>646</v>
      </c>
      <c r="F669" t="s">
        <v>136</v>
      </c>
      <c r="G669" t="s">
        <v>137</v>
      </c>
      <c r="H669">
        <v>28097</v>
      </c>
      <c r="I669">
        <v>601951.15081077651</v>
      </c>
      <c r="J669">
        <v>630048.15081077651</v>
      </c>
      <c r="K669">
        <f>IFERROR(VLOOKUP(F669,'LEAID Match'!$A$2:$B$236,2,FALSE),"")</f>
        <v>2310980</v>
      </c>
    </row>
    <row r="670" spans="1:11" x14ac:dyDescent="0.2">
      <c r="A670">
        <f t="shared" si="10"/>
        <v>2310980</v>
      </c>
      <c r="B670">
        <v>2020</v>
      </c>
      <c r="C670" t="s">
        <v>642</v>
      </c>
      <c r="D670" t="s">
        <v>644</v>
      </c>
      <c r="E670" t="s">
        <v>646</v>
      </c>
      <c r="F670" t="s">
        <v>136</v>
      </c>
      <c r="G670" t="s">
        <v>137</v>
      </c>
      <c r="H670">
        <v>34097</v>
      </c>
      <c r="I670">
        <v>759746.86698943726</v>
      </c>
      <c r="J670">
        <v>793843.86698943726</v>
      </c>
      <c r="K670">
        <f>IFERROR(VLOOKUP(F670,'LEAID Match'!$A$2:$B$236,2,FALSE),"")</f>
        <v>2310980</v>
      </c>
    </row>
    <row r="671" spans="1:11" x14ac:dyDescent="0.2">
      <c r="A671">
        <f t="shared" si="10"/>
        <v>2310980</v>
      </c>
      <c r="B671">
        <v>2021</v>
      </c>
      <c r="C671" t="s">
        <v>642</v>
      </c>
      <c r="D671" t="s">
        <v>644</v>
      </c>
      <c r="E671" t="s">
        <v>646</v>
      </c>
      <c r="F671" t="s">
        <v>136</v>
      </c>
      <c r="G671" t="s">
        <v>137</v>
      </c>
      <c r="H671">
        <v>36953</v>
      </c>
      <c r="I671">
        <v>620786.39593480539</v>
      </c>
      <c r="J671">
        <v>657739.39593480539</v>
      </c>
      <c r="K671">
        <f>IFERROR(VLOOKUP(F671,'LEAID Match'!$A$2:$B$236,2,FALSE),"")</f>
        <v>2310980</v>
      </c>
    </row>
    <row r="672" spans="1:11" x14ac:dyDescent="0.2">
      <c r="A672">
        <f t="shared" si="10"/>
        <v>2310980</v>
      </c>
      <c r="B672">
        <v>2022</v>
      </c>
      <c r="C672" t="s">
        <v>642</v>
      </c>
      <c r="D672" t="s">
        <v>644</v>
      </c>
      <c r="E672" t="s">
        <v>646</v>
      </c>
      <c r="F672" t="s">
        <v>136</v>
      </c>
      <c r="G672" t="s">
        <v>137</v>
      </c>
      <c r="H672">
        <v>67134</v>
      </c>
      <c r="I672">
        <v>966392.09920589032</v>
      </c>
      <c r="J672">
        <v>1033526.0992058903</v>
      </c>
      <c r="K672">
        <f>IFERROR(VLOOKUP(F672,'LEAID Match'!$A$2:$B$236,2,FALSE),"")</f>
        <v>2310980</v>
      </c>
    </row>
    <row r="673" spans="1:11" x14ac:dyDescent="0.2">
      <c r="A673">
        <f t="shared" si="10"/>
        <v>2311010</v>
      </c>
      <c r="B673">
        <v>2015</v>
      </c>
      <c r="C673" t="s">
        <v>642</v>
      </c>
      <c r="D673" t="s">
        <v>644</v>
      </c>
      <c r="E673" t="s">
        <v>646</v>
      </c>
      <c r="F673" t="s">
        <v>513</v>
      </c>
      <c r="G673" t="s">
        <v>138</v>
      </c>
      <c r="H673">
        <v>15079</v>
      </c>
      <c r="I673">
        <v>289119.33091609599</v>
      </c>
      <c r="J673">
        <v>304198.33091609599</v>
      </c>
      <c r="K673">
        <f>IFERROR(VLOOKUP(F673,'LEAID Match'!$A$2:$B$236,2,FALSE),"")</f>
        <v>2311010</v>
      </c>
    </row>
    <row r="674" spans="1:11" x14ac:dyDescent="0.2">
      <c r="A674">
        <f t="shared" si="10"/>
        <v>2311010</v>
      </c>
      <c r="B674">
        <v>2016</v>
      </c>
      <c r="C674" t="s">
        <v>642</v>
      </c>
      <c r="D674" t="s">
        <v>644</v>
      </c>
      <c r="E674" t="s">
        <v>646</v>
      </c>
      <c r="F674" s="1" t="s">
        <v>513</v>
      </c>
      <c r="G674" s="1" t="s">
        <v>138</v>
      </c>
      <c r="H674" s="22">
        <v>5425</v>
      </c>
      <c r="I674">
        <v>103099.96724534911</v>
      </c>
      <c r="J674">
        <v>108524.96724534911</v>
      </c>
      <c r="K674">
        <f>IFERROR(VLOOKUP(F674,'LEAID Match'!$A$2:$B$236,2,FALSE),"")</f>
        <v>2311010</v>
      </c>
    </row>
    <row r="675" spans="1:11" x14ac:dyDescent="0.2">
      <c r="A675">
        <f t="shared" si="10"/>
        <v>2311010</v>
      </c>
      <c r="B675">
        <v>2017</v>
      </c>
      <c r="C675" t="s">
        <v>642</v>
      </c>
      <c r="D675" t="s">
        <v>644</v>
      </c>
      <c r="E675" t="s">
        <v>646</v>
      </c>
      <c r="F675" t="s">
        <v>513</v>
      </c>
      <c r="G675" t="s">
        <v>138</v>
      </c>
      <c r="H675">
        <v>12294</v>
      </c>
      <c r="I675">
        <v>234414.59018802419</v>
      </c>
      <c r="J675">
        <v>246708.59018802419</v>
      </c>
      <c r="K675">
        <f>IFERROR(VLOOKUP(F675,'LEAID Match'!$A$2:$B$236,2,FALSE),"")</f>
        <v>2311010</v>
      </c>
    </row>
    <row r="676" spans="1:11" x14ac:dyDescent="0.2">
      <c r="A676">
        <f t="shared" si="10"/>
        <v>2311010</v>
      </c>
      <c r="B676">
        <v>2018</v>
      </c>
      <c r="C676" t="s">
        <v>642</v>
      </c>
      <c r="D676" t="s">
        <v>644</v>
      </c>
      <c r="E676" t="s">
        <v>646</v>
      </c>
      <c r="F676" t="s">
        <v>513</v>
      </c>
      <c r="G676" t="s">
        <v>138</v>
      </c>
      <c r="H676">
        <v>18002</v>
      </c>
      <c r="I676">
        <v>364887.82751458813</v>
      </c>
      <c r="J676">
        <v>382889.82751458813</v>
      </c>
      <c r="K676">
        <f>IFERROR(VLOOKUP(F676,'LEAID Match'!$A$2:$B$236,2,FALSE),"")</f>
        <v>2311010</v>
      </c>
    </row>
    <row r="677" spans="1:11" x14ac:dyDescent="0.2">
      <c r="A677">
        <f t="shared" si="10"/>
        <v>2311010</v>
      </c>
      <c r="B677">
        <v>2019</v>
      </c>
      <c r="C677" t="s">
        <v>642</v>
      </c>
      <c r="D677" t="s">
        <v>644</v>
      </c>
      <c r="E677" t="s">
        <v>646</v>
      </c>
      <c r="F677" t="s">
        <v>513</v>
      </c>
      <c r="G677" t="s">
        <v>138</v>
      </c>
      <c r="H677">
        <v>16697</v>
      </c>
      <c r="I677">
        <v>357717.13581832708</v>
      </c>
      <c r="J677">
        <v>374414.13581832708</v>
      </c>
      <c r="K677">
        <f>IFERROR(VLOOKUP(F677,'LEAID Match'!$A$2:$B$236,2,FALSE),"")</f>
        <v>2311010</v>
      </c>
    </row>
    <row r="678" spans="1:11" x14ac:dyDescent="0.2">
      <c r="A678">
        <f t="shared" si="10"/>
        <v>2311010</v>
      </c>
      <c r="B678">
        <v>2020</v>
      </c>
      <c r="C678" t="s">
        <v>642</v>
      </c>
      <c r="D678" t="s">
        <v>644</v>
      </c>
      <c r="E678" t="s">
        <v>646</v>
      </c>
      <c r="F678" t="s">
        <v>513</v>
      </c>
      <c r="G678" t="s">
        <v>138</v>
      </c>
      <c r="H678">
        <v>22790</v>
      </c>
      <c r="I678">
        <v>507805.11771385389</v>
      </c>
      <c r="J678">
        <v>530595.11771385395</v>
      </c>
      <c r="K678">
        <f>IFERROR(VLOOKUP(F678,'LEAID Match'!$A$2:$B$236,2,FALSE),"")</f>
        <v>2311010</v>
      </c>
    </row>
    <row r="679" spans="1:11" x14ac:dyDescent="0.2">
      <c r="A679">
        <f t="shared" si="10"/>
        <v>2311010</v>
      </c>
      <c r="B679">
        <v>2021</v>
      </c>
      <c r="C679" t="s">
        <v>642</v>
      </c>
      <c r="D679" t="s">
        <v>644</v>
      </c>
      <c r="E679" t="s">
        <v>646</v>
      </c>
      <c r="F679" t="s">
        <v>513</v>
      </c>
      <c r="G679" t="s">
        <v>138</v>
      </c>
      <c r="H679">
        <v>26094</v>
      </c>
      <c r="I679">
        <v>438362.24976382998</v>
      </c>
      <c r="J679">
        <v>464456.24976382998</v>
      </c>
      <c r="K679">
        <f>IFERROR(VLOOKUP(F679,'LEAID Match'!$A$2:$B$236,2,FALSE),"")</f>
        <v>2311010</v>
      </c>
    </row>
    <row r="680" spans="1:11" x14ac:dyDescent="0.2">
      <c r="A680">
        <f t="shared" si="10"/>
        <v>2311010</v>
      </c>
      <c r="B680">
        <v>2022</v>
      </c>
      <c r="C680" t="s">
        <v>642</v>
      </c>
      <c r="D680" t="s">
        <v>644</v>
      </c>
      <c r="E680" t="s">
        <v>646</v>
      </c>
      <c r="F680" t="s">
        <v>513</v>
      </c>
      <c r="G680" t="s">
        <v>138</v>
      </c>
      <c r="H680">
        <v>23988</v>
      </c>
      <c r="I680">
        <v>345306.60582939937</v>
      </c>
      <c r="J680">
        <v>369294.60582939937</v>
      </c>
      <c r="K680">
        <f>IFERROR(VLOOKUP(F680,'LEAID Match'!$A$2:$B$236,2,FALSE),"")</f>
        <v>2311010</v>
      </c>
    </row>
    <row r="681" spans="1:11" x14ac:dyDescent="0.2">
      <c r="A681">
        <f t="shared" si="10"/>
        <v>2311100</v>
      </c>
      <c r="B681">
        <v>2015</v>
      </c>
      <c r="C681" t="s">
        <v>642</v>
      </c>
      <c r="D681" t="s">
        <v>644</v>
      </c>
      <c r="E681" t="s">
        <v>646</v>
      </c>
      <c r="F681" t="s">
        <v>514</v>
      </c>
      <c r="G681" t="s">
        <v>139</v>
      </c>
      <c r="H681">
        <v>56255</v>
      </c>
      <c r="I681">
        <v>1078613.1680273879</v>
      </c>
      <c r="J681">
        <v>1134868.1680273879</v>
      </c>
      <c r="K681">
        <f>IFERROR(VLOOKUP(F681,'LEAID Match'!$A$2:$B$236,2,FALSE),"")</f>
        <v>2311100</v>
      </c>
    </row>
    <row r="682" spans="1:11" x14ac:dyDescent="0.2">
      <c r="A682">
        <f t="shared" si="10"/>
        <v>2311100</v>
      </c>
      <c r="B682">
        <v>2016</v>
      </c>
      <c r="C682" t="s">
        <v>642</v>
      </c>
      <c r="D682" t="s">
        <v>644</v>
      </c>
      <c r="E682" t="s">
        <v>646</v>
      </c>
      <c r="F682" s="1" t="s">
        <v>514</v>
      </c>
      <c r="G682" s="1" t="s">
        <v>139</v>
      </c>
      <c r="H682" s="22">
        <v>42679</v>
      </c>
      <c r="I682">
        <v>811097.41973534646</v>
      </c>
      <c r="J682">
        <v>853776.41973534646</v>
      </c>
      <c r="K682">
        <f>IFERROR(VLOOKUP(F682,'LEAID Match'!$A$2:$B$236,2,FALSE),"")</f>
        <v>2311100</v>
      </c>
    </row>
    <row r="683" spans="1:11" x14ac:dyDescent="0.2">
      <c r="A683">
        <f t="shared" si="10"/>
        <v>2311100</v>
      </c>
      <c r="B683">
        <v>2017</v>
      </c>
      <c r="C683" t="s">
        <v>642</v>
      </c>
      <c r="D683" t="s">
        <v>644</v>
      </c>
      <c r="E683" t="s">
        <v>646</v>
      </c>
      <c r="F683" t="s">
        <v>514</v>
      </c>
      <c r="G683" t="s">
        <v>139</v>
      </c>
      <c r="H683">
        <v>47574</v>
      </c>
      <c r="I683">
        <v>907112.38926346705</v>
      </c>
      <c r="J683">
        <v>954686.38926346705</v>
      </c>
      <c r="K683">
        <f>IFERROR(VLOOKUP(F683,'LEAID Match'!$A$2:$B$236,2,FALSE),"")</f>
        <v>2311100</v>
      </c>
    </row>
    <row r="684" spans="1:11" x14ac:dyDescent="0.2">
      <c r="A684">
        <f t="shared" si="10"/>
        <v>2311100</v>
      </c>
      <c r="B684">
        <v>2018</v>
      </c>
      <c r="C684" t="s">
        <v>642</v>
      </c>
      <c r="D684" t="s">
        <v>644</v>
      </c>
      <c r="E684" t="s">
        <v>646</v>
      </c>
      <c r="F684" t="s">
        <v>514</v>
      </c>
      <c r="G684" t="s">
        <v>139</v>
      </c>
      <c r="H684">
        <v>49239</v>
      </c>
      <c r="I684">
        <v>998039.75885961589</v>
      </c>
      <c r="J684">
        <v>1047278.7588596159</v>
      </c>
      <c r="K684">
        <f>IFERROR(VLOOKUP(F684,'LEAID Match'!$A$2:$B$236,2,FALSE),"")</f>
        <v>2311100</v>
      </c>
    </row>
    <row r="685" spans="1:11" x14ac:dyDescent="0.2">
      <c r="A685">
        <f t="shared" si="10"/>
        <v>2311100</v>
      </c>
      <c r="B685">
        <v>2019</v>
      </c>
      <c r="C685" t="s">
        <v>642</v>
      </c>
      <c r="D685" t="s">
        <v>644</v>
      </c>
      <c r="E685" t="s">
        <v>646</v>
      </c>
      <c r="F685" t="s">
        <v>514</v>
      </c>
      <c r="G685" t="s">
        <v>139</v>
      </c>
      <c r="H685">
        <v>57665</v>
      </c>
      <c r="I685">
        <v>1235417.0591701402</v>
      </c>
      <c r="J685">
        <v>1293082.0591701402</v>
      </c>
      <c r="K685">
        <f>IFERROR(VLOOKUP(F685,'LEAID Match'!$A$2:$B$236,2,FALSE),"")</f>
        <v>2311100</v>
      </c>
    </row>
    <row r="686" spans="1:11" x14ac:dyDescent="0.2">
      <c r="A686">
        <f t="shared" si="10"/>
        <v>2311100</v>
      </c>
      <c r="B686">
        <v>2020</v>
      </c>
      <c r="C686" t="s">
        <v>642</v>
      </c>
      <c r="D686" t="s">
        <v>644</v>
      </c>
      <c r="E686" t="s">
        <v>646</v>
      </c>
      <c r="F686" t="s">
        <v>514</v>
      </c>
      <c r="G686" t="s">
        <v>139</v>
      </c>
      <c r="H686">
        <v>48518</v>
      </c>
      <c r="I686">
        <v>1081074.537132109</v>
      </c>
      <c r="J686">
        <v>1129592.537132109</v>
      </c>
      <c r="K686">
        <f>IFERROR(VLOOKUP(F686,'LEAID Match'!$A$2:$B$236,2,FALSE),"")</f>
        <v>2311100</v>
      </c>
    </row>
    <row r="687" spans="1:11" x14ac:dyDescent="0.2">
      <c r="A687">
        <f t="shared" si="10"/>
        <v>2311100</v>
      </c>
      <c r="B687">
        <v>2021</v>
      </c>
      <c r="C687" t="s">
        <v>642</v>
      </c>
      <c r="D687" t="s">
        <v>644</v>
      </c>
      <c r="E687" t="s">
        <v>646</v>
      </c>
      <c r="F687" t="s">
        <v>514</v>
      </c>
      <c r="G687" t="s">
        <v>139</v>
      </c>
      <c r="H687">
        <v>54111</v>
      </c>
      <c r="I687">
        <v>909029.65037827112</v>
      </c>
      <c r="J687">
        <v>963140.65037827112</v>
      </c>
      <c r="K687">
        <f>IFERROR(VLOOKUP(F687,'LEAID Match'!$A$2:$B$236,2,FALSE),"")</f>
        <v>2311100</v>
      </c>
    </row>
    <row r="688" spans="1:11" x14ac:dyDescent="0.2">
      <c r="A688">
        <f t="shared" si="10"/>
        <v>2311100</v>
      </c>
      <c r="B688">
        <v>2022</v>
      </c>
      <c r="C688" t="s">
        <v>642</v>
      </c>
      <c r="D688" t="s">
        <v>644</v>
      </c>
      <c r="E688" t="s">
        <v>646</v>
      </c>
      <c r="F688" t="s">
        <v>514</v>
      </c>
      <c r="G688" t="s">
        <v>139</v>
      </c>
      <c r="H688">
        <v>82124</v>
      </c>
      <c r="I688">
        <v>1182172.7404174418</v>
      </c>
      <c r="J688">
        <v>1264296.7404174418</v>
      </c>
      <c r="K688">
        <f>IFERROR(VLOOKUP(F688,'LEAID Match'!$A$2:$B$236,2,FALSE),"")</f>
        <v>2311100</v>
      </c>
    </row>
    <row r="689" spans="1:11" x14ac:dyDescent="0.2">
      <c r="A689">
        <f t="shared" si="10"/>
        <v>2311130</v>
      </c>
      <c r="B689">
        <v>2015</v>
      </c>
      <c r="C689" t="s">
        <v>642</v>
      </c>
      <c r="D689" t="s">
        <v>644</v>
      </c>
      <c r="E689" t="s">
        <v>646</v>
      </c>
      <c r="F689" t="s">
        <v>140</v>
      </c>
      <c r="G689" t="s">
        <v>141</v>
      </c>
      <c r="H689">
        <v>18715</v>
      </c>
      <c r="I689">
        <v>358834.68917665206</v>
      </c>
      <c r="J689">
        <v>377549.68917665206</v>
      </c>
      <c r="K689">
        <f>IFERROR(VLOOKUP(F689,'LEAID Match'!$A$2:$B$236,2,FALSE),"")</f>
        <v>2311130</v>
      </c>
    </row>
    <row r="690" spans="1:11" x14ac:dyDescent="0.2">
      <c r="A690">
        <f t="shared" si="10"/>
        <v>2311130</v>
      </c>
      <c r="B690">
        <v>2016</v>
      </c>
      <c r="C690" t="s">
        <v>642</v>
      </c>
      <c r="D690" t="s">
        <v>644</v>
      </c>
      <c r="E690" t="s">
        <v>646</v>
      </c>
      <c r="F690" s="1" t="s">
        <v>140</v>
      </c>
      <c r="G690" s="1" t="s">
        <v>141</v>
      </c>
      <c r="H690" s="22">
        <v>17919</v>
      </c>
      <c r="I690">
        <v>340543.46784689598</v>
      </c>
      <c r="J690">
        <v>358462.46784689598</v>
      </c>
      <c r="K690">
        <f>IFERROR(VLOOKUP(F690,'LEAID Match'!$A$2:$B$236,2,FALSE),"")</f>
        <v>2311130</v>
      </c>
    </row>
    <row r="691" spans="1:11" x14ac:dyDescent="0.2">
      <c r="A691">
        <f t="shared" si="10"/>
        <v>2311130</v>
      </c>
      <c r="B691">
        <v>2017</v>
      </c>
      <c r="C691" t="s">
        <v>642</v>
      </c>
      <c r="D691" t="s">
        <v>644</v>
      </c>
      <c r="E691" t="s">
        <v>646</v>
      </c>
      <c r="F691" t="s">
        <v>140</v>
      </c>
      <c r="G691" t="s">
        <v>141</v>
      </c>
      <c r="H691">
        <v>13849</v>
      </c>
      <c r="I691">
        <v>264064.39397380402</v>
      </c>
      <c r="J691">
        <v>277913.39397380402</v>
      </c>
      <c r="K691">
        <f>IFERROR(VLOOKUP(F691,'LEAID Match'!$A$2:$B$236,2,FALSE),"")</f>
        <v>2311130</v>
      </c>
    </row>
    <row r="692" spans="1:11" x14ac:dyDescent="0.2">
      <c r="A692">
        <f t="shared" si="10"/>
        <v>2311130</v>
      </c>
      <c r="B692">
        <v>2018</v>
      </c>
      <c r="C692" t="s">
        <v>642</v>
      </c>
      <c r="D692" t="s">
        <v>644</v>
      </c>
      <c r="E692" t="s">
        <v>646</v>
      </c>
      <c r="F692" t="s">
        <v>140</v>
      </c>
      <c r="G692" t="s">
        <v>141</v>
      </c>
      <c r="H692">
        <v>20478</v>
      </c>
      <c r="I692">
        <v>415074.59903587017</v>
      </c>
      <c r="J692">
        <v>435552.59903587017</v>
      </c>
      <c r="K692">
        <f>IFERROR(VLOOKUP(F692,'LEAID Match'!$A$2:$B$236,2,FALSE),"")</f>
        <v>2311130</v>
      </c>
    </row>
    <row r="693" spans="1:11" x14ac:dyDescent="0.2">
      <c r="A693">
        <f t="shared" si="10"/>
        <v>2311130</v>
      </c>
      <c r="B693">
        <v>2019</v>
      </c>
      <c r="C693" t="s">
        <v>642</v>
      </c>
      <c r="D693" t="s">
        <v>644</v>
      </c>
      <c r="E693" t="s">
        <v>646</v>
      </c>
      <c r="F693" t="s">
        <v>140</v>
      </c>
      <c r="G693" t="s">
        <v>141</v>
      </c>
      <c r="H693">
        <v>17835</v>
      </c>
      <c r="I693">
        <v>382097.68924476631</v>
      </c>
      <c r="J693">
        <v>399932.68924476631</v>
      </c>
      <c r="K693">
        <f>IFERROR(VLOOKUP(F693,'LEAID Match'!$A$2:$B$236,2,FALSE),"")</f>
        <v>2311130</v>
      </c>
    </row>
    <row r="694" spans="1:11" x14ac:dyDescent="0.2">
      <c r="A694">
        <f t="shared" si="10"/>
        <v>2311130</v>
      </c>
      <c r="B694">
        <v>2020</v>
      </c>
      <c r="C694" t="s">
        <v>642</v>
      </c>
      <c r="D694" t="s">
        <v>644</v>
      </c>
      <c r="E694" t="s">
        <v>646</v>
      </c>
      <c r="F694" t="s">
        <v>140</v>
      </c>
      <c r="G694" t="s">
        <v>141</v>
      </c>
      <c r="H694">
        <v>18876</v>
      </c>
      <c r="I694">
        <v>420593.65519818809</v>
      </c>
      <c r="J694">
        <v>439469.65519818809</v>
      </c>
      <c r="K694">
        <f>IFERROR(VLOOKUP(F694,'LEAID Match'!$A$2:$B$236,2,FALSE),"")</f>
        <v>2311130</v>
      </c>
    </row>
    <row r="695" spans="1:11" x14ac:dyDescent="0.2">
      <c r="A695">
        <f t="shared" si="10"/>
        <v>2311130</v>
      </c>
      <c r="B695">
        <v>2021</v>
      </c>
      <c r="C695" t="s">
        <v>642</v>
      </c>
      <c r="D695" t="s">
        <v>644</v>
      </c>
      <c r="E695" t="s">
        <v>646</v>
      </c>
      <c r="F695" t="s">
        <v>140</v>
      </c>
      <c r="G695" t="s">
        <v>141</v>
      </c>
      <c r="H695">
        <v>21904</v>
      </c>
      <c r="I695">
        <v>367972.97151938884</v>
      </c>
      <c r="J695">
        <v>389876.97151938884</v>
      </c>
      <c r="K695">
        <f>IFERROR(VLOOKUP(F695,'LEAID Match'!$A$2:$B$236,2,FALSE),"")</f>
        <v>2311130</v>
      </c>
    </row>
    <row r="696" spans="1:11" x14ac:dyDescent="0.2">
      <c r="A696">
        <f t="shared" si="10"/>
        <v>2311130</v>
      </c>
      <c r="B696">
        <v>2022</v>
      </c>
      <c r="C696" t="s">
        <v>642</v>
      </c>
      <c r="D696" t="s">
        <v>644</v>
      </c>
      <c r="E696" t="s">
        <v>646</v>
      </c>
      <c r="F696" t="s">
        <v>140</v>
      </c>
      <c r="G696" t="s">
        <v>141</v>
      </c>
      <c r="H696">
        <v>20598</v>
      </c>
      <c r="I696">
        <v>296507.64827722061</v>
      </c>
      <c r="J696">
        <v>317105.64827722061</v>
      </c>
      <c r="K696">
        <f>IFERROR(VLOOKUP(F696,'LEAID Match'!$A$2:$B$236,2,FALSE),"")</f>
        <v>2311130</v>
      </c>
    </row>
    <row r="697" spans="1:11" x14ac:dyDescent="0.2">
      <c r="A697">
        <f t="shared" si="10"/>
        <v>2311160</v>
      </c>
      <c r="B697">
        <v>2015</v>
      </c>
      <c r="C697" t="s">
        <v>642</v>
      </c>
      <c r="D697" t="s">
        <v>644</v>
      </c>
      <c r="E697" t="s">
        <v>646</v>
      </c>
      <c r="F697" s="1" t="s">
        <v>515</v>
      </c>
      <c r="G697" t="s">
        <v>142</v>
      </c>
      <c r="H697">
        <v>57253</v>
      </c>
      <c r="I697">
        <v>1097748.4616313579</v>
      </c>
      <c r="J697">
        <v>1155001.4616313579</v>
      </c>
      <c r="K697">
        <f>IFERROR(VLOOKUP(F697,'LEAID Match'!$A$2:$B$236,2,FALSE),"")</f>
        <v>2311160</v>
      </c>
    </row>
    <row r="698" spans="1:11" x14ac:dyDescent="0.2">
      <c r="A698">
        <f t="shared" si="10"/>
        <v>2311160</v>
      </c>
      <c r="B698">
        <v>2016</v>
      </c>
      <c r="C698" t="s">
        <v>642</v>
      </c>
      <c r="D698" t="s">
        <v>644</v>
      </c>
      <c r="E698" t="s">
        <v>646</v>
      </c>
      <c r="F698" s="1" t="s">
        <v>515</v>
      </c>
      <c r="G698" s="1" t="s">
        <v>142</v>
      </c>
      <c r="H698" s="22">
        <v>45998</v>
      </c>
      <c r="I698">
        <v>874173.69462701725</v>
      </c>
      <c r="J698">
        <v>920171.69462701725</v>
      </c>
      <c r="K698">
        <f>IFERROR(VLOOKUP(F698,'LEAID Match'!$A$2:$B$236,2,FALSE),"")</f>
        <v>2311160</v>
      </c>
    </row>
    <row r="699" spans="1:11" x14ac:dyDescent="0.2">
      <c r="A699">
        <f t="shared" si="10"/>
        <v>2311160</v>
      </c>
      <c r="B699">
        <v>2017</v>
      </c>
      <c r="C699" t="s">
        <v>642</v>
      </c>
      <c r="D699" t="s">
        <v>644</v>
      </c>
      <c r="E699" t="s">
        <v>646</v>
      </c>
      <c r="F699" t="s">
        <v>515</v>
      </c>
      <c r="G699" t="s">
        <v>142</v>
      </c>
      <c r="H699">
        <v>49452</v>
      </c>
      <c r="I699">
        <v>942920.96258159855</v>
      </c>
      <c r="J699">
        <v>992372.96258159855</v>
      </c>
      <c r="K699">
        <f>IFERROR(VLOOKUP(F699,'LEAID Match'!$A$2:$B$236,2,FALSE),"")</f>
        <v>2311160</v>
      </c>
    </row>
    <row r="700" spans="1:11" x14ac:dyDescent="0.2">
      <c r="A700">
        <f t="shared" si="10"/>
        <v>2311160</v>
      </c>
      <c r="B700">
        <v>2018</v>
      </c>
      <c r="C700" t="s">
        <v>642</v>
      </c>
      <c r="D700" t="s">
        <v>644</v>
      </c>
      <c r="E700" t="s">
        <v>646</v>
      </c>
      <c r="F700" t="s">
        <v>515</v>
      </c>
      <c r="G700" t="s">
        <v>142</v>
      </c>
      <c r="H700">
        <v>51836</v>
      </c>
      <c r="I700">
        <v>1050679.11493424</v>
      </c>
      <c r="J700">
        <v>1102515.11493424</v>
      </c>
      <c r="K700">
        <f>IFERROR(VLOOKUP(F700,'LEAID Match'!$A$2:$B$236,2,FALSE),"")</f>
        <v>2311160</v>
      </c>
    </row>
    <row r="701" spans="1:11" x14ac:dyDescent="0.2">
      <c r="A701">
        <f t="shared" si="10"/>
        <v>2311160</v>
      </c>
      <c r="B701">
        <v>2019</v>
      </c>
      <c r="C701" t="s">
        <v>642</v>
      </c>
      <c r="D701" t="s">
        <v>644</v>
      </c>
      <c r="E701" t="s">
        <v>646</v>
      </c>
      <c r="F701" t="s">
        <v>515</v>
      </c>
      <c r="G701" t="s">
        <v>142</v>
      </c>
      <c r="H701">
        <v>51278</v>
      </c>
      <c r="I701">
        <v>1098581.73866516</v>
      </c>
      <c r="J701">
        <v>1149859.73866516</v>
      </c>
      <c r="K701">
        <f>IFERROR(VLOOKUP(F701,'LEAID Match'!$A$2:$B$236,2,FALSE),"")</f>
        <v>2311160</v>
      </c>
    </row>
    <row r="702" spans="1:11" x14ac:dyDescent="0.2">
      <c r="A702">
        <f t="shared" si="10"/>
        <v>2311160</v>
      </c>
      <c r="B702">
        <v>2020</v>
      </c>
      <c r="C702" t="s">
        <v>642</v>
      </c>
      <c r="D702" t="s">
        <v>644</v>
      </c>
      <c r="E702" t="s">
        <v>646</v>
      </c>
      <c r="F702" t="s">
        <v>515</v>
      </c>
      <c r="G702" t="s">
        <v>142</v>
      </c>
      <c r="H702">
        <v>56331</v>
      </c>
      <c r="I702">
        <v>1255163.2332575298</v>
      </c>
      <c r="J702">
        <v>1311494.2332575298</v>
      </c>
      <c r="K702">
        <f>IFERROR(VLOOKUP(F702,'LEAID Match'!$A$2:$B$236,2,FALSE),"")</f>
        <v>2311160</v>
      </c>
    </row>
    <row r="703" spans="1:11" x14ac:dyDescent="0.2">
      <c r="A703">
        <f t="shared" si="10"/>
        <v>2311160</v>
      </c>
      <c r="B703">
        <v>2021</v>
      </c>
      <c r="C703" t="s">
        <v>642</v>
      </c>
      <c r="D703" t="s">
        <v>644</v>
      </c>
      <c r="E703" t="s">
        <v>646</v>
      </c>
      <c r="F703" t="s">
        <v>515</v>
      </c>
      <c r="G703" t="s">
        <v>142</v>
      </c>
      <c r="H703">
        <v>72420</v>
      </c>
      <c r="I703">
        <v>1216608.9571509378</v>
      </c>
      <c r="J703">
        <v>1289028.9571509378</v>
      </c>
      <c r="K703">
        <f>IFERROR(VLOOKUP(F703,'LEAID Match'!$A$2:$B$236,2,FALSE),"")</f>
        <v>2311160</v>
      </c>
    </row>
    <row r="704" spans="1:11" x14ac:dyDescent="0.2">
      <c r="A704">
        <f t="shared" si="10"/>
        <v>2311160</v>
      </c>
      <c r="B704">
        <v>2022</v>
      </c>
      <c r="C704" t="s">
        <v>642</v>
      </c>
      <c r="D704" t="s">
        <v>644</v>
      </c>
      <c r="E704" t="s">
        <v>646</v>
      </c>
      <c r="F704" t="s">
        <v>515</v>
      </c>
      <c r="G704" t="s">
        <v>142</v>
      </c>
      <c r="H704">
        <v>78832</v>
      </c>
      <c r="I704">
        <v>1134784.4901927302</v>
      </c>
      <c r="J704">
        <v>1213616.4901927302</v>
      </c>
      <c r="K704">
        <f>IFERROR(VLOOKUP(F704,'LEAID Match'!$A$2:$B$236,2,FALSE),"")</f>
        <v>2311160</v>
      </c>
    </row>
    <row r="705" spans="1:11" x14ac:dyDescent="0.2">
      <c r="A705">
        <f t="shared" si="10"/>
        <v>2311280</v>
      </c>
      <c r="B705">
        <v>2015</v>
      </c>
      <c r="C705" t="s">
        <v>642</v>
      </c>
      <c r="D705" t="s">
        <v>644</v>
      </c>
      <c r="E705" t="s">
        <v>646</v>
      </c>
      <c r="F705" t="s">
        <v>516</v>
      </c>
      <c r="G705" t="s">
        <v>143</v>
      </c>
      <c r="I705">
        <v>0</v>
      </c>
      <c r="J705">
        <v>0</v>
      </c>
      <c r="K705">
        <f>IFERROR(VLOOKUP(F705,'LEAID Match'!$A$2:$B$236,2,FALSE),"")</f>
        <v>2311280</v>
      </c>
    </row>
    <row r="706" spans="1:11" x14ac:dyDescent="0.2">
      <c r="A706">
        <f t="shared" si="10"/>
        <v>2311280</v>
      </c>
      <c r="B706">
        <v>2016</v>
      </c>
      <c r="C706" t="s">
        <v>642</v>
      </c>
      <c r="D706" t="s">
        <v>644</v>
      </c>
      <c r="E706" t="s">
        <v>646</v>
      </c>
      <c r="F706" s="1" t="s">
        <v>516</v>
      </c>
      <c r="G706" s="1" t="s">
        <v>143</v>
      </c>
      <c r="H706" s="22"/>
      <c r="I706">
        <v>0</v>
      </c>
      <c r="J706">
        <v>0</v>
      </c>
      <c r="K706">
        <f>IFERROR(VLOOKUP(F706,'LEAID Match'!$A$2:$B$236,2,FALSE),"")</f>
        <v>2311280</v>
      </c>
    </row>
    <row r="707" spans="1:11" x14ac:dyDescent="0.2">
      <c r="A707">
        <f t="shared" ref="A707:A770" si="11">K707</f>
        <v>2311280</v>
      </c>
      <c r="B707">
        <v>2017</v>
      </c>
      <c r="C707" t="s">
        <v>642</v>
      </c>
      <c r="D707" t="s">
        <v>644</v>
      </c>
      <c r="E707" t="s">
        <v>646</v>
      </c>
      <c r="F707" t="s">
        <v>516</v>
      </c>
      <c r="G707" t="s">
        <v>143</v>
      </c>
      <c r="I707">
        <v>0</v>
      </c>
      <c r="J707">
        <v>0</v>
      </c>
      <c r="K707">
        <f>IFERROR(VLOOKUP(F707,'LEAID Match'!$A$2:$B$236,2,FALSE),"")</f>
        <v>2311280</v>
      </c>
    </row>
    <row r="708" spans="1:11" x14ac:dyDescent="0.2">
      <c r="A708">
        <f t="shared" si="11"/>
        <v>2311280</v>
      </c>
      <c r="B708">
        <v>2018</v>
      </c>
      <c r="C708" t="s">
        <v>642</v>
      </c>
      <c r="D708" t="s">
        <v>644</v>
      </c>
      <c r="E708" t="s">
        <v>646</v>
      </c>
      <c r="F708" t="s">
        <v>516</v>
      </c>
      <c r="G708" t="s">
        <v>143</v>
      </c>
      <c r="H708">
        <v>1999</v>
      </c>
      <c r="I708">
        <v>40518.318364718456</v>
      </c>
      <c r="J708">
        <v>42517.318364718456</v>
      </c>
      <c r="K708">
        <f>IFERROR(VLOOKUP(F708,'LEAID Match'!$A$2:$B$236,2,FALSE),"")</f>
        <v>2311280</v>
      </c>
    </row>
    <row r="709" spans="1:11" x14ac:dyDescent="0.2">
      <c r="A709">
        <f t="shared" si="11"/>
        <v>2311280</v>
      </c>
      <c r="B709">
        <v>2019</v>
      </c>
      <c r="C709" t="s">
        <v>642</v>
      </c>
      <c r="D709" t="s">
        <v>644</v>
      </c>
      <c r="E709" t="s">
        <v>646</v>
      </c>
      <c r="F709" t="s">
        <v>516</v>
      </c>
      <c r="G709" t="s">
        <v>143</v>
      </c>
      <c r="H709">
        <v>4661</v>
      </c>
      <c r="I709">
        <v>99857.433673667285</v>
      </c>
      <c r="J709">
        <v>104518.43367366728</v>
      </c>
      <c r="K709">
        <f>IFERROR(VLOOKUP(F709,'LEAID Match'!$A$2:$B$236,2,FALSE),"")</f>
        <v>2311280</v>
      </c>
    </row>
    <row r="710" spans="1:11" x14ac:dyDescent="0.2">
      <c r="A710">
        <f t="shared" si="11"/>
        <v>2311280</v>
      </c>
      <c r="B710">
        <v>2020</v>
      </c>
      <c r="C710" t="s">
        <v>642</v>
      </c>
      <c r="D710" t="s">
        <v>644</v>
      </c>
      <c r="E710" t="s">
        <v>646</v>
      </c>
      <c r="F710" t="s">
        <v>516</v>
      </c>
      <c r="G710" t="s">
        <v>143</v>
      </c>
      <c r="H710">
        <v>10227</v>
      </c>
      <c r="I710">
        <v>227877.26805000371</v>
      </c>
      <c r="J710">
        <v>238104.26805000371</v>
      </c>
      <c r="K710">
        <f>IFERROR(VLOOKUP(F710,'LEAID Match'!$A$2:$B$236,2,FALSE),"")</f>
        <v>2311280</v>
      </c>
    </row>
    <row r="711" spans="1:11" x14ac:dyDescent="0.2">
      <c r="A711">
        <f t="shared" si="11"/>
        <v>2311280</v>
      </c>
      <c r="B711">
        <v>2021</v>
      </c>
      <c r="C711" t="s">
        <v>642</v>
      </c>
      <c r="D711" t="s">
        <v>644</v>
      </c>
      <c r="E711" t="s">
        <v>646</v>
      </c>
      <c r="F711" t="s">
        <v>516</v>
      </c>
      <c r="G711" t="s">
        <v>143</v>
      </c>
      <c r="H711">
        <v>14535</v>
      </c>
      <c r="I711">
        <v>244178.55830142059</v>
      </c>
      <c r="J711">
        <v>258713.55830142059</v>
      </c>
      <c r="K711">
        <f>IFERROR(VLOOKUP(F711,'LEAID Match'!$A$2:$B$236,2,FALSE),"")</f>
        <v>2311280</v>
      </c>
    </row>
    <row r="712" spans="1:11" x14ac:dyDescent="0.2">
      <c r="A712">
        <f t="shared" si="11"/>
        <v>2311280</v>
      </c>
      <c r="B712">
        <v>2022</v>
      </c>
      <c r="C712" t="s">
        <v>642</v>
      </c>
      <c r="D712" t="s">
        <v>644</v>
      </c>
      <c r="E712" t="s">
        <v>646</v>
      </c>
      <c r="F712" t="s">
        <v>516</v>
      </c>
      <c r="G712" t="s">
        <v>143</v>
      </c>
      <c r="H712">
        <v>16245</v>
      </c>
      <c r="I712">
        <v>233846.33198676811</v>
      </c>
      <c r="J712">
        <v>250091.33198676811</v>
      </c>
      <c r="K712">
        <f>IFERROR(VLOOKUP(F712,'LEAID Match'!$A$2:$B$236,2,FALSE),"")</f>
        <v>2311280</v>
      </c>
    </row>
    <row r="713" spans="1:11" x14ac:dyDescent="0.2">
      <c r="A713">
        <f t="shared" si="11"/>
        <v>2311310</v>
      </c>
      <c r="B713">
        <v>2015</v>
      </c>
      <c r="C713" t="s">
        <v>642</v>
      </c>
      <c r="D713" t="s">
        <v>644</v>
      </c>
      <c r="E713" t="s">
        <v>646</v>
      </c>
      <c r="F713" t="s">
        <v>517</v>
      </c>
      <c r="G713" t="s">
        <v>144</v>
      </c>
      <c r="H713">
        <v>6139</v>
      </c>
      <c r="I713">
        <v>117706.98139756704</v>
      </c>
      <c r="J713">
        <v>123845.98139756704</v>
      </c>
      <c r="K713">
        <f>IFERROR(VLOOKUP(F713,'LEAID Match'!$A$2:$B$236,2,FALSE),"")</f>
        <v>2311310</v>
      </c>
    </row>
    <row r="714" spans="1:11" x14ac:dyDescent="0.2">
      <c r="A714">
        <f t="shared" si="11"/>
        <v>2311310</v>
      </c>
      <c r="B714">
        <v>2016</v>
      </c>
      <c r="C714" t="s">
        <v>642</v>
      </c>
      <c r="D714" t="s">
        <v>644</v>
      </c>
      <c r="E714" t="s">
        <v>646</v>
      </c>
      <c r="F714" s="1" t="s">
        <v>517</v>
      </c>
      <c r="G714" s="1" t="s">
        <v>144</v>
      </c>
      <c r="H714" s="22">
        <v>6034</v>
      </c>
      <c r="I714">
        <v>114673.7700199883</v>
      </c>
      <c r="J714">
        <v>120707.7700199883</v>
      </c>
      <c r="K714">
        <f>IFERROR(VLOOKUP(F714,'LEAID Match'!$A$2:$B$236,2,FALSE),"")</f>
        <v>2311310</v>
      </c>
    </row>
    <row r="715" spans="1:11" x14ac:dyDescent="0.2">
      <c r="A715">
        <f t="shared" si="11"/>
        <v>2311310</v>
      </c>
      <c r="B715">
        <v>2017</v>
      </c>
      <c r="C715" t="s">
        <v>642</v>
      </c>
      <c r="D715" t="s">
        <v>644</v>
      </c>
      <c r="E715" t="s">
        <v>646</v>
      </c>
      <c r="F715" t="s">
        <v>517</v>
      </c>
      <c r="G715" t="s">
        <v>144</v>
      </c>
      <c r="H715">
        <v>6654</v>
      </c>
      <c r="I715">
        <v>126874.46584603164</v>
      </c>
      <c r="J715">
        <v>133528.46584603164</v>
      </c>
      <c r="K715">
        <f>IFERROR(VLOOKUP(F715,'LEAID Match'!$A$2:$B$236,2,FALSE),"")</f>
        <v>2311310</v>
      </c>
    </row>
    <row r="716" spans="1:11" x14ac:dyDescent="0.2">
      <c r="A716">
        <f t="shared" si="11"/>
        <v>2311310</v>
      </c>
      <c r="B716">
        <v>2018</v>
      </c>
      <c r="C716" t="s">
        <v>642</v>
      </c>
      <c r="D716" t="s">
        <v>644</v>
      </c>
      <c r="E716" t="s">
        <v>646</v>
      </c>
      <c r="F716" t="s">
        <v>517</v>
      </c>
      <c r="G716" t="s">
        <v>144</v>
      </c>
      <c r="H716">
        <v>7565</v>
      </c>
      <c r="I716">
        <v>153337.20781845678</v>
      </c>
      <c r="J716">
        <v>160902.20781845678</v>
      </c>
      <c r="K716">
        <f>IFERROR(VLOOKUP(F716,'LEAID Match'!$A$2:$B$236,2,FALSE),"")</f>
        <v>2311310</v>
      </c>
    </row>
    <row r="717" spans="1:11" x14ac:dyDescent="0.2">
      <c r="A717">
        <f t="shared" si="11"/>
        <v>2311310</v>
      </c>
      <c r="B717">
        <v>2019</v>
      </c>
      <c r="C717" t="s">
        <v>642</v>
      </c>
      <c r="D717" t="s">
        <v>644</v>
      </c>
      <c r="E717" t="s">
        <v>646</v>
      </c>
      <c r="F717" t="s">
        <v>517</v>
      </c>
      <c r="G717" t="s">
        <v>144</v>
      </c>
      <c r="H717">
        <v>7638</v>
      </c>
      <c r="I717">
        <v>163636.79004494115</v>
      </c>
      <c r="J717">
        <v>171274.79004494115</v>
      </c>
      <c r="K717">
        <f>IFERROR(VLOOKUP(F717,'LEAID Match'!$A$2:$B$236,2,FALSE),"")</f>
        <v>2311310</v>
      </c>
    </row>
    <row r="718" spans="1:11" x14ac:dyDescent="0.2">
      <c r="A718">
        <f t="shared" si="11"/>
        <v>2311310</v>
      </c>
      <c r="B718">
        <v>2020</v>
      </c>
      <c r="C718" t="s">
        <v>642</v>
      </c>
      <c r="D718" t="s">
        <v>644</v>
      </c>
      <c r="E718" t="s">
        <v>646</v>
      </c>
      <c r="F718" t="s">
        <v>517</v>
      </c>
      <c r="G718" t="s">
        <v>144</v>
      </c>
      <c r="H718">
        <v>7910</v>
      </c>
      <c r="I718">
        <v>176250.04305031087</v>
      </c>
      <c r="J718">
        <v>184160.04305031087</v>
      </c>
      <c r="K718">
        <f>IFERROR(VLOOKUP(F718,'LEAID Match'!$A$2:$B$236,2,FALSE),"")</f>
        <v>2311310</v>
      </c>
    </row>
    <row r="719" spans="1:11" x14ac:dyDescent="0.2">
      <c r="A719">
        <f t="shared" si="11"/>
        <v>2311310</v>
      </c>
      <c r="B719">
        <v>2021</v>
      </c>
      <c r="C719" t="s">
        <v>642</v>
      </c>
      <c r="D719" t="s">
        <v>644</v>
      </c>
      <c r="E719" t="s">
        <v>646</v>
      </c>
      <c r="F719" t="s">
        <v>517</v>
      </c>
      <c r="G719" t="s">
        <v>144</v>
      </c>
      <c r="H719">
        <v>12707</v>
      </c>
      <c r="I719">
        <v>213469.34574036131</v>
      </c>
      <c r="J719">
        <v>226176.34574036131</v>
      </c>
      <c r="K719">
        <f>IFERROR(VLOOKUP(F719,'LEAID Match'!$A$2:$B$236,2,FALSE),"")</f>
        <v>2311310</v>
      </c>
    </row>
    <row r="720" spans="1:11" x14ac:dyDescent="0.2">
      <c r="A720">
        <f t="shared" si="11"/>
        <v>2311310</v>
      </c>
      <c r="B720">
        <v>2022</v>
      </c>
      <c r="C720" t="s">
        <v>642</v>
      </c>
      <c r="D720" t="s">
        <v>644</v>
      </c>
      <c r="E720" t="s">
        <v>646</v>
      </c>
      <c r="F720" t="s">
        <v>517</v>
      </c>
      <c r="G720" t="s">
        <v>144</v>
      </c>
      <c r="H720">
        <v>26035</v>
      </c>
      <c r="I720">
        <v>374773.11500618694</v>
      </c>
      <c r="J720">
        <v>400808.11500618694</v>
      </c>
      <c r="K720">
        <f>IFERROR(VLOOKUP(F720,'LEAID Match'!$A$2:$B$236,2,FALSE),"")</f>
        <v>2311310</v>
      </c>
    </row>
    <row r="721" spans="1:11" x14ac:dyDescent="0.2">
      <c r="A721">
        <f t="shared" si="11"/>
        <v>2311370</v>
      </c>
      <c r="B721">
        <v>2015</v>
      </c>
      <c r="C721" t="s">
        <v>642</v>
      </c>
      <c r="D721" t="s">
        <v>644</v>
      </c>
      <c r="E721" t="s">
        <v>646</v>
      </c>
      <c r="F721" t="s">
        <v>518</v>
      </c>
      <c r="G721" t="s">
        <v>145</v>
      </c>
      <c r="H721">
        <v>17717</v>
      </c>
      <c r="I721">
        <v>339699.39557268209</v>
      </c>
      <c r="J721">
        <v>357416.39557268209</v>
      </c>
      <c r="K721">
        <f>IFERROR(VLOOKUP(F721,'LEAID Match'!$A$2:$B$236,2,FALSE),"")</f>
        <v>2311370</v>
      </c>
    </row>
    <row r="722" spans="1:11" x14ac:dyDescent="0.2">
      <c r="A722">
        <f t="shared" si="11"/>
        <v>2311370</v>
      </c>
      <c r="B722">
        <v>2016</v>
      </c>
      <c r="C722" t="s">
        <v>642</v>
      </c>
      <c r="D722" t="s">
        <v>644</v>
      </c>
      <c r="E722" t="s">
        <v>646</v>
      </c>
      <c r="F722" s="1" t="s">
        <v>518</v>
      </c>
      <c r="G722" s="1" t="s">
        <v>145</v>
      </c>
      <c r="H722" s="22">
        <v>19120</v>
      </c>
      <c r="I722">
        <v>363367.99515780184</v>
      </c>
      <c r="J722">
        <v>382487.99515780184</v>
      </c>
      <c r="K722">
        <f>IFERROR(VLOOKUP(F722,'LEAID Match'!$A$2:$B$236,2,FALSE),"")</f>
        <v>2311370</v>
      </c>
    </row>
    <row r="723" spans="1:11" x14ac:dyDescent="0.2">
      <c r="A723">
        <f t="shared" si="11"/>
        <v>2311370</v>
      </c>
      <c r="B723">
        <v>2017</v>
      </c>
      <c r="C723" t="s">
        <v>642</v>
      </c>
      <c r="D723" t="s">
        <v>644</v>
      </c>
      <c r="E723" t="s">
        <v>646</v>
      </c>
      <c r="F723" t="s">
        <v>518</v>
      </c>
      <c r="G723" t="s">
        <v>145</v>
      </c>
      <c r="H723">
        <v>16492</v>
      </c>
      <c r="I723">
        <v>314459.52671066334</v>
      </c>
      <c r="J723">
        <v>330951.52671066334</v>
      </c>
      <c r="K723">
        <f>IFERROR(VLOOKUP(F723,'LEAID Match'!$A$2:$B$236,2,FALSE),"")</f>
        <v>2311370</v>
      </c>
    </row>
    <row r="724" spans="1:11" x14ac:dyDescent="0.2">
      <c r="A724">
        <f t="shared" si="11"/>
        <v>2311370</v>
      </c>
      <c r="B724">
        <v>2018</v>
      </c>
      <c r="C724" t="s">
        <v>642</v>
      </c>
      <c r="D724" t="s">
        <v>644</v>
      </c>
      <c r="E724" t="s">
        <v>646</v>
      </c>
      <c r="F724" t="s">
        <v>518</v>
      </c>
      <c r="G724" t="s">
        <v>145</v>
      </c>
      <c r="H724">
        <v>15039</v>
      </c>
      <c r="I724">
        <v>304829.90989844967</v>
      </c>
      <c r="J724">
        <v>319868.90989844967</v>
      </c>
      <c r="K724">
        <f>IFERROR(VLOOKUP(F724,'LEAID Match'!$A$2:$B$236,2,FALSE),"")</f>
        <v>2311370</v>
      </c>
    </row>
    <row r="725" spans="1:11" x14ac:dyDescent="0.2">
      <c r="A725">
        <f t="shared" si="11"/>
        <v>2311370</v>
      </c>
      <c r="B725">
        <v>2019</v>
      </c>
      <c r="C725" t="s">
        <v>642</v>
      </c>
      <c r="D725" t="s">
        <v>644</v>
      </c>
      <c r="E725" t="s">
        <v>646</v>
      </c>
      <c r="F725" t="s">
        <v>518</v>
      </c>
      <c r="G725" t="s">
        <v>145</v>
      </c>
      <c r="H725">
        <v>23305</v>
      </c>
      <c r="I725">
        <v>499287.1683683364</v>
      </c>
      <c r="J725">
        <v>522592.1683683364</v>
      </c>
      <c r="K725">
        <f>IFERROR(VLOOKUP(F725,'LEAID Match'!$A$2:$B$236,2,FALSE),"")</f>
        <v>2311370</v>
      </c>
    </row>
    <row r="726" spans="1:11" x14ac:dyDescent="0.2">
      <c r="A726">
        <f t="shared" si="11"/>
        <v>2311370</v>
      </c>
      <c r="B726">
        <v>2020</v>
      </c>
      <c r="C726" t="s">
        <v>642</v>
      </c>
      <c r="D726" t="s">
        <v>644</v>
      </c>
      <c r="E726" t="s">
        <v>646</v>
      </c>
      <c r="F726" t="s">
        <v>518</v>
      </c>
      <c r="G726" t="s">
        <v>145</v>
      </c>
      <c r="H726">
        <v>28142</v>
      </c>
      <c r="I726">
        <v>627057.99134283792</v>
      </c>
      <c r="J726">
        <v>655199.99134283792</v>
      </c>
      <c r="K726">
        <f>IFERROR(VLOOKUP(F726,'LEAID Match'!$A$2:$B$236,2,FALSE),"")</f>
        <v>2311370</v>
      </c>
    </row>
    <row r="727" spans="1:11" x14ac:dyDescent="0.2">
      <c r="A727">
        <f t="shared" si="11"/>
        <v>2311370</v>
      </c>
      <c r="B727">
        <v>2021</v>
      </c>
      <c r="C727" t="s">
        <v>642</v>
      </c>
      <c r="D727" t="s">
        <v>644</v>
      </c>
      <c r="E727" t="s">
        <v>646</v>
      </c>
      <c r="F727" t="s">
        <v>518</v>
      </c>
      <c r="G727" t="s">
        <v>145</v>
      </c>
      <c r="H727">
        <v>96256</v>
      </c>
      <c r="I727">
        <v>1617038.2736746848</v>
      </c>
      <c r="J727">
        <v>1713294.2736746848</v>
      </c>
      <c r="K727">
        <f>IFERROR(VLOOKUP(F727,'LEAID Match'!$A$2:$B$236,2,FALSE),"")</f>
        <v>2311370</v>
      </c>
    </row>
    <row r="728" spans="1:11" x14ac:dyDescent="0.2">
      <c r="A728">
        <f t="shared" si="11"/>
        <v>2311370</v>
      </c>
      <c r="B728">
        <v>2022</v>
      </c>
      <c r="C728" t="s">
        <v>642</v>
      </c>
      <c r="D728" t="s">
        <v>644</v>
      </c>
      <c r="E728" t="s">
        <v>646</v>
      </c>
      <c r="F728" t="s">
        <v>518</v>
      </c>
      <c r="G728" t="s">
        <v>145</v>
      </c>
      <c r="H728">
        <v>141950</v>
      </c>
      <c r="I728">
        <v>2043366.3789179274</v>
      </c>
      <c r="J728">
        <v>2185316.3789179274</v>
      </c>
      <c r="K728">
        <f>IFERROR(VLOOKUP(F728,'LEAID Match'!$A$2:$B$236,2,FALSE),"")</f>
        <v>2311370</v>
      </c>
    </row>
    <row r="729" spans="1:11" x14ac:dyDescent="0.2">
      <c r="A729">
        <f t="shared" si="11"/>
        <v>2311430</v>
      </c>
      <c r="B729">
        <v>2015</v>
      </c>
      <c r="C729" t="s">
        <v>642</v>
      </c>
      <c r="D729" t="s">
        <v>644</v>
      </c>
      <c r="E729" t="s">
        <v>646</v>
      </c>
      <c r="F729" t="s">
        <v>146</v>
      </c>
      <c r="G729" t="s">
        <v>147</v>
      </c>
      <c r="H729">
        <v>26396</v>
      </c>
      <c r="I729">
        <v>506107.42482003249</v>
      </c>
      <c r="J729">
        <v>532503.42482003244</v>
      </c>
      <c r="K729">
        <f>IFERROR(VLOOKUP(F729,'LEAID Match'!$A$2:$B$236,2,FALSE),"")</f>
        <v>2311430</v>
      </c>
    </row>
    <row r="730" spans="1:11" x14ac:dyDescent="0.2">
      <c r="A730">
        <f t="shared" si="11"/>
        <v>2311430</v>
      </c>
      <c r="B730">
        <v>2016</v>
      </c>
      <c r="C730" t="s">
        <v>642</v>
      </c>
      <c r="D730" t="s">
        <v>644</v>
      </c>
      <c r="E730" t="s">
        <v>646</v>
      </c>
      <c r="F730" s="1" t="s">
        <v>146</v>
      </c>
      <c r="G730" s="1" t="s">
        <v>147</v>
      </c>
      <c r="H730" s="22">
        <v>45758</v>
      </c>
      <c r="I730">
        <v>869612.59008528746</v>
      </c>
      <c r="J730">
        <v>915370.59008528746</v>
      </c>
      <c r="K730">
        <f>IFERROR(VLOOKUP(F730,'LEAID Match'!$A$2:$B$236,2,FALSE),"")</f>
        <v>2311430</v>
      </c>
    </row>
    <row r="731" spans="1:11" x14ac:dyDescent="0.2">
      <c r="A731">
        <f t="shared" si="11"/>
        <v>2311430</v>
      </c>
      <c r="B731">
        <v>2017</v>
      </c>
      <c r="C731" t="s">
        <v>642</v>
      </c>
      <c r="D731" t="s">
        <v>644</v>
      </c>
      <c r="E731" t="s">
        <v>646</v>
      </c>
      <c r="F731" t="s">
        <v>146</v>
      </c>
      <c r="G731" t="s">
        <v>147</v>
      </c>
      <c r="H731">
        <v>45855</v>
      </c>
      <c r="I731">
        <v>874335.53221667872</v>
      </c>
      <c r="J731">
        <v>920190.53221667872</v>
      </c>
      <c r="K731">
        <f>IFERROR(VLOOKUP(F731,'LEAID Match'!$A$2:$B$236,2,FALSE),"")</f>
        <v>2311430</v>
      </c>
    </row>
    <row r="732" spans="1:11" x14ac:dyDescent="0.2">
      <c r="A732">
        <f t="shared" si="11"/>
        <v>2311430</v>
      </c>
      <c r="B732">
        <v>2018</v>
      </c>
      <c r="C732" t="s">
        <v>642</v>
      </c>
      <c r="D732" t="s">
        <v>644</v>
      </c>
      <c r="E732" t="s">
        <v>646</v>
      </c>
      <c r="F732" t="s">
        <v>146</v>
      </c>
      <c r="G732" t="s">
        <v>147</v>
      </c>
      <c r="H732">
        <v>38422</v>
      </c>
      <c r="I732">
        <v>778786.80750836036</v>
      </c>
      <c r="J732">
        <v>817208.80750836036</v>
      </c>
      <c r="K732">
        <f>IFERROR(VLOOKUP(F732,'LEAID Match'!$A$2:$B$236,2,FALSE),"")</f>
        <v>2311430</v>
      </c>
    </row>
    <row r="733" spans="1:11" x14ac:dyDescent="0.2">
      <c r="A733">
        <f t="shared" si="11"/>
        <v>2311430</v>
      </c>
      <c r="B733">
        <v>2019</v>
      </c>
      <c r="C733" t="s">
        <v>642</v>
      </c>
      <c r="D733" t="s">
        <v>644</v>
      </c>
      <c r="E733" t="s">
        <v>646</v>
      </c>
      <c r="F733" t="s">
        <v>146</v>
      </c>
      <c r="G733" t="s">
        <v>147</v>
      </c>
      <c r="H733">
        <v>37313</v>
      </c>
      <c r="I733">
        <v>799395.07029940945</v>
      </c>
      <c r="J733">
        <v>836708.07029940945</v>
      </c>
      <c r="K733">
        <f>IFERROR(VLOOKUP(F733,'LEAID Match'!$A$2:$B$236,2,FALSE),"")</f>
        <v>2311430</v>
      </c>
    </row>
    <row r="734" spans="1:11" x14ac:dyDescent="0.2">
      <c r="A734">
        <f t="shared" si="11"/>
        <v>2311430</v>
      </c>
      <c r="B734">
        <v>2020</v>
      </c>
      <c r="C734" t="s">
        <v>642</v>
      </c>
      <c r="D734" t="s">
        <v>644</v>
      </c>
      <c r="E734" t="s">
        <v>646</v>
      </c>
      <c r="F734" t="s">
        <v>146</v>
      </c>
      <c r="G734" t="s">
        <v>147</v>
      </c>
      <c r="H734">
        <v>40814</v>
      </c>
      <c r="I734">
        <v>909414.57105630683</v>
      </c>
      <c r="J734">
        <v>950228.57105630683</v>
      </c>
      <c r="K734">
        <f>IFERROR(VLOOKUP(F734,'LEAID Match'!$A$2:$B$236,2,FALSE),"")</f>
        <v>2311430</v>
      </c>
    </row>
    <row r="735" spans="1:11" x14ac:dyDescent="0.2">
      <c r="A735">
        <f t="shared" si="11"/>
        <v>2311430</v>
      </c>
      <c r="B735">
        <v>2021</v>
      </c>
      <c r="C735" t="s">
        <v>642</v>
      </c>
      <c r="D735" t="s">
        <v>644</v>
      </c>
      <c r="E735" t="s">
        <v>646</v>
      </c>
      <c r="F735" t="s">
        <v>146</v>
      </c>
      <c r="G735" t="s">
        <v>147</v>
      </c>
      <c r="H735">
        <v>53701</v>
      </c>
      <c r="I735">
        <v>902141.91670757392</v>
      </c>
      <c r="J735">
        <v>955842.91670757392</v>
      </c>
      <c r="K735">
        <f>IFERROR(VLOOKUP(F735,'LEAID Match'!$A$2:$B$236,2,FALSE),"")</f>
        <v>2311430</v>
      </c>
    </row>
    <row r="736" spans="1:11" x14ac:dyDescent="0.2">
      <c r="A736">
        <f t="shared" si="11"/>
        <v>2311430</v>
      </c>
      <c r="B736">
        <v>2022</v>
      </c>
      <c r="C736" t="s">
        <v>642</v>
      </c>
      <c r="D736" t="s">
        <v>644</v>
      </c>
      <c r="E736" t="s">
        <v>646</v>
      </c>
      <c r="F736" t="s">
        <v>146</v>
      </c>
      <c r="G736" t="s">
        <v>147</v>
      </c>
      <c r="H736">
        <v>86516</v>
      </c>
      <c r="I736">
        <v>1245395.4606443355</v>
      </c>
      <c r="J736">
        <v>1331911.4606443355</v>
      </c>
      <c r="K736">
        <f>IFERROR(VLOOKUP(F736,'LEAID Match'!$A$2:$B$236,2,FALSE),"")</f>
        <v>2311430</v>
      </c>
    </row>
    <row r="737" spans="1:11" x14ac:dyDescent="0.2">
      <c r="A737">
        <f t="shared" si="11"/>
        <v>2311550</v>
      </c>
      <c r="B737">
        <v>2015</v>
      </c>
      <c r="C737" t="s">
        <v>642</v>
      </c>
      <c r="D737" t="s">
        <v>644</v>
      </c>
      <c r="E737" t="s">
        <v>646</v>
      </c>
      <c r="F737" t="s">
        <v>519</v>
      </c>
      <c r="G737" t="s">
        <v>148</v>
      </c>
      <c r="H737">
        <v>91643</v>
      </c>
      <c r="I737">
        <v>1757129.9716920077</v>
      </c>
      <c r="J737">
        <v>1848772.9716920077</v>
      </c>
      <c r="K737">
        <f>IFERROR(VLOOKUP(F737,'LEAID Match'!$A$2:$B$236,2,FALSE),"")</f>
        <v>2311550</v>
      </c>
    </row>
    <row r="738" spans="1:11" x14ac:dyDescent="0.2">
      <c r="A738">
        <f t="shared" si="11"/>
        <v>2311550</v>
      </c>
      <c r="B738">
        <v>2016</v>
      </c>
      <c r="C738" t="s">
        <v>642</v>
      </c>
      <c r="D738" t="s">
        <v>644</v>
      </c>
      <c r="E738" t="s">
        <v>646</v>
      </c>
      <c r="F738" s="1" t="s">
        <v>519</v>
      </c>
      <c r="G738" s="1" t="s">
        <v>148</v>
      </c>
      <c r="H738" s="22">
        <v>72522</v>
      </c>
      <c r="I738">
        <v>1378251.7648971812</v>
      </c>
      <c r="J738">
        <v>1450773.7648971812</v>
      </c>
      <c r="K738">
        <f>IFERROR(VLOOKUP(F738,'LEAID Match'!$A$2:$B$236,2,FALSE),"")</f>
        <v>2311550</v>
      </c>
    </row>
    <row r="739" spans="1:11" x14ac:dyDescent="0.2">
      <c r="A739">
        <f t="shared" si="11"/>
        <v>2311550</v>
      </c>
      <c r="B739">
        <v>2017</v>
      </c>
      <c r="C739" t="s">
        <v>642</v>
      </c>
      <c r="D739" t="s">
        <v>644</v>
      </c>
      <c r="E739" t="s">
        <v>646</v>
      </c>
      <c r="F739" t="s">
        <v>519</v>
      </c>
      <c r="G739" t="s">
        <v>148</v>
      </c>
      <c r="H739">
        <v>68383</v>
      </c>
      <c r="I739">
        <v>1303885.8728507936</v>
      </c>
      <c r="J739">
        <v>1372268.8728507936</v>
      </c>
      <c r="K739">
        <f>IFERROR(VLOOKUP(F739,'LEAID Match'!$A$2:$B$236,2,FALSE),"")</f>
        <v>2311550</v>
      </c>
    </row>
    <row r="740" spans="1:11" x14ac:dyDescent="0.2">
      <c r="A740">
        <f t="shared" si="11"/>
        <v>2311550</v>
      </c>
      <c r="B740">
        <v>2018</v>
      </c>
      <c r="C740" t="s">
        <v>642</v>
      </c>
      <c r="D740" t="s">
        <v>644</v>
      </c>
      <c r="E740" t="s">
        <v>646</v>
      </c>
      <c r="F740" t="s">
        <v>519</v>
      </c>
      <c r="G740" t="s">
        <v>148</v>
      </c>
      <c r="H740">
        <v>78118</v>
      </c>
      <c r="I740">
        <v>1583396.6953552158</v>
      </c>
      <c r="J740">
        <v>1661514.6953552158</v>
      </c>
      <c r="K740">
        <f>IFERROR(VLOOKUP(F740,'LEAID Match'!$A$2:$B$236,2,FALSE),"")</f>
        <v>2311550</v>
      </c>
    </row>
    <row r="741" spans="1:11" x14ac:dyDescent="0.2">
      <c r="A741">
        <f t="shared" si="11"/>
        <v>2311550</v>
      </c>
      <c r="B741">
        <v>2019</v>
      </c>
      <c r="C741" t="s">
        <v>642</v>
      </c>
      <c r="D741" t="s">
        <v>644</v>
      </c>
      <c r="E741" t="s">
        <v>646</v>
      </c>
      <c r="F741" t="s">
        <v>519</v>
      </c>
      <c r="G741" t="s">
        <v>148</v>
      </c>
      <c r="H741">
        <v>67541</v>
      </c>
      <c r="I741">
        <v>1447000.8426846517</v>
      </c>
      <c r="J741">
        <v>1514541.8426846517</v>
      </c>
      <c r="K741">
        <f>IFERROR(VLOOKUP(F741,'LEAID Match'!$A$2:$B$236,2,FALSE),"")</f>
        <v>2311550</v>
      </c>
    </row>
    <row r="742" spans="1:11" x14ac:dyDescent="0.2">
      <c r="A742">
        <f t="shared" si="11"/>
        <v>2311550</v>
      </c>
      <c r="B742">
        <v>2020</v>
      </c>
      <c r="C742" t="s">
        <v>642</v>
      </c>
      <c r="D742" t="s">
        <v>644</v>
      </c>
      <c r="E742" t="s">
        <v>646</v>
      </c>
      <c r="F742" t="s">
        <v>519</v>
      </c>
      <c r="G742" t="s">
        <v>148</v>
      </c>
      <c r="H742">
        <v>81954</v>
      </c>
      <c r="I742">
        <v>1826093.0503344093</v>
      </c>
      <c r="J742">
        <v>1908047.0503344093</v>
      </c>
      <c r="K742">
        <f>IFERROR(VLOOKUP(F742,'LEAID Match'!$A$2:$B$236,2,FALSE),"")</f>
        <v>2311550</v>
      </c>
    </row>
    <row r="743" spans="1:11" x14ac:dyDescent="0.2">
      <c r="A743">
        <f t="shared" si="11"/>
        <v>2311550</v>
      </c>
      <c r="B743">
        <v>2021</v>
      </c>
      <c r="C743" t="s">
        <v>642</v>
      </c>
      <c r="D743" t="s">
        <v>644</v>
      </c>
      <c r="E743" t="s">
        <v>646</v>
      </c>
      <c r="F743" t="s">
        <v>519</v>
      </c>
      <c r="G743" t="s">
        <v>148</v>
      </c>
      <c r="H743">
        <v>104912</v>
      </c>
      <c r="I743">
        <v>1762453.4508784753</v>
      </c>
      <c r="J743">
        <v>1867365.4508784753</v>
      </c>
      <c r="K743">
        <f>IFERROR(VLOOKUP(F743,'LEAID Match'!$A$2:$B$236,2,FALSE),"")</f>
        <v>2311550</v>
      </c>
    </row>
    <row r="744" spans="1:11" x14ac:dyDescent="0.2">
      <c r="A744">
        <f t="shared" si="11"/>
        <v>2311550</v>
      </c>
      <c r="B744">
        <v>2022</v>
      </c>
      <c r="C744" t="s">
        <v>642</v>
      </c>
      <c r="D744" t="s">
        <v>644</v>
      </c>
      <c r="E744" t="s">
        <v>646</v>
      </c>
      <c r="F744" t="s">
        <v>519</v>
      </c>
      <c r="G744" t="s">
        <v>148</v>
      </c>
      <c r="H744">
        <v>113871</v>
      </c>
      <c r="I744">
        <v>1639169.9396531407</v>
      </c>
      <c r="J744">
        <v>1753040.9396531407</v>
      </c>
      <c r="K744">
        <f>IFERROR(VLOOKUP(F744,'LEAID Match'!$A$2:$B$236,2,FALSE),"")</f>
        <v>2311550</v>
      </c>
    </row>
    <row r="745" spans="1:11" x14ac:dyDescent="0.2">
      <c r="A745">
        <f t="shared" si="11"/>
        <v>2311610</v>
      </c>
      <c r="B745">
        <v>2015</v>
      </c>
      <c r="C745" t="s">
        <v>642</v>
      </c>
      <c r="D745" t="s">
        <v>644</v>
      </c>
      <c r="E745" t="s">
        <v>646</v>
      </c>
      <c r="F745" t="s">
        <v>520</v>
      </c>
      <c r="G745" t="s">
        <v>149</v>
      </c>
      <c r="H745">
        <v>14877</v>
      </c>
      <c r="I745">
        <v>285246.25545717624</v>
      </c>
      <c r="J745">
        <v>300123.25545717624</v>
      </c>
      <c r="K745">
        <f>IFERROR(VLOOKUP(F745,'LEAID Match'!$A$2:$B$236,2,FALSE),"")</f>
        <v>2311610</v>
      </c>
    </row>
    <row r="746" spans="1:11" x14ac:dyDescent="0.2">
      <c r="A746">
        <f t="shared" si="11"/>
        <v>2311610</v>
      </c>
      <c r="B746">
        <v>2016</v>
      </c>
      <c r="C746" t="s">
        <v>642</v>
      </c>
      <c r="D746" t="s">
        <v>644</v>
      </c>
      <c r="E746" t="s">
        <v>646</v>
      </c>
      <c r="F746" s="1" t="s">
        <v>520</v>
      </c>
      <c r="G746" s="1" t="s">
        <v>149</v>
      </c>
      <c r="H746" s="22">
        <v>9060</v>
      </c>
      <c r="I746">
        <v>172181.69645029731</v>
      </c>
      <c r="J746">
        <v>181241.69645029731</v>
      </c>
      <c r="K746">
        <f>IFERROR(VLOOKUP(F746,'LEAID Match'!$A$2:$B$236,2,FALSE),"")</f>
        <v>2311610</v>
      </c>
    </row>
    <row r="747" spans="1:11" x14ac:dyDescent="0.2">
      <c r="A747">
        <f t="shared" si="11"/>
        <v>2311610</v>
      </c>
      <c r="B747">
        <v>2017</v>
      </c>
      <c r="C747" t="s">
        <v>642</v>
      </c>
      <c r="D747" t="s">
        <v>644</v>
      </c>
      <c r="E747" t="s">
        <v>646</v>
      </c>
      <c r="F747" t="s">
        <v>520</v>
      </c>
      <c r="G747" t="s">
        <v>149</v>
      </c>
      <c r="H747">
        <v>6809</v>
      </c>
      <c r="I747">
        <v>129829.91252564314</v>
      </c>
      <c r="J747">
        <v>136638.91252564313</v>
      </c>
      <c r="K747">
        <f>IFERROR(VLOOKUP(F747,'LEAID Match'!$A$2:$B$236,2,FALSE),"")</f>
        <v>2311610</v>
      </c>
    </row>
    <row r="748" spans="1:11" x14ac:dyDescent="0.2">
      <c r="A748">
        <f t="shared" si="11"/>
        <v>2311610</v>
      </c>
      <c r="B748">
        <v>2018</v>
      </c>
      <c r="C748" t="s">
        <v>642</v>
      </c>
      <c r="D748" t="s">
        <v>644</v>
      </c>
      <c r="E748" t="s">
        <v>646</v>
      </c>
      <c r="F748" t="s">
        <v>520</v>
      </c>
      <c r="G748" t="s">
        <v>149</v>
      </c>
      <c r="H748">
        <v>5855</v>
      </c>
      <c r="I748">
        <v>118676.71537039848</v>
      </c>
      <c r="J748">
        <v>124531.71537039848</v>
      </c>
      <c r="K748">
        <f>IFERROR(VLOOKUP(F748,'LEAID Match'!$A$2:$B$236,2,FALSE),"")</f>
        <v>2311610</v>
      </c>
    </row>
    <row r="749" spans="1:11" x14ac:dyDescent="0.2">
      <c r="A749">
        <f t="shared" si="11"/>
        <v>2311610</v>
      </c>
      <c r="B749">
        <v>2019</v>
      </c>
      <c r="C749" t="s">
        <v>642</v>
      </c>
      <c r="D749" t="s">
        <v>644</v>
      </c>
      <c r="E749" t="s">
        <v>646</v>
      </c>
      <c r="F749" t="s">
        <v>520</v>
      </c>
      <c r="G749" t="s">
        <v>149</v>
      </c>
      <c r="H749">
        <v>7134</v>
      </c>
      <c r="I749">
        <v>152839.07569790652</v>
      </c>
      <c r="J749">
        <v>159973.07569790652</v>
      </c>
      <c r="K749">
        <f>IFERROR(VLOOKUP(F749,'LEAID Match'!$A$2:$B$236,2,FALSE),"")</f>
        <v>2311610</v>
      </c>
    </row>
    <row r="750" spans="1:11" x14ac:dyDescent="0.2">
      <c r="A750">
        <f t="shared" si="11"/>
        <v>2311610</v>
      </c>
      <c r="B750">
        <v>2020</v>
      </c>
      <c r="C750" t="s">
        <v>642</v>
      </c>
      <c r="D750" t="s">
        <v>644</v>
      </c>
      <c r="E750" t="s">
        <v>646</v>
      </c>
      <c r="F750" t="s">
        <v>520</v>
      </c>
      <c r="G750" t="s">
        <v>149</v>
      </c>
      <c r="H750">
        <v>9548</v>
      </c>
      <c r="I750">
        <v>212747.83957577345</v>
      </c>
      <c r="J750">
        <v>222295.83957577345</v>
      </c>
      <c r="K750">
        <f>IFERROR(VLOOKUP(F750,'LEAID Match'!$A$2:$B$236,2,FALSE),"")</f>
        <v>2311610</v>
      </c>
    </row>
    <row r="751" spans="1:11" x14ac:dyDescent="0.2">
      <c r="A751">
        <f t="shared" si="11"/>
        <v>2311610</v>
      </c>
      <c r="B751">
        <v>2021</v>
      </c>
      <c r="C751" t="s">
        <v>642</v>
      </c>
      <c r="D751" t="s">
        <v>644</v>
      </c>
      <c r="E751" t="s">
        <v>646</v>
      </c>
      <c r="F751" t="s">
        <v>520</v>
      </c>
      <c r="G751" t="s">
        <v>149</v>
      </c>
      <c r="H751">
        <v>15461</v>
      </c>
      <c r="I751">
        <v>259734.75678694627</v>
      </c>
      <c r="J751">
        <v>275195.75678694627</v>
      </c>
      <c r="K751">
        <f>IFERROR(VLOOKUP(F751,'LEAID Match'!$A$2:$B$236,2,FALSE),"")</f>
        <v>2311610</v>
      </c>
    </row>
    <row r="752" spans="1:11" x14ac:dyDescent="0.2">
      <c r="A752">
        <f t="shared" si="11"/>
        <v>2311610</v>
      </c>
      <c r="B752">
        <v>2022</v>
      </c>
      <c r="C752" t="s">
        <v>642</v>
      </c>
      <c r="D752" t="s">
        <v>644</v>
      </c>
      <c r="E752" t="s">
        <v>646</v>
      </c>
      <c r="F752" t="s">
        <v>520</v>
      </c>
      <c r="G752" t="s">
        <v>149</v>
      </c>
      <c r="H752">
        <v>20710</v>
      </c>
      <c r="I752">
        <v>298119.88522289734</v>
      </c>
      <c r="J752">
        <v>318829.88522289734</v>
      </c>
      <c r="K752">
        <f>IFERROR(VLOOKUP(F752,'LEAID Match'!$A$2:$B$236,2,FALSE),"")</f>
        <v>2311610</v>
      </c>
    </row>
    <row r="753" spans="1:11" x14ac:dyDescent="0.2">
      <c r="A753">
        <f t="shared" si="11"/>
        <v>2311670</v>
      </c>
      <c r="B753">
        <v>2015</v>
      </c>
      <c r="C753" t="s">
        <v>642</v>
      </c>
      <c r="D753" t="s">
        <v>644</v>
      </c>
      <c r="E753" t="s">
        <v>646</v>
      </c>
      <c r="F753" t="s">
        <v>521</v>
      </c>
      <c r="G753" t="s">
        <v>150</v>
      </c>
      <c r="H753">
        <v>59958</v>
      </c>
      <c r="I753">
        <v>1149613.1602272887</v>
      </c>
      <c r="J753">
        <v>1209571.1602272887</v>
      </c>
      <c r="K753">
        <f>IFERROR(VLOOKUP(F753,'LEAID Match'!$A$2:$B$236,2,FALSE),"")</f>
        <v>2311670</v>
      </c>
    </row>
    <row r="754" spans="1:11" x14ac:dyDescent="0.2">
      <c r="A754">
        <f t="shared" si="11"/>
        <v>2311670</v>
      </c>
      <c r="B754">
        <v>2016</v>
      </c>
      <c r="C754" t="s">
        <v>642</v>
      </c>
      <c r="D754" t="s">
        <v>644</v>
      </c>
      <c r="E754" t="s">
        <v>646</v>
      </c>
      <c r="F754" s="1" t="s">
        <v>521</v>
      </c>
      <c r="G754" s="1" t="s">
        <v>150</v>
      </c>
      <c r="H754" s="22">
        <v>48224</v>
      </c>
      <c r="I754">
        <v>916477.93925156037</v>
      </c>
      <c r="J754">
        <v>964701.93925156037</v>
      </c>
      <c r="K754">
        <f>IFERROR(VLOOKUP(F754,'LEAID Match'!$A$2:$B$236,2,FALSE),"")</f>
        <v>2311670</v>
      </c>
    </row>
    <row r="755" spans="1:11" x14ac:dyDescent="0.2">
      <c r="A755">
        <f t="shared" si="11"/>
        <v>2311670</v>
      </c>
      <c r="B755">
        <v>2017</v>
      </c>
      <c r="C755" t="s">
        <v>642</v>
      </c>
      <c r="D755" t="s">
        <v>644</v>
      </c>
      <c r="E755" t="s">
        <v>646</v>
      </c>
      <c r="F755" t="s">
        <v>521</v>
      </c>
      <c r="G755" t="s">
        <v>150</v>
      </c>
      <c r="H755">
        <v>60269</v>
      </c>
      <c r="I755">
        <v>1149173.0060226151</v>
      </c>
      <c r="J755">
        <v>1209442.0060226151</v>
      </c>
      <c r="K755">
        <f>IFERROR(VLOOKUP(F755,'LEAID Match'!$A$2:$B$236,2,FALSE),"")</f>
        <v>2311670</v>
      </c>
    </row>
    <row r="756" spans="1:11" x14ac:dyDescent="0.2">
      <c r="A756">
        <f t="shared" si="11"/>
        <v>2311670</v>
      </c>
      <c r="B756">
        <v>2018</v>
      </c>
      <c r="C756" t="s">
        <v>642</v>
      </c>
      <c r="D756" t="s">
        <v>644</v>
      </c>
      <c r="E756" t="s">
        <v>646</v>
      </c>
      <c r="F756" t="s">
        <v>521</v>
      </c>
      <c r="G756" t="s">
        <v>150</v>
      </c>
      <c r="H756">
        <v>56741</v>
      </c>
      <c r="I756">
        <v>1150100.0011668284</v>
      </c>
      <c r="J756">
        <v>1206841.0011668284</v>
      </c>
      <c r="K756">
        <f>IFERROR(VLOOKUP(F756,'LEAID Match'!$A$2:$B$236,2,FALSE),"")</f>
        <v>2311670</v>
      </c>
    </row>
    <row r="757" spans="1:11" x14ac:dyDescent="0.2">
      <c r="A757">
        <f t="shared" si="11"/>
        <v>2311670</v>
      </c>
      <c r="B757">
        <v>2019</v>
      </c>
      <c r="C757" t="s">
        <v>642</v>
      </c>
      <c r="D757" t="s">
        <v>644</v>
      </c>
      <c r="E757" t="s">
        <v>646</v>
      </c>
      <c r="F757" t="s">
        <v>521</v>
      </c>
      <c r="G757" t="s">
        <v>150</v>
      </c>
      <c r="H757">
        <v>26144</v>
      </c>
      <c r="I757">
        <v>560110.00771601743</v>
      </c>
      <c r="J757">
        <v>586254.00771601743</v>
      </c>
      <c r="K757">
        <f>IFERROR(VLOOKUP(F757,'LEAID Match'!$A$2:$B$236,2,FALSE),"")</f>
        <v>2311670</v>
      </c>
    </row>
    <row r="758" spans="1:11" x14ac:dyDescent="0.2">
      <c r="A758">
        <f t="shared" si="11"/>
        <v>2311670</v>
      </c>
      <c r="B758">
        <v>2020</v>
      </c>
      <c r="C758" t="s">
        <v>642</v>
      </c>
      <c r="D758" t="s">
        <v>644</v>
      </c>
      <c r="E758" t="s">
        <v>646</v>
      </c>
      <c r="F758" t="s">
        <v>521</v>
      </c>
      <c r="G758" t="s">
        <v>150</v>
      </c>
      <c r="H758">
        <v>41180</v>
      </c>
      <c r="I758">
        <v>917569.75636053109</v>
      </c>
      <c r="J758">
        <v>958749.75636053109</v>
      </c>
      <c r="K758">
        <f>IFERROR(VLOOKUP(F758,'LEAID Match'!$A$2:$B$236,2,FALSE),"")</f>
        <v>2311670</v>
      </c>
    </row>
    <row r="759" spans="1:11" x14ac:dyDescent="0.2">
      <c r="A759">
        <f t="shared" si="11"/>
        <v>2311670</v>
      </c>
      <c r="B759">
        <v>2021</v>
      </c>
      <c r="C759" t="s">
        <v>642</v>
      </c>
      <c r="D759" t="s">
        <v>644</v>
      </c>
      <c r="E759" t="s">
        <v>646</v>
      </c>
      <c r="F759" t="s">
        <v>521</v>
      </c>
      <c r="G759" t="s">
        <v>150</v>
      </c>
      <c r="H759">
        <v>47332</v>
      </c>
      <c r="I759">
        <v>795146.8539059402</v>
      </c>
      <c r="J759">
        <v>842478.8539059402</v>
      </c>
      <c r="K759">
        <f>IFERROR(VLOOKUP(F759,'LEAID Match'!$A$2:$B$236,2,FALSE),"")</f>
        <v>2311670</v>
      </c>
    </row>
    <row r="760" spans="1:11" x14ac:dyDescent="0.2">
      <c r="A760">
        <f t="shared" si="11"/>
        <v>2311670</v>
      </c>
      <c r="B760">
        <v>2022</v>
      </c>
      <c r="C760" t="s">
        <v>642</v>
      </c>
      <c r="D760" t="s">
        <v>644</v>
      </c>
      <c r="E760" t="s">
        <v>646</v>
      </c>
      <c r="F760" t="s">
        <v>521</v>
      </c>
      <c r="G760" t="s">
        <v>150</v>
      </c>
      <c r="H760">
        <v>44474</v>
      </c>
      <c r="I760">
        <v>640202.01716094336</v>
      </c>
      <c r="J760">
        <v>684676.01716094336</v>
      </c>
      <c r="K760">
        <f>IFERROR(VLOOKUP(F760,'LEAID Match'!$A$2:$B$236,2,FALSE),"")</f>
        <v>2311670</v>
      </c>
    </row>
    <row r="761" spans="1:11" x14ac:dyDescent="0.2">
      <c r="A761">
        <f t="shared" si="11"/>
        <v>2311700</v>
      </c>
      <c r="B761">
        <v>2015</v>
      </c>
      <c r="C761" t="s">
        <v>642</v>
      </c>
      <c r="D761" t="s">
        <v>644</v>
      </c>
      <c r="E761" t="s">
        <v>646</v>
      </c>
      <c r="F761" t="s">
        <v>151</v>
      </c>
      <c r="G761" t="s">
        <v>152</v>
      </c>
      <c r="H761">
        <v>13867</v>
      </c>
      <c r="I761">
        <v>265880.87816257734</v>
      </c>
      <c r="J761">
        <v>279747.87816257734</v>
      </c>
      <c r="K761">
        <f>IFERROR(VLOOKUP(F761,'LEAID Match'!$A$2:$B$236,2,FALSE),"")</f>
        <v>2311700</v>
      </c>
    </row>
    <row r="762" spans="1:11" x14ac:dyDescent="0.2">
      <c r="A762">
        <f t="shared" si="11"/>
        <v>2311700</v>
      </c>
      <c r="B762">
        <v>2016</v>
      </c>
      <c r="C762" t="s">
        <v>642</v>
      </c>
      <c r="D762" t="s">
        <v>644</v>
      </c>
      <c r="E762" t="s">
        <v>646</v>
      </c>
      <c r="F762" s="1" t="s">
        <v>151</v>
      </c>
      <c r="G762" s="1" t="s">
        <v>152</v>
      </c>
      <c r="H762" s="22">
        <v>10553</v>
      </c>
      <c r="I762">
        <v>200555.56762030767</v>
      </c>
      <c r="J762">
        <v>211108.56762030767</v>
      </c>
      <c r="K762">
        <f>IFERROR(VLOOKUP(F762,'LEAID Match'!$A$2:$B$236,2,FALSE),"")</f>
        <v>2311700</v>
      </c>
    </row>
    <row r="763" spans="1:11" x14ac:dyDescent="0.2">
      <c r="A763">
        <f t="shared" si="11"/>
        <v>2311700</v>
      </c>
      <c r="B763">
        <v>2017</v>
      </c>
      <c r="C763" t="s">
        <v>642</v>
      </c>
      <c r="D763" t="s">
        <v>644</v>
      </c>
      <c r="E763" t="s">
        <v>646</v>
      </c>
      <c r="F763" t="s">
        <v>151</v>
      </c>
      <c r="G763" t="s">
        <v>152</v>
      </c>
      <c r="H763">
        <v>11612</v>
      </c>
      <c r="I763">
        <v>221410.62479773359</v>
      </c>
      <c r="J763">
        <v>233022.62479773359</v>
      </c>
      <c r="K763">
        <f>IFERROR(VLOOKUP(F763,'LEAID Match'!$A$2:$B$236,2,FALSE),"")</f>
        <v>2311700</v>
      </c>
    </row>
    <row r="764" spans="1:11" x14ac:dyDescent="0.2">
      <c r="A764">
        <f t="shared" si="11"/>
        <v>2311700</v>
      </c>
      <c r="B764">
        <v>2018</v>
      </c>
      <c r="C764" t="s">
        <v>642</v>
      </c>
      <c r="D764" t="s">
        <v>644</v>
      </c>
      <c r="E764" t="s">
        <v>646</v>
      </c>
      <c r="F764" t="s">
        <v>151</v>
      </c>
      <c r="G764" t="s">
        <v>152</v>
      </c>
      <c r="H764">
        <v>19711</v>
      </c>
      <c r="I764">
        <v>399528.05066881713</v>
      </c>
      <c r="J764">
        <v>419239.05066881713</v>
      </c>
      <c r="K764">
        <f>IFERROR(VLOOKUP(F764,'LEAID Match'!$A$2:$B$236,2,FALSE),"")</f>
        <v>2311700</v>
      </c>
    </row>
    <row r="765" spans="1:11" x14ac:dyDescent="0.2">
      <c r="A765">
        <f t="shared" si="11"/>
        <v>2311700</v>
      </c>
      <c r="B765">
        <v>2019</v>
      </c>
      <c r="C765" t="s">
        <v>642</v>
      </c>
      <c r="D765" t="s">
        <v>644</v>
      </c>
      <c r="E765" t="s">
        <v>646</v>
      </c>
      <c r="F765" t="s">
        <v>151</v>
      </c>
      <c r="G765" t="s">
        <v>152</v>
      </c>
      <c r="H765">
        <v>11331</v>
      </c>
      <c r="I765">
        <v>242755.75648065304</v>
      </c>
      <c r="J765">
        <v>254086.75648065304</v>
      </c>
      <c r="K765">
        <f>IFERROR(VLOOKUP(F765,'LEAID Match'!$A$2:$B$236,2,FALSE),"")</f>
        <v>2311700</v>
      </c>
    </row>
    <row r="766" spans="1:11" x14ac:dyDescent="0.2">
      <c r="A766">
        <f t="shared" si="11"/>
        <v>2311700</v>
      </c>
      <c r="B766">
        <v>2020</v>
      </c>
      <c r="C766" t="s">
        <v>642</v>
      </c>
      <c r="D766" t="s">
        <v>644</v>
      </c>
      <c r="E766" t="s">
        <v>646</v>
      </c>
      <c r="F766" t="s">
        <v>151</v>
      </c>
      <c r="G766" t="s">
        <v>152</v>
      </c>
      <c r="H766">
        <v>13438</v>
      </c>
      <c r="I766">
        <v>299424.53584198194</v>
      </c>
      <c r="J766">
        <v>312862.53584198194</v>
      </c>
      <c r="K766">
        <f>IFERROR(VLOOKUP(F766,'LEAID Match'!$A$2:$B$236,2,FALSE),"")</f>
        <v>2311700</v>
      </c>
    </row>
    <row r="767" spans="1:11" x14ac:dyDescent="0.2">
      <c r="A767">
        <f t="shared" si="11"/>
        <v>2311700</v>
      </c>
      <c r="B767">
        <v>2021</v>
      </c>
      <c r="C767" t="s">
        <v>642</v>
      </c>
      <c r="D767" t="s">
        <v>644</v>
      </c>
      <c r="E767" t="s">
        <v>646</v>
      </c>
      <c r="F767" t="s">
        <v>151</v>
      </c>
      <c r="G767" t="s">
        <v>152</v>
      </c>
      <c r="H767">
        <v>20567</v>
      </c>
      <c r="I767">
        <v>345512.24001274974</v>
      </c>
      <c r="J767">
        <v>366079.24001274974</v>
      </c>
      <c r="K767">
        <f>IFERROR(VLOOKUP(F767,'LEAID Match'!$A$2:$B$236,2,FALSE),"")</f>
        <v>2311700</v>
      </c>
    </row>
    <row r="768" spans="1:11" x14ac:dyDescent="0.2">
      <c r="A768">
        <f t="shared" si="11"/>
        <v>2311700</v>
      </c>
      <c r="B768">
        <v>2022</v>
      </c>
      <c r="C768" t="s">
        <v>642</v>
      </c>
      <c r="D768" t="s">
        <v>644</v>
      </c>
      <c r="E768" t="s">
        <v>646</v>
      </c>
      <c r="F768" t="s">
        <v>151</v>
      </c>
      <c r="G768" t="s">
        <v>152</v>
      </c>
      <c r="H768">
        <v>29712</v>
      </c>
      <c r="I768">
        <v>427703.42973166233</v>
      </c>
      <c r="J768">
        <v>457415.42973166233</v>
      </c>
      <c r="K768">
        <f>IFERROR(VLOOKUP(F768,'LEAID Match'!$A$2:$B$236,2,FALSE),"")</f>
        <v>2311700</v>
      </c>
    </row>
    <row r="769" spans="1:11" x14ac:dyDescent="0.2">
      <c r="A769">
        <f t="shared" si="11"/>
        <v>2314330</v>
      </c>
      <c r="B769">
        <v>2015</v>
      </c>
      <c r="C769" t="s">
        <v>642</v>
      </c>
      <c r="D769" t="s">
        <v>644</v>
      </c>
      <c r="E769" t="s">
        <v>646</v>
      </c>
      <c r="F769" t="s">
        <v>522</v>
      </c>
      <c r="G769" t="s">
        <v>153</v>
      </c>
      <c r="H769">
        <v>96385</v>
      </c>
      <c r="I769">
        <v>1848051.3767721939</v>
      </c>
      <c r="J769">
        <v>1944436.3767721939</v>
      </c>
      <c r="K769">
        <f>IFERROR(VLOOKUP(F769,'LEAID Match'!$A$2:$B$236,2,FALSE),"")</f>
        <v>2314330</v>
      </c>
    </row>
    <row r="770" spans="1:11" x14ac:dyDescent="0.2">
      <c r="A770">
        <f t="shared" si="11"/>
        <v>2314330</v>
      </c>
      <c r="B770">
        <v>2016</v>
      </c>
      <c r="C770" t="s">
        <v>642</v>
      </c>
      <c r="D770" t="s">
        <v>644</v>
      </c>
      <c r="E770" t="s">
        <v>646</v>
      </c>
      <c r="F770" s="1" t="s">
        <v>522</v>
      </c>
      <c r="G770" s="1" t="s">
        <v>153</v>
      </c>
      <c r="H770" s="22">
        <v>69659</v>
      </c>
      <c r="I770">
        <v>1323841.5886347971</v>
      </c>
      <c r="J770">
        <v>1393500.5886347971</v>
      </c>
      <c r="K770">
        <f>IFERROR(VLOOKUP(F770,'LEAID Match'!$A$2:$B$236,2,FALSE),"")</f>
        <v>2314330</v>
      </c>
    </row>
    <row r="771" spans="1:11" x14ac:dyDescent="0.2">
      <c r="A771">
        <f t="shared" ref="A771:A834" si="12">K771</f>
        <v>2314330</v>
      </c>
      <c r="B771">
        <v>2017</v>
      </c>
      <c r="C771" t="s">
        <v>642</v>
      </c>
      <c r="D771" t="s">
        <v>644</v>
      </c>
      <c r="E771" t="s">
        <v>646</v>
      </c>
      <c r="F771" t="s">
        <v>522</v>
      </c>
      <c r="G771" t="s">
        <v>153</v>
      </c>
      <c r="H771">
        <v>75801</v>
      </c>
      <c r="I771">
        <v>1445327.8307176202</v>
      </c>
      <c r="J771">
        <v>1521128.8307176202</v>
      </c>
      <c r="K771">
        <f>IFERROR(VLOOKUP(F771,'LEAID Match'!$A$2:$B$236,2,FALSE),"")</f>
        <v>2314330</v>
      </c>
    </row>
    <row r="772" spans="1:11" x14ac:dyDescent="0.2">
      <c r="A772">
        <f t="shared" si="12"/>
        <v>2314330</v>
      </c>
      <c r="B772">
        <v>2018</v>
      </c>
      <c r="C772" t="s">
        <v>642</v>
      </c>
      <c r="D772" t="s">
        <v>644</v>
      </c>
      <c r="E772" t="s">
        <v>646</v>
      </c>
      <c r="F772" t="s">
        <v>522</v>
      </c>
      <c r="G772" t="s">
        <v>153</v>
      </c>
      <c r="H772">
        <v>90004</v>
      </c>
      <c r="I772">
        <v>1824317.5218099649</v>
      </c>
      <c r="J772">
        <v>1914321.5218099649</v>
      </c>
      <c r="K772">
        <f>IFERROR(VLOOKUP(F772,'LEAID Match'!$A$2:$B$236,2,FALSE),"")</f>
        <v>2314330</v>
      </c>
    </row>
    <row r="773" spans="1:11" x14ac:dyDescent="0.2">
      <c r="A773">
        <f t="shared" si="12"/>
        <v>2314330</v>
      </c>
      <c r="B773">
        <v>2019</v>
      </c>
      <c r="C773" t="s">
        <v>642</v>
      </c>
      <c r="D773" t="s">
        <v>644</v>
      </c>
      <c r="E773" t="s">
        <v>646</v>
      </c>
      <c r="F773" t="s">
        <v>522</v>
      </c>
      <c r="G773" t="s">
        <v>153</v>
      </c>
      <c r="H773">
        <v>82934</v>
      </c>
      <c r="I773">
        <v>1776781.035033667</v>
      </c>
      <c r="J773">
        <v>1859715.035033667</v>
      </c>
      <c r="K773">
        <f>IFERROR(VLOOKUP(F773,'LEAID Match'!$A$2:$B$236,2,FALSE),"")</f>
        <v>2314330</v>
      </c>
    </row>
    <row r="774" spans="1:11" x14ac:dyDescent="0.2">
      <c r="A774">
        <f t="shared" si="12"/>
        <v>2314330</v>
      </c>
      <c r="B774">
        <v>2020</v>
      </c>
      <c r="C774" t="s">
        <v>642</v>
      </c>
      <c r="D774" t="s">
        <v>644</v>
      </c>
      <c r="E774" t="s">
        <v>646</v>
      </c>
      <c r="F774" t="s">
        <v>522</v>
      </c>
      <c r="G774" t="s">
        <v>153</v>
      </c>
      <c r="H774">
        <v>77972</v>
      </c>
      <c r="I774">
        <v>1737366.4167786143</v>
      </c>
      <c r="J774">
        <v>1815338.4167786143</v>
      </c>
      <c r="K774">
        <f>IFERROR(VLOOKUP(F774,'LEAID Match'!$A$2:$B$236,2,FALSE),"")</f>
        <v>2314330</v>
      </c>
    </row>
    <row r="775" spans="1:11" x14ac:dyDescent="0.2">
      <c r="A775">
        <f t="shared" si="12"/>
        <v>2314330</v>
      </c>
      <c r="B775">
        <v>2021</v>
      </c>
      <c r="C775" t="s">
        <v>642</v>
      </c>
      <c r="D775" t="s">
        <v>644</v>
      </c>
      <c r="E775" t="s">
        <v>646</v>
      </c>
      <c r="F775" t="s">
        <v>522</v>
      </c>
      <c r="G775" t="s">
        <v>153</v>
      </c>
      <c r="H775">
        <v>90706</v>
      </c>
      <c r="I775">
        <v>1523801.8788640285</v>
      </c>
      <c r="J775">
        <v>1614507.8788640285</v>
      </c>
      <c r="K775">
        <f>IFERROR(VLOOKUP(F775,'LEAID Match'!$A$2:$B$236,2,FALSE),"")</f>
        <v>2314330</v>
      </c>
    </row>
    <row r="776" spans="1:11" x14ac:dyDescent="0.2">
      <c r="A776">
        <f t="shared" si="12"/>
        <v>2314330</v>
      </c>
      <c r="B776">
        <v>2022</v>
      </c>
      <c r="C776" t="s">
        <v>642</v>
      </c>
      <c r="D776" t="s">
        <v>644</v>
      </c>
      <c r="E776" t="s">
        <v>646</v>
      </c>
      <c r="F776" t="s">
        <v>522</v>
      </c>
      <c r="G776" t="s">
        <v>153</v>
      </c>
      <c r="H776">
        <v>132916</v>
      </c>
      <c r="I776">
        <v>1913322.1952818262</v>
      </c>
      <c r="J776">
        <v>2046238.1952818262</v>
      </c>
      <c r="K776">
        <f>IFERROR(VLOOKUP(F776,'LEAID Match'!$A$2:$B$236,2,FALSE),"")</f>
        <v>2314330</v>
      </c>
    </row>
    <row r="777" spans="1:11" x14ac:dyDescent="0.2">
      <c r="A777">
        <f t="shared" si="12"/>
        <v>2314240</v>
      </c>
      <c r="B777">
        <v>2015</v>
      </c>
      <c r="C777" t="s">
        <v>642</v>
      </c>
      <c r="D777" t="s">
        <v>644</v>
      </c>
      <c r="E777" t="s">
        <v>646</v>
      </c>
      <c r="F777" s="1" t="s">
        <v>523</v>
      </c>
      <c r="G777" t="s">
        <v>154</v>
      </c>
      <c r="H777">
        <v>37406</v>
      </c>
      <c r="I777">
        <v>717209.21097204636</v>
      </c>
      <c r="J777">
        <v>754615.21097204636</v>
      </c>
      <c r="K777">
        <f>IFERROR(VLOOKUP(F777,'LEAID Match'!$A$2:$B$236,2,FALSE),"")</f>
        <v>2314240</v>
      </c>
    </row>
    <row r="778" spans="1:11" x14ac:dyDescent="0.2">
      <c r="A778">
        <f t="shared" si="12"/>
        <v>2314240</v>
      </c>
      <c r="B778">
        <v>2016</v>
      </c>
      <c r="C778" t="s">
        <v>642</v>
      </c>
      <c r="D778" t="s">
        <v>644</v>
      </c>
      <c r="E778" t="s">
        <v>646</v>
      </c>
      <c r="F778" s="1" t="s">
        <v>523</v>
      </c>
      <c r="G778" s="1" t="s">
        <v>154</v>
      </c>
      <c r="H778" s="22">
        <v>38186</v>
      </c>
      <c r="I778">
        <v>725709.74179371446</v>
      </c>
      <c r="J778">
        <v>763895.74179371446</v>
      </c>
      <c r="K778">
        <f>IFERROR(VLOOKUP(F778,'LEAID Match'!$A$2:$B$236,2,FALSE),"")</f>
        <v>2314240</v>
      </c>
    </row>
    <row r="779" spans="1:11" x14ac:dyDescent="0.2">
      <c r="A779">
        <f t="shared" si="12"/>
        <v>2314240</v>
      </c>
      <c r="B779">
        <v>2017</v>
      </c>
      <c r="C779" t="s">
        <v>642</v>
      </c>
      <c r="D779" t="s">
        <v>644</v>
      </c>
      <c r="E779" t="s">
        <v>646</v>
      </c>
      <c r="F779" t="s">
        <v>523</v>
      </c>
      <c r="G779" t="s">
        <v>154</v>
      </c>
      <c r="H779">
        <v>34140</v>
      </c>
      <c r="I779">
        <v>650960.96543184842</v>
      </c>
      <c r="J779">
        <v>685100.96543184842</v>
      </c>
      <c r="K779">
        <f>IFERROR(VLOOKUP(F779,'LEAID Match'!$A$2:$B$236,2,FALSE),"")</f>
        <v>2314240</v>
      </c>
    </row>
    <row r="780" spans="1:11" x14ac:dyDescent="0.2">
      <c r="A780">
        <f t="shared" si="12"/>
        <v>2314240</v>
      </c>
      <c r="B780">
        <v>2018</v>
      </c>
      <c r="C780" t="s">
        <v>642</v>
      </c>
      <c r="D780" t="s">
        <v>644</v>
      </c>
      <c r="E780" t="s">
        <v>646</v>
      </c>
      <c r="F780" t="s">
        <v>523</v>
      </c>
      <c r="G780" t="s">
        <v>154</v>
      </c>
      <c r="H780">
        <v>33668</v>
      </c>
      <c r="I780">
        <v>682426.58464399248</v>
      </c>
      <c r="J780">
        <v>716094.58464399248</v>
      </c>
      <c r="K780">
        <f>IFERROR(VLOOKUP(F780,'LEAID Match'!$A$2:$B$236,2,FALSE),"")</f>
        <v>2314240</v>
      </c>
    </row>
    <row r="781" spans="1:11" x14ac:dyDescent="0.2">
      <c r="A781">
        <f t="shared" si="12"/>
        <v>2314240</v>
      </c>
      <c r="B781">
        <v>2019</v>
      </c>
      <c r="C781" t="s">
        <v>642</v>
      </c>
      <c r="D781" t="s">
        <v>644</v>
      </c>
      <c r="E781" t="s">
        <v>646</v>
      </c>
      <c r="F781" t="s">
        <v>523</v>
      </c>
      <c r="G781" t="s">
        <v>154</v>
      </c>
      <c r="H781">
        <v>50138</v>
      </c>
      <c r="I781">
        <v>1074158.3371659152</v>
      </c>
      <c r="J781">
        <v>1124296.3371659152</v>
      </c>
      <c r="K781">
        <f>IFERROR(VLOOKUP(F781,'LEAID Match'!$A$2:$B$236,2,FALSE),"")</f>
        <v>2314240</v>
      </c>
    </row>
    <row r="782" spans="1:11" x14ac:dyDescent="0.2">
      <c r="A782">
        <f t="shared" si="12"/>
        <v>2314240</v>
      </c>
      <c r="B782">
        <v>2020</v>
      </c>
      <c r="C782" t="s">
        <v>642</v>
      </c>
      <c r="D782" t="s">
        <v>644</v>
      </c>
      <c r="E782" t="s">
        <v>646</v>
      </c>
      <c r="F782" t="s">
        <v>523</v>
      </c>
      <c r="G782" t="s">
        <v>154</v>
      </c>
      <c r="H782">
        <v>52939</v>
      </c>
      <c r="I782">
        <v>1179582.9366675608</v>
      </c>
      <c r="J782">
        <v>1232521.9366675608</v>
      </c>
      <c r="K782">
        <f>IFERROR(VLOOKUP(F782,'LEAID Match'!$A$2:$B$236,2,FALSE),"")</f>
        <v>2314240</v>
      </c>
    </row>
    <row r="783" spans="1:11" x14ac:dyDescent="0.2">
      <c r="A783">
        <f t="shared" si="12"/>
        <v>2314240</v>
      </c>
      <c r="B783">
        <v>2021</v>
      </c>
      <c r="C783" t="s">
        <v>642</v>
      </c>
      <c r="D783" t="s">
        <v>644</v>
      </c>
      <c r="E783" t="s">
        <v>646</v>
      </c>
      <c r="F783" t="s">
        <v>523</v>
      </c>
      <c r="G783" t="s">
        <v>154</v>
      </c>
      <c r="H783">
        <v>97487</v>
      </c>
      <c r="I783">
        <v>1637718.2740371923</v>
      </c>
      <c r="J783">
        <v>1735205.2740371923</v>
      </c>
      <c r="K783">
        <f>IFERROR(VLOOKUP(F783,'LEAID Match'!$A$2:$B$236,2,FALSE),"")</f>
        <v>2314240</v>
      </c>
    </row>
    <row r="784" spans="1:11" x14ac:dyDescent="0.2">
      <c r="A784">
        <f t="shared" si="12"/>
        <v>2314240</v>
      </c>
      <c r="B784">
        <v>2022</v>
      </c>
      <c r="C784" t="s">
        <v>642</v>
      </c>
      <c r="D784" t="s">
        <v>644</v>
      </c>
      <c r="E784" t="s">
        <v>646</v>
      </c>
      <c r="F784" t="s">
        <v>523</v>
      </c>
      <c r="G784" t="s">
        <v>154</v>
      </c>
      <c r="H784">
        <v>102150</v>
      </c>
      <c r="I784">
        <v>1470446.4642935279</v>
      </c>
      <c r="J784">
        <v>1572596.4642935279</v>
      </c>
      <c r="K784">
        <f>IFERROR(VLOOKUP(F784,'LEAID Match'!$A$2:$B$236,2,FALSE),"")</f>
        <v>2314240</v>
      </c>
    </row>
    <row r="785" spans="1:11" x14ac:dyDescent="0.2">
      <c r="A785">
        <f t="shared" si="12"/>
        <v>2314160</v>
      </c>
      <c r="B785">
        <v>2015</v>
      </c>
      <c r="C785" t="s">
        <v>642</v>
      </c>
      <c r="D785" t="s">
        <v>644</v>
      </c>
      <c r="E785" t="s">
        <v>646</v>
      </c>
      <c r="F785" s="1" t="s">
        <v>524</v>
      </c>
      <c r="G785" t="s">
        <v>155</v>
      </c>
      <c r="H785">
        <v>33130</v>
      </c>
      <c r="I785">
        <v>635222.72254461574</v>
      </c>
      <c r="J785">
        <v>668352.72254461574</v>
      </c>
      <c r="K785">
        <f>IFERROR(VLOOKUP(F785,'LEAID Match'!$A$2:$B$236,2,FALSE),"")</f>
        <v>2314160</v>
      </c>
    </row>
    <row r="786" spans="1:11" x14ac:dyDescent="0.2">
      <c r="A786">
        <f t="shared" si="12"/>
        <v>2314160</v>
      </c>
      <c r="B786">
        <v>2016</v>
      </c>
      <c r="C786" t="s">
        <v>642</v>
      </c>
      <c r="D786" t="s">
        <v>644</v>
      </c>
      <c r="E786" t="s">
        <v>646</v>
      </c>
      <c r="F786" s="1" t="s">
        <v>524</v>
      </c>
      <c r="G786" s="1" t="s">
        <v>155</v>
      </c>
      <c r="H786" s="22">
        <v>25238</v>
      </c>
      <c r="I786">
        <v>479638.15176739555</v>
      </c>
      <c r="J786">
        <v>504876.15176739555</v>
      </c>
      <c r="K786">
        <f>IFERROR(VLOOKUP(F786,'LEAID Match'!$A$2:$B$236,2,FALSE),"")</f>
        <v>2314160</v>
      </c>
    </row>
    <row r="787" spans="1:11" x14ac:dyDescent="0.2">
      <c r="A787">
        <f t="shared" si="12"/>
        <v>2314160</v>
      </c>
      <c r="B787">
        <v>2017</v>
      </c>
      <c r="C787" t="s">
        <v>642</v>
      </c>
      <c r="D787" t="s">
        <v>644</v>
      </c>
      <c r="E787" t="s">
        <v>646</v>
      </c>
      <c r="F787" t="s">
        <v>524</v>
      </c>
      <c r="G787" t="s">
        <v>155</v>
      </c>
      <c r="H787">
        <v>28066</v>
      </c>
      <c r="I787">
        <v>535145.59038694378</v>
      </c>
      <c r="J787">
        <v>563211.59038694378</v>
      </c>
      <c r="K787">
        <f>IFERROR(VLOOKUP(F787,'LEAID Match'!$A$2:$B$236,2,FALSE),"")</f>
        <v>2314160</v>
      </c>
    </row>
    <row r="788" spans="1:11" x14ac:dyDescent="0.2">
      <c r="A788">
        <f t="shared" si="12"/>
        <v>2314160</v>
      </c>
      <c r="B788">
        <v>2018</v>
      </c>
      <c r="C788" t="s">
        <v>642</v>
      </c>
      <c r="D788" t="s">
        <v>644</v>
      </c>
      <c r="E788" t="s">
        <v>646</v>
      </c>
      <c r="F788" t="s">
        <v>524</v>
      </c>
      <c r="G788" t="s">
        <v>155</v>
      </c>
      <c r="H788">
        <v>33801</v>
      </c>
      <c r="I788">
        <v>685122.40072328597</v>
      </c>
      <c r="J788">
        <v>718923.40072328597</v>
      </c>
      <c r="K788">
        <f>IFERROR(VLOOKUP(F788,'LEAID Match'!$A$2:$B$236,2,FALSE),"")</f>
        <v>2314160</v>
      </c>
    </row>
    <row r="789" spans="1:11" x14ac:dyDescent="0.2">
      <c r="A789">
        <f t="shared" si="12"/>
        <v>2314160</v>
      </c>
      <c r="B789">
        <v>2019</v>
      </c>
      <c r="C789" t="s">
        <v>642</v>
      </c>
      <c r="D789" t="s">
        <v>644</v>
      </c>
      <c r="E789" t="s">
        <v>646</v>
      </c>
      <c r="F789" t="s">
        <v>524</v>
      </c>
      <c r="G789" t="s">
        <v>155</v>
      </c>
      <c r="H789">
        <v>26067</v>
      </c>
      <c r="I789">
        <v>558460.35691299837</v>
      </c>
      <c r="J789">
        <v>584527.35691299837</v>
      </c>
      <c r="K789">
        <f>IFERROR(VLOOKUP(F789,'LEAID Match'!$A$2:$B$236,2,FALSE),"")</f>
        <v>2314160</v>
      </c>
    </row>
    <row r="790" spans="1:11" x14ac:dyDescent="0.2">
      <c r="A790">
        <f t="shared" si="12"/>
        <v>2314160</v>
      </c>
      <c r="B790">
        <v>2020</v>
      </c>
      <c r="C790" t="s">
        <v>642</v>
      </c>
      <c r="D790" t="s">
        <v>644</v>
      </c>
      <c r="E790" t="s">
        <v>646</v>
      </c>
      <c r="F790" t="s">
        <v>524</v>
      </c>
      <c r="G790" t="s">
        <v>155</v>
      </c>
      <c r="H790">
        <v>32250</v>
      </c>
      <c r="I790">
        <v>718592.14770828374</v>
      </c>
      <c r="J790">
        <v>750842.14770828374</v>
      </c>
      <c r="K790">
        <f>IFERROR(VLOOKUP(F790,'LEAID Match'!$A$2:$B$236,2,FALSE),"")</f>
        <v>2314160</v>
      </c>
    </row>
    <row r="791" spans="1:11" x14ac:dyDescent="0.2">
      <c r="A791">
        <f t="shared" si="12"/>
        <v>2314160</v>
      </c>
      <c r="B791">
        <v>2021</v>
      </c>
      <c r="C791" t="s">
        <v>642</v>
      </c>
      <c r="D791" t="s">
        <v>644</v>
      </c>
      <c r="E791" t="s">
        <v>646</v>
      </c>
      <c r="F791" t="s">
        <v>524</v>
      </c>
      <c r="G791" t="s">
        <v>155</v>
      </c>
      <c r="H791">
        <v>38987</v>
      </c>
      <c r="I791">
        <v>654956.2746816295</v>
      </c>
      <c r="J791">
        <v>693943.2746816295</v>
      </c>
      <c r="K791">
        <f>IFERROR(VLOOKUP(F791,'LEAID Match'!$A$2:$B$236,2,FALSE),"")</f>
        <v>2314160</v>
      </c>
    </row>
    <row r="792" spans="1:11" x14ac:dyDescent="0.2">
      <c r="A792">
        <f t="shared" si="12"/>
        <v>2314160</v>
      </c>
      <c r="B792">
        <v>2022</v>
      </c>
      <c r="C792" t="s">
        <v>642</v>
      </c>
      <c r="D792" t="s">
        <v>644</v>
      </c>
      <c r="E792" t="s">
        <v>646</v>
      </c>
      <c r="F792" t="s">
        <v>524</v>
      </c>
      <c r="G792" t="s">
        <v>155</v>
      </c>
      <c r="H792">
        <v>63091</v>
      </c>
      <c r="I792">
        <v>908193.2244615074</v>
      </c>
      <c r="J792">
        <v>971284.2244615074</v>
      </c>
      <c r="K792">
        <f>IFERROR(VLOOKUP(F792,'LEAID Match'!$A$2:$B$236,2,FALSE),"")</f>
        <v>2314160</v>
      </c>
    </row>
    <row r="793" spans="1:11" x14ac:dyDescent="0.2">
      <c r="A793">
        <f t="shared" si="12"/>
        <v>2314610</v>
      </c>
      <c r="B793">
        <v>2015</v>
      </c>
      <c r="C793" t="s">
        <v>642</v>
      </c>
      <c r="D793" t="s">
        <v>644</v>
      </c>
      <c r="E793" t="s">
        <v>646</v>
      </c>
      <c r="F793" t="s">
        <v>525</v>
      </c>
      <c r="G793" t="s">
        <v>156</v>
      </c>
      <c r="H793">
        <v>54877</v>
      </c>
      <c r="I793">
        <v>1052191.890886836</v>
      </c>
      <c r="J793">
        <v>1107068.890886836</v>
      </c>
      <c r="K793">
        <f>IFERROR(VLOOKUP(F793,'LEAID Match'!$A$2:$B$236,2,FALSE),"")</f>
        <v>2314610</v>
      </c>
    </row>
    <row r="794" spans="1:11" x14ac:dyDescent="0.2">
      <c r="A794">
        <f t="shared" si="12"/>
        <v>2314610</v>
      </c>
      <c r="B794">
        <v>2016</v>
      </c>
      <c r="C794" t="s">
        <v>642</v>
      </c>
      <c r="D794" t="s">
        <v>644</v>
      </c>
      <c r="E794" t="s">
        <v>646</v>
      </c>
      <c r="F794" s="1" t="s">
        <v>525</v>
      </c>
      <c r="G794" s="1" t="s">
        <v>156</v>
      </c>
      <c r="H794" s="22">
        <v>29617</v>
      </c>
      <c r="I794">
        <v>562859.30505170592</v>
      </c>
      <c r="J794">
        <v>592476.30505170592</v>
      </c>
      <c r="K794">
        <f>IFERROR(VLOOKUP(F794,'LEAID Match'!$A$2:$B$236,2,FALSE),"")</f>
        <v>2314610</v>
      </c>
    </row>
    <row r="795" spans="1:11" x14ac:dyDescent="0.2">
      <c r="A795">
        <f t="shared" si="12"/>
        <v>2314610</v>
      </c>
      <c r="B795">
        <v>2017</v>
      </c>
      <c r="C795" t="s">
        <v>642</v>
      </c>
      <c r="D795" t="s">
        <v>644</v>
      </c>
      <c r="E795" t="s">
        <v>646</v>
      </c>
      <c r="F795" t="s">
        <v>525</v>
      </c>
      <c r="G795" t="s">
        <v>156</v>
      </c>
      <c r="H795">
        <v>35437</v>
      </c>
      <c r="I795">
        <v>675691.38055092015</v>
      </c>
      <c r="J795">
        <v>711128.38055092015</v>
      </c>
      <c r="K795">
        <f>IFERROR(VLOOKUP(F795,'LEAID Match'!$A$2:$B$236,2,FALSE),"")</f>
        <v>2314610</v>
      </c>
    </row>
    <row r="796" spans="1:11" x14ac:dyDescent="0.2">
      <c r="A796">
        <f t="shared" si="12"/>
        <v>2314610</v>
      </c>
      <c r="B796">
        <v>2018</v>
      </c>
      <c r="C796" t="s">
        <v>642</v>
      </c>
      <c r="D796" t="s">
        <v>644</v>
      </c>
      <c r="E796" t="s">
        <v>646</v>
      </c>
      <c r="F796" t="s">
        <v>525</v>
      </c>
      <c r="G796" t="s">
        <v>156</v>
      </c>
      <c r="H796">
        <v>43091</v>
      </c>
      <c r="I796">
        <v>873424.14039724006</v>
      </c>
      <c r="J796">
        <v>916515.14039724006</v>
      </c>
      <c r="K796">
        <f>IFERROR(VLOOKUP(F796,'LEAID Match'!$A$2:$B$236,2,FALSE),"")</f>
        <v>2314610</v>
      </c>
    </row>
    <row r="797" spans="1:11" x14ac:dyDescent="0.2">
      <c r="A797">
        <f t="shared" si="12"/>
        <v>2314610</v>
      </c>
      <c r="B797">
        <v>2019</v>
      </c>
      <c r="C797" t="s">
        <v>642</v>
      </c>
      <c r="D797" t="s">
        <v>644</v>
      </c>
      <c r="E797" t="s">
        <v>646</v>
      </c>
      <c r="F797" t="s">
        <v>525</v>
      </c>
      <c r="G797" t="s">
        <v>156</v>
      </c>
      <c r="H797">
        <v>32573</v>
      </c>
      <c r="I797">
        <v>697845.13774991722</v>
      </c>
      <c r="J797">
        <v>730418.13774991722</v>
      </c>
      <c r="K797">
        <f>IFERROR(VLOOKUP(F797,'LEAID Match'!$A$2:$B$236,2,FALSE),"")</f>
        <v>2314610</v>
      </c>
    </row>
    <row r="798" spans="1:11" x14ac:dyDescent="0.2">
      <c r="A798">
        <f t="shared" si="12"/>
        <v>2314610</v>
      </c>
      <c r="B798">
        <v>2020</v>
      </c>
      <c r="C798" t="s">
        <v>642</v>
      </c>
      <c r="D798" t="s">
        <v>644</v>
      </c>
      <c r="E798" t="s">
        <v>646</v>
      </c>
      <c r="F798" t="s">
        <v>525</v>
      </c>
      <c r="G798" t="s">
        <v>156</v>
      </c>
      <c r="H798">
        <v>41218</v>
      </c>
      <c r="I798">
        <v>918416.46958883852</v>
      </c>
      <c r="J798">
        <v>959634.46958883852</v>
      </c>
      <c r="K798">
        <f>IFERROR(VLOOKUP(F798,'LEAID Match'!$A$2:$B$236,2,FALSE),"")</f>
        <v>2314610</v>
      </c>
    </row>
    <row r="799" spans="1:11" x14ac:dyDescent="0.2">
      <c r="A799">
        <f t="shared" si="12"/>
        <v>2314610</v>
      </c>
      <c r="B799">
        <v>2021</v>
      </c>
      <c r="C799" t="s">
        <v>642</v>
      </c>
      <c r="D799" t="s">
        <v>644</v>
      </c>
      <c r="E799" t="s">
        <v>646</v>
      </c>
      <c r="F799" t="s">
        <v>525</v>
      </c>
      <c r="G799" t="s">
        <v>156</v>
      </c>
      <c r="H799">
        <v>43065</v>
      </c>
      <c r="I799">
        <v>723464.02567944117</v>
      </c>
      <c r="J799">
        <v>766529.02567944117</v>
      </c>
      <c r="K799">
        <f>IFERROR(VLOOKUP(F799,'LEAID Match'!$A$2:$B$236,2,FALSE),"")</f>
        <v>2314610</v>
      </c>
    </row>
    <row r="800" spans="1:11" x14ac:dyDescent="0.2">
      <c r="A800">
        <f t="shared" si="12"/>
        <v>2314610</v>
      </c>
      <c r="B800">
        <v>2022</v>
      </c>
      <c r="C800" t="s">
        <v>642</v>
      </c>
      <c r="D800" t="s">
        <v>644</v>
      </c>
      <c r="E800" t="s">
        <v>646</v>
      </c>
      <c r="F800" t="s">
        <v>525</v>
      </c>
      <c r="G800" t="s">
        <v>156</v>
      </c>
      <c r="H800">
        <v>56409</v>
      </c>
      <c r="I800">
        <v>812006.01668461692</v>
      </c>
      <c r="J800">
        <v>868415.01668461692</v>
      </c>
      <c r="K800">
        <f>IFERROR(VLOOKUP(F800,'LEAID Match'!$A$2:$B$236,2,FALSE),"")</f>
        <v>2314610</v>
      </c>
    </row>
    <row r="801" spans="1:11" x14ac:dyDescent="0.2">
      <c r="A801">
        <f t="shared" si="12"/>
        <v>2314590</v>
      </c>
      <c r="B801">
        <v>2015</v>
      </c>
      <c r="C801" t="s">
        <v>642</v>
      </c>
      <c r="D801" t="s">
        <v>644</v>
      </c>
      <c r="E801" t="s">
        <v>646</v>
      </c>
      <c r="F801" t="s">
        <v>526</v>
      </c>
      <c r="G801" t="s">
        <v>157</v>
      </c>
      <c r="H801">
        <v>156900</v>
      </c>
      <c r="I801">
        <v>3008344.2549728407</v>
      </c>
      <c r="J801">
        <v>3165244.2549728407</v>
      </c>
      <c r="K801">
        <f>IFERROR(VLOOKUP(F801,'LEAID Match'!$A$2:$B$236,2,FALSE),"")</f>
        <v>2314590</v>
      </c>
    </row>
    <row r="802" spans="1:11" x14ac:dyDescent="0.2">
      <c r="A802">
        <f t="shared" si="12"/>
        <v>2314590</v>
      </c>
      <c r="B802">
        <v>2016</v>
      </c>
      <c r="C802" t="s">
        <v>642</v>
      </c>
      <c r="D802" t="s">
        <v>644</v>
      </c>
      <c r="E802" t="s">
        <v>646</v>
      </c>
      <c r="F802" s="1" t="s">
        <v>526</v>
      </c>
      <c r="G802" s="1" t="s">
        <v>157</v>
      </c>
      <c r="H802" s="22">
        <v>121760</v>
      </c>
      <c r="I802">
        <v>2314000.3708375497</v>
      </c>
      <c r="J802">
        <v>2435760.3708375497</v>
      </c>
      <c r="K802">
        <f>IFERROR(VLOOKUP(F802,'LEAID Match'!$A$2:$B$236,2,FALSE),"")</f>
        <v>2314590</v>
      </c>
    </row>
    <row r="803" spans="1:11" x14ac:dyDescent="0.2">
      <c r="A803">
        <f t="shared" si="12"/>
        <v>2314590</v>
      </c>
      <c r="B803">
        <v>2017</v>
      </c>
      <c r="C803" t="s">
        <v>642</v>
      </c>
      <c r="D803" t="s">
        <v>644</v>
      </c>
      <c r="E803" t="s">
        <v>646</v>
      </c>
      <c r="F803" t="s">
        <v>526</v>
      </c>
      <c r="G803" t="s">
        <v>157</v>
      </c>
      <c r="H803">
        <v>125314</v>
      </c>
      <c r="I803">
        <v>2389411.90457313</v>
      </c>
      <c r="J803">
        <v>2514725.90457313</v>
      </c>
      <c r="K803">
        <f>IFERROR(VLOOKUP(F803,'LEAID Match'!$A$2:$B$236,2,FALSE),"")</f>
        <v>2314590</v>
      </c>
    </row>
    <row r="804" spans="1:11" x14ac:dyDescent="0.2">
      <c r="A804">
        <f t="shared" si="12"/>
        <v>2314590</v>
      </c>
      <c r="B804">
        <v>2018</v>
      </c>
      <c r="C804" t="s">
        <v>642</v>
      </c>
      <c r="D804" t="s">
        <v>644</v>
      </c>
      <c r="E804" t="s">
        <v>646</v>
      </c>
      <c r="F804" t="s">
        <v>526</v>
      </c>
      <c r="G804" t="s">
        <v>157</v>
      </c>
      <c r="H804">
        <v>158052</v>
      </c>
      <c r="I804">
        <v>3203602.4283043928</v>
      </c>
      <c r="J804">
        <v>3361654.4283043928</v>
      </c>
      <c r="K804">
        <f>IFERROR(VLOOKUP(F804,'LEAID Match'!$A$2:$B$236,2,FALSE),"")</f>
        <v>2314590</v>
      </c>
    </row>
    <row r="805" spans="1:11" x14ac:dyDescent="0.2">
      <c r="A805">
        <f t="shared" si="12"/>
        <v>2314590</v>
      </c>
      <c r="B805">
        <v>2019</v>
      </c>
      <c r="C805" t="s">
        <v>642</v>
      </c>
      <c r="D805" t="s">
        <v>644</v>
      </c>
      <c r="E805" t="s">
        <v>646</v>
      </c>
      <c r="F805" t="s">
        <v>526</v>
      </c>
      <c r="G805" t="s">
        <v>157</v>
      </c>
      <c r="H805">
        <v>147450</v>
      </c>
      <c r="I805">
        <v>3158974.1675997083</v>
      </c>
      <c r="J805">
        <v>3306424.1675997083</v>
      </c>
      <c r="K805">
        <f>IFERROR(VLOOKUP(F805,'LEAID Match'!$A$2:$B$236,2,FALSE),"")</f>
        <v>2314590</v>
      </c>
    </row>
    <row r="806" spans="1:11" x14ac:dyDescent="0.2">
      <c r="A806">
        <f t="shared" si="12"/>
        <v>2314590</v>
      </c>
      <c r="B806">
        <v>2020</v>
      </c>
      <c r="C806" t="s">
        <v>642</v>
      </c>
      <c r="D806" t="s">
        <v>644</v>
      </c>
      <c r="E806" t="s">
        <v>646</v>
      </c>
      <c r="F806" t="s">
        <v>526</v>
      </c>
      <c r="G806" t="s">
        <v>157</v>
      </c>
      <c r="H806">
        <v>214447</v>
      </c>
      <c r="I806">
        <v>4778292.4123906465</v>
      </c>
      <c r="J806">
        <v>4992739.4123906465</v>
      </c>
      <c r="K806">
        <f>IFERROR(VLOOKUP(F806,'LEAID Match'!$A$2:$B$236,2,FALSE),"")</f>
        <v>2314590</v>
      </c>
    </row>
    <row r="807" spans="1:11" x14ac:dyDescent="0.2">
      <c r="A807">
        <f t="shared" si="12"/>
        <v>2314590</v>
      </c>
      <c r="B807">
        <v>2021</v>
      </c>
      <c r="C807" t="s">
        <v>642</v>
      </c>
      <c r="D807" t="s">
        <v>644</v>
      </c>
      <c r="E807" t="s">
        <v>646</v>
      </c>
      <c r="F807" t="s">
        <v>526</v>
      </c>
      <c r="G807" t="s">
        <v>157</v>
      </c>
      <c r="H807">
        <v>266257</v>
      </c>
      <c r="I807">
        <v>4472944.6438019499</v>
      </c>
      <c r="J807">
        <v>4739201.6438019499</v>
      </c>
      <c r="K807">
        <f>IFERROR(VLOOKUP(F807,'LEAID Match'!$A$2:$B$236,2,FALSE),"")</f>
        <v>2314590</v>
      </c>
    </row>
    <row r="808" spans="1:11" x14ac:dyDescent="0.2">
      <c r="A808">
        <f t="shared" si="12"/>
        <v>2314590</v>
      </c>
      <c r="B808">
        <v>2022</v>
      </c>
      <c r="C808" t="s">
        <v>642</v>
      </c>
      <c r="D808" t="s">
        <v>644</v>
      </c>
      <c r="E808" t="s">
        <v>646</v>
      </c>
      <c r="F808" t="s">
        <v>526</v>
      </c>
      <c r="G808" t="s">
        <v>157</v>
      </c>
      <c r="H808">
        <v>271470</v>
      </c>
      <c r="I808">
        <v>3907803.2468111995</v>
      </c>
      <c r="J808">
        <v>4179273.2468111995</v>
      </c>
      <c r="K808">
        <f>IFERROR(VLOOKUP(F808,'LEAID Match'!$A$2:$B$236,2,FALSE),"")</f>
        <v>2314590</v>
      </c>
    </row>
    <row r="809" spans="1:11" x14ac:dyDescent="0.2">
      <c r="A809">
        <f t="shared" si="12"/>
        <v>2314190</v>
      </c>
      <c r="B809">
        <v>2015</v>
      </c>
      <c r="C809" t="s">
        <v>642</v>
      </c>
      <c r="D809" t="s">
        <v>644</v>
      </c>
      <c r="E809" t="s">
        <v>646</v>
      </c>
      <c r="F809" t="s">
        <v>527</v>
      </c>
      <c r="G809" t="s">
        <v>158</v>
      </c>
      <c r="H809">
        <v>113512</v>
      </c>
      <c r="I809">
        <v>2176438.3242222886</v>
      </c>
      <c r="J809">
        <v>2289950.3242222886</v>
      </c>
      <c r="K809">
        <f>IFERROR(VLOOKUP(F809,'LEAID Match'!$A$2:$B$236,2,FALSE),"")</f>
        <v>2314190</v>
      </c>
    </row>
    <row r="810" spans="1:11" x14ac:dyDescent="0.2">
      <c r="A810">
        <f t="shared" si="12"/>
        <v>2314190</v>
      </c>
      <c r="B810">
        <v>2016</v>
      </c>
      <c r="C810" t="s">
        <v>642</v>
      </c>
      <c r="D810" t="s">
        <v>644</v>
      </c>
      <c r="E810" t="s">
        <v>646</v>
      </c>
      <c r="F810" s="1" t="s">
        <v>527</v>
      </c>
      <c r="G810" s="1" t="s">
        <v>158</v>
      </c>
      <c r="H810" s="22">
        <v>88716</v>
      </c>
      <c r="I810">
        <v>1686012.2938503947</v>
      </c>
      <c r="J810">
        <v>1774728.2938503947</v>
      </c>
      <c r="K810">
        <f>IFERROR(VLOOKUP(F810,'LEAID Match'!$A$2:$B$236,2,FALSE),"")</f>
        <v>2314190</v>
      </c>
    </row>
    <row r="811" spans="1:11" x14ac:dyDescent="0.2">
      <c r="A811">
        <f t="shared" si="12"/>
        <v>2314190</v>
      </c>
      <c r="B811">
        <v>2017</v>
      </c>
      <c r="C811" t="s">
        <v>642</v>
      </c>
      <c r="D811" t="s">
        <v>644</v>
      </c>
      <c r="E811" t="s">
        <v>646</v>
      </c>
      <c r="F811" t="s">
        <v>527</v>
      </c>
      <c r="G811" t="s">
        <v>158</v>
      </c>
      <c r="H811">
        <v>77268</v>
      </c>
      <c r="I811">
        <v>1473299.703485298</v>
      </c>
      <c r="J811">
        <v>1550567.703485298</v>
      </c>
      <c r="K811">
        <f>IFERROR(VLOOKUP(F811,'LEAID Match'!$A$2:$B$236,2,FALSE),"")</f>
        <v>2314190</v>
      </c>
    </row>
    <row r="812" spans="1:11" x14ac:dyDescent="0.2">
      <c r="A812">
        <f t="shared" si="12"/>
        <v>2314190</v>
      </c>
      <c r="B812">
        <v>2018</v>
      </c>
      <c r="C812" t="s">
        <v>642</v>
      </c>
      <c r="D812" t="s">
        <v>644</v>
      </c>
      <c r="E812" t="s">
        <v>646</v>
      </c>
      <c r="F812" t="s">
        <v>527</v>
      </c>
      <c r="G812" t="s">
        <v>158</v>
      </c>
      <c r="H812">
        <v>49523</v>
      </c>
      <c r="I812">
        <v>1003796.2383071296</v>
      </c>
      <c r="J812">
        <v>1053319.2383071296</v>
      </c>
      <c r="K812">
        <f>IFERROR(VLOOKUP(F812,'LEAID Match'!$A$2:$B$236,2,FALSE),"")</f>
        <v>2314190</v>
      </c>
    </row>
    <row r="813" spans="1:11" x14ac:dyDescent="0.2">
      <c r="A813">
        <f t="shared" si="12"/>
        <v>2314190</v>
      </c>
      <c r="B813">
        <v>2019</v>
      </c>
      <c r="C813" t="s">
        <v>642</v>
      </c>
      <c r="D813" t="s">
        <v>644</v>
      </c>
      <c r="E813" t="s">
        <v>646</v>
      </c>
      <c r="F813" t="s">
        <v>527</v>
      </c>
      <c r="G813" t="s">
        <v>158</v>
      </c>
      <c r="H813">
        <v>48590</v>
      </c>
      <c r="I813">
        <v>1040993.9288143087</v>
      </c>
      <c r="J813">
        <v>1089583.9288143087</v>
      </c>
      <c r="K813">
        <f>IFERROR(VLOOKUP(F813,'LEAID Match'!$A$2:$B$236,2,FALSE),"")</f>
        <v>2314190</v>
      </c>
    </row>
    <row r="814" spans="1:11" x14ac:dyDescent="0.2">
      <c r="A814">
        <f t="shared" si="12"/>
        <v>2314190</v>
      </c>
      <c r="B814">
        <v>2020</v>
      </c>
      <c r="C814" t="s">
        <v>642</v>
      </c>
      <c r="D814" t="s">
        <v>644</v>
      </c>
      <c r="E814" t="s">
        <v>646</v>
      </c>
      <c r="F814" t="s">
        <v>527</v>
      </c>
      <c r="G814" t="s">
        <v>158</v>
      </c>
      <c r="H814">
        <v>37991</v>
      </c>
      <c r="I814">
        <v>846512.69096388877</v>
      </c>
      <c r="J814">
        <v>884503.69096388877</v>
      </c>
      <c r="K814">
        <f>IFERROR(VLOOKUP(F814,'LEAID Match'!$A$2:$B$236,2,FALSE),"")</f>
        <v>2314190</v>
      </c>
    </row>
    <row r="815" spans="1:11" x14ac:dyDescent="0.2">
      <c r="A815">
        <f t="shared" si="12"/>
        <v>2314190</v>
      </c>
      <c r="B815">
        <v>2021</v>
      </c>
      <c r="C815" t="s">
        <v>642</v>
      </c>
      <c r="D815" t="s">
        <v>644</v>
      </c>
      <c r="E815" t="s">
        <v>646</v>
      </c>
      <c r="F815" t="s">
        <v>527</v>
      </c>
      <c r="G815" t="s">
        <v>158</v>
      </c>
      <c r="H815">
        <v>41968</v>
      </c>
      <c r="I815">
        <v>705035.13827272248</v>
      </c>
      <c r="J815">
        <v>747003.13827272248</v>
      </c>
      <c r="K815">
        <f>IFERROR(VLOOKUP(F815,'LEAID Match'!$A$2:$B$236,2,FALSE),"")</f>
        <v>2314190</v>
      </c>
    </row>
    <row r="816" spans="1:11" x14ac:dyDescent="0.2">
      <c r="A816">
        <f t="shared" si="12"/>
        <v>2314190</v>
      </c>
      <c r="B816">
        <v>2022</v>
      </c>
      <c r="C816" t="s">
        <v>642</v>
      </c>
      <c r="D816" t="s">
        <v>644</v>
      </c>
      <c r="E816" t="s">
        <v>646</v>
      </c>
      <c r="F816" t="s">
        <v>527</v>
      </c>
      <c r="G816" t="s">
        <v>158</v>
      </c>
      <c r="H816">
        <v>72501</v>
      </c>
      <c r="I816">
        <v>1043649.9178438088</v>
      </c>
      <c r="J816">
        <v>1116150.9178438089</v>
      </c>
      <c r="K816">
        <f>IFERROR(VLOOKUP(F816,'LEAID Match'!$A$2:$B$236,2,FALSE),"")</f>
        <v>2314190</v>
      </c>
    </row>
    <row r="817" spans="1:11" x14ac:dyDescent="0.2">
      <c r="A817">
        <f t="shared" si="12"/>
        <v>2314670</v>
      </c>
      <c r="B817">
        <v>2015</v>
      </c>
      <c r="C817" t="s">
        <v>642</v>
      </c>
      <c r="D817" t="s">
        <v>644</v>
      </c>
      <c r="E817" t="s">
        <v>646</v>
      </c>
      <c r="F817" t="s">
        <v>528</v>
      </c>
      <c r="G817" t="s">
        <v>159</v>
      </c>
      <c r="H817">
        <v>56413</v>
      </c>
      <c r="I817">
        <v>1081642.603287335</v>
      </c>
      <c r="J817">
        <v>1138055.603287335</v>
      </c>
      <c r="K817">
        <f>IFERROR(VLOOKUP(F817,'LEAID Match'!$A$2:$B$236,2,FALSE),"")</f>
        <v>2314670</v>
      </c>
    </row>
    <row r="818" spans="1:11" x14ac:dyDescent="0.2">
      <c r="A818">
        <f t="shared" si="12"/>
        <v>2314670</v>
      </c>
      <c r="B818">
        <v>2016</v>
      </c>
      <c r="C818" t="s">
        <v>642</v>
      </c>
      <c r="D818" t="s">
        <v>644</v>
      </c>
      <c r="E818" t="s">
        <v>646</v>
      </c>
      <c r="F818" s="1" t="s">
        <v>528</v>
      </c>
      <c r="G818" s="1" t="s">
        <v>159</v>
      </c>
      <c r="H818" s="22">
        <v>41781</v>
      </c>
      <c r="I818">
        <v>794031.2869083744</v>
      </c>
      <c r="J818">
        <v>835812.2869083744</v>
      </c>
      <c r="K818">
        <f>IFERROR(VLOOKUP(F818,'LEAID Match'!$A$2:$B$236,2,FALSE),"")</f>
        <v>2314670</v>
      </c>
    </row>
    <row r="819" spans="1:11" x14ac:dyDescent="0.2">
      <c r="A819">
        <f t="shared" si="12"/>
        <v>2314670</v>
      </c>
      <c r="B819">
        <v>2017</v>
      </c>
      <c r="C819" t="s">
        <v>642</v>
      </c>
      <c r="D819" t="s">
        <v>644</v>
      </c>
      <c r="E819" t="s">
        <v>646</v>
      </c>
      <c r="F819" t="s">
        <v>528</v>
      </c>
      <c r="G819" t="s">
        <v>159</v>
      </c>
      <c r="H819">
        <v>39093</v>
      </c>
      <c r="I819">
        <v>745401.78739388555</v>
      </c>
      <c r="J819">
        <v>784494.78739388555</v>
      </c>
      <c r="K819">
        <f>IFERROR(VLOOKUP(F819,'LEAID Match'!$A$2:$B$236,2,FALSE),"")</f>
        <v>2314670</v>
      </c>
    </row>
    <row r="820" spans="1:11" x14ac:dyDescent="0.2">
      <c r="A820">
        <f t="shared" si="12"/>
        <v>2314670</v>
      </c>
      <c r="B820">
        <v>2018</v>
      </c>
      <c r="C820" t="s">
        <v>642</v>
      </c>
      <c r="D820" t="s">
        <v>644</v>
      </c>
      <c r="E820" t="s">
        <v>646</v>
      </c>
      <c r="F820" t="s">
        <v>528</v>
      </c>
      <c r="G820" t="s">
        <v>159</v>
      </c>
      <c r="H820">
        <v>47755</v>
      </c>
      <c r="I820">
        <v>967960.12681697332</v>
      </c>
      <c r="J820">
        <v>1015715.1268169733</v>
      </c>
      <c r="K820">
        <f>IFERROR(VLOOKUP(F820,'LEAID Match'!$A$2:$B$236,2,FALSE),"")</f>
        <v>2314670</v>
      </c>
    </row>
    <row r="821" spans="1:11" x14ac:dyDescent="0.2">
      <c r="A821">
        <f t="shared" si="12"/>
        <v>2314670</v>
      </c>
      <c r="B821">
        <v>2019</v>
      </c>
      <c r="C821" t="s">
        <v>642</v>
      </c>
      <c r="D821" t="s">
        <v>644</v>
      </c>
      <c r="E821" t="s">
        <v>646</v>
      </c>
      <c r="F821" t="s">
        <v>528</v>
      </c>
      <c r="G821" t="s">
        <v>159</v>
      </c>
      <c r="H821">
        <v>51818</v>
      </c>
      <c r="I821">
        <v>1110150.7183226971</v>
      </c>
      <c r="J821">
        <v>1161968.7183226971</v>
      </c>
      <c r="K821">
        <f>IFERROR(VLOOKUP(F821,'LEAID Match'!$A$2:$B$236,2,FALSE),"")</f>
        <v>2314670</v>
      </c>
    </row>
    <row r="822" spans="1:11" x14ac:dyDescent="0.2">
      <c r="A822">
        <f t="shared" si="12"/>
        <v>2314670</v>
      </c>
      <c r="B822">
        <v>2020</v>
      </c>
      <c r="C822" t="s">
        <v>642</v>
      </c>
      <c r="D822" t="s">
        <v>644</v>
      </c>
      <c r="E822" t="s">
        <v>646</v>
      </c>
      <c r="F822" t="s">
        <v>528</v>
      </c>
      <c r="G822" t="s">
        <v>159</v>
      </c>
      <c r="H822">
        <v>65025</v>
      </c>
      <c r="I822">
        <v>1448882.3071234466</v>
      </c>
      <c r="J822">
        <v>1513907.3071234466</v>
      </c>
      <c r="K822">
        <f>IFERROR(VLOOKUP(F822,'LEAID Match'!$A$2:$B$236,2,FALSE),"")</f>
        <v>2314670</v>
      </c>
    </row>
    <row r="823" spans="1:11" x14ac:dyDescent="0.2">
      <c r="A823">
        <f t="shared" si="12"/>
        <v>2314670</v>
      </c>
      <c r="B823">
        <v>2021</v>
      </c>
      <c r="C823" t="s">
        <v>642</v>
      </c>
      <c r="D823" t="s">
        <v>644</v>
      </c>
      <c r="E823" t="s">
        <v>646</v>
      </c>
      <c r="F823" t="s">
        <v>528</v>
      </c>
      <c r="G823" t="s">
        <v>159</v>
      </c>
      <c r="H823">
        <v>67231</v>
      </c>
      <c r="I823">
        <v>1129437.1278405786</v>
      </c>
      <c r="J823">
        <v>1196668.1278405786</v>
      </c>
      <c r="K823">
        <f>IFERROR(VLOOKUP(F823,'LEAID Match'!$A$2:$B$236,2,FALSE),"")</f>
        <v>2314670</v>
      </c>
    </row>
    <row r="824" spans="1:11" x14ac:dyDescent="0.2">
      <c r="A824">
        <f t="shared" si="12"/>
        <v>2314670</v>
      </c>
      <c r="B824">
        <v>2022</v>
      </c>
      <c r="C824" t="s">
        <v>642</v>
      </c>
      <c r="D824" t="s">
        <v>644</v>
      </c>
      <c r="E824" t="s">
        <v>646</v>
      </c>
      <c r="F824" t="s">
        <v>528</v>
      </c>
      <c r="G824" t="s">
        <v>159</v>
      </c>
      <c r="H824">
        <v>141844</v>
      </c>
      <c r="I824">
        <v>2041840.5118086264</v>
      </c>
      <c r="J824">
        <v>2183684.5118086264</v>
      </c>
      <c r="K824">
        <f>IFERROR(VLOOKUP(F824,'LEAID Match'!$A$2:$B$236,2,FALSE),"")</f>
        <v>2314670</v>
      </c>
    </row>
    <row r="825" spans="1:11" x14ac:dyDescent="0.2">
      <c r="A825">
        <f t="shared" si="12"/>
        <v>2314300</v>
      </c>
      <c r="B825">
        <v>2015</v>
      </c>
      <c r="C825" t="s">
        <v>642</v>
      </c>
      <c r="D825" t="s">
        <v>644</v>
      </c>
      <c r="E825" t="s">
        <v>646</v>
      </c>
      <c r="F825" t="s">
        <v>160</v>
      </c>
      <c r="G825" t="s">
        <v>161</v>
      </c>
      <c r="H825">
        <v>31010</v>
      </c>
      <c r="I825">
        <v>594574.60386684386</v>
      </c>
      <c r="J825">
        <v>625584.60386684386</v>
      </c>
      <c r="K825">
        <f>IFERROR(VLOOKUP(F825,'LEAID Match'!$A$2:$B$236,2,FALSE),"")</f>
        <v>2314300</v>
      </c>
    </row>
    <row r="826" spans="1:11" x14ac:dyDescent="0.2">
      <c r="A826">
        <f t="shared" si="12"/>
        <v>2314300</v>
      </c>
      <c r="B826">
        <v>2016</v>
      </c>
      <c r="C826" t="s">
        <v>642</v>
      </c>
      <c r="D826" t="s">
        <v>644</v>
      </c>
      <c r="E826" t="s">
        <v>646</v>
      </c>
      <c r="F826" s="1" t="s">
        <v>160</v>
      </c>
      <c r="G826" s="1" t="s">
        <v>161</v>
      </c>
      <c r="H826" s="22">
        <v>20631</v>
      </c>
      <c r="I826">
        <v>392083.94916844193</v>
      </c>
      <c r="J826">
        <v>412714.94916844193</v>
      </c>
      <c r="K826">
        <f>IFERROR(VLOOKUP(F826,'LEAID Match'!$A$2:$B$236,2,FALSE),"")</f>
        <v>2314300</v>
      </c>
    </row>
    <row r="827" spans="1:11" x14ac:dyDescent="0.2">
      <c r="A827">
        <f t="shared" si="12"/>
        <v>2314300</v>
      </c>
      <c r="B827">
        <v>2017</v>
      </c>
      <c r="C827" t="s">
        <v>642</v>
      </c>
      <c r="D827" t="s">
        <v>644</v>
      </c>
      <c r="E827" t="s">
        <v>646</v>
      </c>
      <c r="F827" t="s">
        <v>160</v>
      </c>
      <c r="G827" t="s">
        <v>161</v>
      </c>
      <c r="H827">
        <v>19082</v>
      </c>
      <c r="I827">
        <v>363844.08735707478</v>
      </c>
      <c r="J827">
        <v>382926.08735707478</v>
      </c>
      <c r="K827">
        <f>IFERROR(VLOOKUP(F827,'LEAID Match'!$A$2:$B$236,2,FALSE),"")</f>
        <v>2314300</v>
      </c>
    </row>
    <row r="828" spans="1:11" x14ac:dyDescent="0.2">
      <c r="A828">
        <f t="shared" si="12"/>
        <v>2314300</v>
      </c>
      <c r="B828">
        <v>2018</v>
      </c>
      <c r="C828" t="s">
        <v>642</v>
      </c>
      <c r="D828" t="s">
        <v>644</v>
      </c>
      <c r="E828" t="s">
        <v>646</v>
      </c>
      <c r="F828" t="s">
        <v>160</v>
      </c>
      <c r="G828" t="s">
        <v>161</v>
      </c>
      <c r="H828">
        <v>23869</v>
      </c>
      <c r="I828">
        <v>483807.77441093785</v>
      </c>
      <c r="J828">
        <v>507676.77441093785</v>
      </c>
      <c r="K828">
        <f>IFERROR(VLOOKUP(F828,'LEAID Match'!$A$2:$B$236,2,FALSE),"")</f>
        <v>2314300</v>
      </c>
    </row>
    <row r="829" spans="1:11" x14ac:dyDescent="0.2">
      <c r="A829">
        <f t="shared" si="12"/>
        <v>2314300</v>
      </c>
      <c r="B829">
        <v>2019</v>
      </c>
      <c r="C829" t="s">
        <v>642</v>
      </c>
      <c r="D829" t="s">
        <v>644</v>
      </c>
      <c r="E829" t="s">
        <v>646</v>
      </c>
      <c r="F829" t="s">
        <v>160</v>
      </c>
      <c r="G829" t="s">
        <v>161</v>
      </c>
      <c r="H829">
        <v>23889</v>
      </c>
      <c r="I829">
        <v>511798.80562759872</v>
      </c>
      <c r="J829">
        <v>535687.80562759866</v>
      </c>
      <c r="K829">
        <f>IFERROR(VLOOKUP(F829,'LEAID Match'!$A$2:$B$236,2,FALSE),"")</f>
        <v>2314300</v>
      </c>
    </row>
    <row r="830" spans="1:11" x14ac:dyDescent="0.2">
      <c r="A830">
        <f t="shared" si="12"/>
        <v>2314300</v>
      </c>
      <c r="B830">
        <v>2020</v>
      </c>
      <c r="C830" t="s">
        <v>642</v>
      </c>
      <c r="D830" t="s">
        <v>644</v>
      </c>
      <c r="E830" t="s">
        <v>646</v>
      </c>
      <c r="F830" t="s">
        <v>160</v>
      </c>
      <c r="G830" t="s">
        <v>161</v>
      </c>
      <c r="H830">
        <v>28604</v>
      </c>
      <c r="I830">
        <v>637352.24164489156</v>
      </c>
      <c r="J830">
        <v>665956.24164489156</v>
      </c>
      <c r="K830">
        <f>IFERROR(VLOOKUP(F830,'LEAID Match'!$A$2:$B$236,2,FALSE),"")</f>
        <v>2314300</v>
      </c>
    </row>
    <row r="831" spans="1:11" x14ac:dyDescent="0.2">
      <c r="A831">
        <f t="shared" si="12"/>
        <v>2314300</v>
      </c>
      <c r="B831">
        <v>2021</v>
      </c>
      <c r="C831" t="s">
        <v>642</v>
      </c>
      <c r="D831" t="s">
        <v>644</v>
      </c>
      <c r="E831" t="s">
        <v>646</v>
      </c>
      <c r="F831" t="s">
        <v>160</v>
      </c>
      <c r="G831" t="s">
        <v>161</v>
      </c>
      <c r="H831">
        <v>25746</v>
      </c>
      <c r="I831">
        <v>432516.07581894565</v>
      </c>
      <c r="J831">
        <v>458262.07581894565</v>
      </c>
      <c r="K831">
        <f>IFERROR(VLOOKUP(F831,'LEAID Match'!$A$2:$B$236,2,FALSE),"")</f>
        <v>2314300</v>
      </c>
    </row>
    <row r="832" spans="1:11" x14ac:dyDescent="0.2">
      <c r="A832">
        <f t="shared" si="12"/>
        <v>2314300</v>
      </c>
      <c r="B832">
        <v>2022</v>
      </c>
      <c r="C832" t="s">
        <v>642</v>
      </c>
      <c r="D832" t="s">
        <v>644</v>
      </c>
      <c r="E832" t="s">
        <v>646</v>
      </c>
      <c r="F832" t="s">
        <v>160</v>
      </c>
      <c r="G832" t="s">
        <v>161</v>
      </c>
      <c r="H832">
        <v>37279</v>
      </c>
      <c r="I832">
        <v>536630.18837394449</v>
      </c>
      <c r="J832">
        <v>573909.18837394449</v>
      </c>
      <c r="K832">
        <f>IFERROR(VLOOKUP(F832,'LEAID Match'!$A$2:$B$236,2,FALSE),"")</f>
        <v>2314300</v>
      </c>
    </row>
    <row r="833" spans="1:11" x14ac:dyDescent="0.2">
      <c r="A833">
        <f t="shared" si="12"/>
        <v>2314560</v>
      </c>
      <c r="B833">
        <v>2015</v>
      </c>
      <c r="C833" t="s">
        <v>642</v>
      </c>
      <c r="D833" t="s">
        <v>644</v>
      </c>
      <c r="E833" t="s">
        <v>646</v>
      </c>
      <c r="F833" t="s">
        <v>162</v>
      </c>
      <c r="G833" t="s">
        <v>163</v>
      </c>
      <c r="H833">
        <v>34495</v>
      </c>
      <c r="I833">
        <v>661394.74235365295</v>
      </c>
      <c r="J833">
        <v>695889.74235365295</v>
      </c>
      <c r="K833">
        <f>IFERROR(VLOOKUP(F833,'LEAID Match'!$A$2:$B$236,2,FALSE),"")</f>
        <v>2314560</v>
      </c>
    </row>
    <row r="834" spans="1:11" x14ac:dyDescent="0.2">
      <c r="A834">
        <f t="shared" si="12"/>
        <v>2314560</v>
      </c>
      <c r="B834">
        <v>2016</v>
      </c>
      <c r="C834" t="s">
        <v>642</v>
      </c>
      <c r="D834" t="s">
        <v>644</v>
      </c>
      <c r="E834" t="s">
        <v>646</v>
      </c>
      <c r="F834" s="1" t="s">
        <v>162</v>
      </c>
      <c r="G834" s="1" t="s">
        <v>163</v>
      </c>
      <c r="H834" s="22">
        <v>30047</v>
      </c>
      <c r="I834">
        <v>571031.28402230504</v>
      </c>
      <c r="J834">
        <v>601078.28402230504</v>
      </c>
      <c r="K834">
        <f>IFERROR(VLOOKUP(F834,'LEAID Match'!$A$2:$B$236,2,FALSE),"")</f>
        <v>2314560</v>
      </c>
    </row>
    <row r="835" spans="1:11" x14ac:dyDescent="0.2">
      <c r="A835">
        <f t="shared" ref="A835:A898" si="13">K835</f>
        <v>2314560</v>
      </c>
      <c r="B835">
        <v>2017</v>
      </c>
      <c r="C835" t="s">
        <v>642</v>
      </c>
      <c r="D835" t="s">
        <v>644</v>
      </c>
      <c r="E835" t="s">
        <v>646</v>
      </c>
      <c r="F835" t="s">
        <v>162</v>
      </c>
      <c r="G835" t="s">
        <v>163</v>
      </c>
      <c r="H835">
        <v>32798</v>
      </c>
      <c r="I835">
        <v>625372.51740579284</v>
      </c>
      <c r="J835">
        <v>658170.51740579284</v>
      </c>
      <c r="K835">
        <f>IFERROR(VLOOKUP(F835,'LEAID Match'!$A$2:$B$236,2,FALSE),"")</f>
        <v>2314560</v>
      </c>
    </row>
    <row r="836" spans="1:11" x14ac:dyDescent="0.2">
      <c r="A836">
        <f t="shared" si="13"/>
        <v>2314560</v>
      </c>
      <c r="B836">
        <v>2018</v>
      </c>
      <c r="C836" t="s">
        <v>642</v>
      </c>
      <c r="D836" t="s">
        <v>644</v>
      </c>
      <c r="E836" t="s">
        <v>646</v>
      </c>
      <c r="F836" t="s">
        <v>162</v>
      </c>
      <c r="G836" t="s">
        <v>163</v>
      </c>
      <c r="H836">
        <v>36170</v>
      </c>
      <c r="I836">
        <v>733140.35780483566</v>
      </c>
      <c r="J836">
        <v>769310.35780483566</v>
      </c>
      <c r="K836">
        <f>IFERROR(VLOOKUP(F836,'LEAID Match'!$A$2:$B$236,2,FALSE),"")</f>
        <v>2314560</v>
      </c>
    </row>
    <row r="837" spans="1:11" x14ac:dyDescent="0.2">
      <c r="A837">
        <f t="shared" si="13"/>
        <v>2314560</v>
      </c>
      <c r="B837">
        <v>2019</v>
      </c>
      <c r="C837" t="s">
        <v>642</v>
      </c>
      <c r="D837" t="s">
        <v>644</v>
      </c>
      <c r="E837" t="s">
        <v>646</v>
      </c>
      <c r="F837" t="s">
        <v>162</v>
      </c>
      <c r="G837" t="s">
        <v>163</v>
      </c>
      <c r="H837">
        <v>47757</v>
      </c>
      <c r="I837">
        <v>1023147.7064907376</v>
      </c>
      <c r="J837">
        <v>1070904.7064907376</v>
      </c>
      <c r="K837">
        <f>IFERROR(VLOOKUP(F837,'LEAID Match'!$A$2:$B$236,2,FALSE),"")</f>
        <v>2314560</v>
      </c>
    </row>
    <row r="838" spans="1:11" x14ac:dyDescent="0.2">
      <c r="A838">
        <f t="shared" si="13"/>
        <v>2314560</v>
      </c>
      <c r="B838">
        <v>2020</v>
      </c>
      <c r="C838" t="s">
        <v>642</v>
      </c>
      <c r="D838" t="s">
        <v>644</v>
      </c>
      <c r="E838" t="s">
        <v>646</v>
      </c>
      <c r="F838" t="s">
        <v>162</v>
      </c>
      <c r="G838" t="s">
        <v>163</v>
      </c>
      <c r="H838">
        <v>60061</v>
      </c>
      <c r="I838">
        <v>1338274.8211940229</v>
      </c>
      <c r="J838">
        <v>1398335.8211940229</v>
      </c>
      <c r="K838">
        <f>IFERROR(VLOOKUP(F838,'LEAID Match'!$A$2:$B$236,2,FALSE),"")</f>
        <v>2314560</v>
      </c>
    </row>
    <row r="839" spans="1:11" x14ac:dyDescent="0.2">
      <c r="A839">
        <f t="shared" si="13"/>
        <v>2314560</v>
      </c>
      <c r="B839">
        <v>2021</v>
      </c>
      <c r="C839" t="s">
        <v>642</v>
      </c>
      <c r="D839" t="s">
        <v>644</v>
      </c>
      <c r="E839" t="s">
        <v>646</v>
      </c>
      <c r="F839" t="s">
        <v>162</v>
      </c>
      <c r="G839" t="s">
        <v>163</v>
      </c>
      <c r="H839">
        <v>62680</v>
      </c>
      <c r="I839">
        <v>1052983.2840958408</v>
      </c>
      <c r="J839">
        <v>1115663.2840958408</v>
      </c>
      <c r="K839">
        <f>IFERROR(VLOOKUP(F839,'LEAID Match'!$A$2:$B$236,2,FALSE),"")</f>
        <v>2314560</v>
      </c>
    </row>
    <row r="840" spans="1:11" x14ac:dyDescent="0.2">
      <c r="A840">
        <f t="shared" si="13"/>
        <v>2314560</v>
      </c>
      <c r="B840">
        <v>2022</v>
      </c>
      <c r="C840" t="s">
        <v>642</v>
      </c>
      <c r="D840" t="s">
        <v>644</v>
      </c>
      <c r="E840" t="s">
        <v>646</v>
      </c>
      <c r="F840" t="s">
        <v>162</v>
      </c>
      <c r="G840" t="s">
        <v>163</v>
      </c>
      <c r="H840">
        <v>97524</v>
      </c>
      <c r="I840">
        <v>1403855.3204479886</v>
      </c>
      <c r="J840">
        <v>1501379.3204479886</v>
      </c>
      <c r="K840">
        <f>IFERROR(VLOOKUP(F840,'LEAID Match'!$A$2:$B$236,2,FALSE),"")</f>
        <v>2314560</v>
      </c>
    </row>
    <row r="841" spans="1:11" x14ac:dyDescent="0.2">
      <c r="A841">
        <f t="shared" si="13"/>
        <v>2314700</v>
      </c>
      <c r="B841">
        <v>2015</v>
      </c>
      <c r="C841" t="s">
        <v>642</v>
      </c>
      <c r="D841" t="s">
        <v>644</v>
      </c>
      <c r="E841" t="s">
        <v>646</v>
      </c>
      <c r="F841" t="s">
        <v>529</v>
      </c>
      <c r="G841" t="s">
        <v>164</v>
      </c>
      <c r="H841">
        <v>98826</v>
      </c>
      <c r="I841">
        <v>1894854.234174289</v>
      </c>
      <c r="J841">
        <v>1993680.234174289</v>
      </c>
      <c r="K841">
        <f>IFERROR(VLOOKUP(F841,'LEAID Match'!$A$2:$B$236,2,FALSE),"")</f>
        <v>2314700</v>
      </c>
    </row>
    <row r="842" spans="1:11" x14ac:dyDescent="0.2">
      <c r="A842">
        <f t="shared" si="13"/>
        <v>2314700</v>
      </c>
      <c r="B842">
        <v>2016</v>
      </c>
      <c r="C842" t="s">
        <v>642</v>
      </c>
      <c r="D842" t="s">
        <v>644</v>
      </c>
      <c r="E842" t="s">
        <v>646</v>
      </c>
      <c r="F842" s="1" t="s">
        <v>529</v>
      </c>
      <c r="G842" s="1" t="s">
        <v>164</v>
      </c>
      <c r="H842" s="22">
        <v>75880</v>
      </c>
      <c r="I842">
        <v>1442069.2192768829</v>
      </c>
      <c r="J842">
        <v>1517949.2192768829</v>
      </c>
      <c r="K842">
        <f>IFERROR(VLOOKUP(F842,'LEAID Match'!$A$2:$B$236,2,FALSE),"")</f>
        <v>2314700</v>
      </c>
    </row>
    <row r="843" spans="1:11" x14ac:dyDescent="0.2">
      <c r="A843">
        <f t="shared" si="13"/>
        <v>2314700</v>
      </c>
      <c r="B843">
        <v>2017</v>
      </c>
      <c r="C843" t="s">
        <v>642</v>
      </c>
      <c r="D843" t="s">
        <v>644</v>
      </c>
      <c r="E843" t="s">
        <v>646</v>
      </c>
      <c r="F843" t="s">
        <v>529</v>
      </c>
      <c r="G843" t="s">
        <v>164</v>
      </c>
      <c r="H843">
        <v>64099</v>
      </c>
      <c r="I843">
        <v>1222201.1401059185</v>
      </c>
      <c r="J843">
        <v>1286300.1401059185</v>
      </c>
      <c r="K843">
        <f>IFERROR(VLOOKUP(F843,'LEAID Match'!$A$2:$B$236,2,FALSE),"")</f>
        <v>2314700</v>
      </c>
    </row>
    <row r="844" spans="1:11" x14ac:dyDescent="0.2">
      <c r="A844">
        <f t="shared" si="13"/>
        <v>2314700</v>
      </c>
      <c r="B844">
        <v>2018</v>
      </c>
      <c r="C844" t="s">
        <v>642</v>
      </c>
      <c r="D844" t="s">
        <v>644</v>
      </c>
      <c r="E844" t="s">
        <v>646</v>
      </c>
      <c r="F844" t="s">
        <v>529</v>
      </c>
      <c r="G844" t="s">
        <v>164</v>
      </c>
      <c r="H844">
        <v>76872</v>
      </c>
      <c r="I844">
        <v>1558141.1552439407</v>
      </c>
      <c r="J844">
        <v>1635013.1552439407</v>
      </c>
      <c r="K844">
        <f>IFERROR(VLOOKUP(F844,'LEAID Match'!$A$2:$B$236,2,FALSE),"")</f>
        <v>2314700</v>
      </c>
    </row>
    <row r="845" spans="1:11" x14ac:dyDescent="0.2">
      <c r="A845">
        <f t="shared" si="13"/>
        <v>2314700</v>
      </c>
      <c r="B845">
        <v>2019</v>
      </c>
      <c r="C845" t="s">
        <v>642</v>
      </c>
      <c r="D845" t="s">
        <v>644</v>
      </c>
      <c r="E845" t="s">
        <v>646</v>
      </c>
      <c r="F845" t="s">
        <v>529</v>
      </c>
      <c r="G845" t="s">
        <v>164</v>
      </c>
      <c r="H845">
        <v>93746</v>
      </c>
      <c r="I845">
        <v>2008417.7166212427</v>
      </c>
      <c r="J845">
        <v>2102163.7166212425</v>
      </c>
      <c r="K845">
        <f>IFERROR(VLOOKUP(F845,'LEAID Match'!$A$2:$B$236,2,FALSE),"")</f>
        <v>2314700</v>
      </c>
    </row>
    <row r="846" spans="1:11" x14ac:dyDescent="0.2">
      <c r="A846">
        <f t="shared" si="13"/>
        <v>2314700</v>
      </c>
      <c r="B846">
        <v>2020</v>
      </c>
      <c r="C846" t="s">
        <v>642</v>
      </c>
      <c r="D846" t="s">
        <v>644</v>
      </c>
      <c r="E846" t="s">
        <v>646</v>
      </c>
      <c r="F846" t="s">
        <v>529</v>
      </c>
      <c r="G846" t="s">
        <v>164</v>
      </c>
      <c r="H846">
        <v>114187</v>
      </c>
      <c r="I846">
        <v>2544306.4052826609</v>
      </c>
      <c r="J846">
        <v>2658493.4052826609</v>
      </c>
      <c r="K846">
        <f>IFERROR(VLOOKUP(F846,'LEAID Match'!$A$2:$B$236,2,FALSE),"")</f>
        <v>2314700</v>
      </c>
    </row>
    <row r="847" spans="1:11" x14ac:dyDescent="0.2">
      <c r="A847">
        <f t="shared" si="13"/>
        <v>2314700</v>
      </c>
      <c r="B847">
        <v>2021</v>
      </c>
      <c r="C847" t="s">
        <v>642</v>
      </c>
      <c r="D847" t="s">
        <v>644</v>
      </c>
      <c r="E847" t="s">
        <v>646</v>
      </c>
      <c r="F847" t="s">
        <v>529</v>
      </c>
      <c r="G847" t="s">
        <v>164</v>
      </c>
      <c r="H847">
        <v>156481</v>
      </c>
      <c r="I847">
        <v>2628779.1524984241</v>
      </c>
      <c r="J847">
        <v>2785260.1524984241</v>
      </c>
      <c r="K847">
        <f>IFERROR(VLOOKUP(F847,'LEAID Match'!$A$2:$B$236,2,FALSE),"")</f>
        <v>2314700</v>
      </c>
    </row>
    <row r="848" spans="1:11" x14ac:dyDescent="0.2">
      <c r="A848">
        <f t="shared" si="13"/>
        <v>2314700</v>
      </c>
      <c r="B848">
        <v>2022</v>
      </c>
      <c r="C848" t="s">
        <v>642</v>
      </c>
      <c r="D848" t="s">
        <v>644</v>
      </c>
      <c r="E848" t="s">
        <v>646</v>
      </c>
      <c r="F848" t="s">
        <v>529</v>
      </c>
      <c r="G848" t="s">
        <v>164</v>
      </c>
      <c r="H848">
        <v>149366</v>
      </c>
      <c r="I848">
        <v>2150119.4966780921</v>
      </c>
      <c r="J848">
        <v>2299485.4966780921</v>
      </c>
      <c r="K848">
        <f>IFERROR(VLOOKUP(F848,'LEAID Match'!$A$2:$B$236,2,FALSE),"")</f>
        <v>2314700</v>
      </c>
    </row>
    <row r="849" spans="1:11" x14ac:dyDescent="0.2">
      <c r="A849">
        <f t="shared" si="13"/>
        <v>2314210</v>
      </c>
      <c r="B849">
        <v>2015</v>
      </c>
      <c r="C849" t="s">
        <v>642</v>
      </c>
      <c r="D849" t="s">
        <v>644</v>
      </c>
      <c r="E849" t="s">
        <v>646</v>
      </c>
      <c r="F849" s="1" t="s">
        <v>530</v>
      </c>
      <c r="G849" t="s">
        <v>165</v>
      </c>
      <c r="H849">
        <v>85007</v>
      </c>
      <c r="I849">
        <v>1629893.6907742273</v>
      </c>
      <c r="J849">
        <v>1714900.6907742273</v>
      </c>
      <c r="K849">
        <f>IFERROR(VLOOKUP(F849,'LEAID Match'!$A$2:$B$236,2,FALSE),"")</f>
        <v>2314210</v>
      </c>
    </row>
    <row r="850" spans="1:11" x14ac:dyDescent="0.2">
      <c r="A850">
        <f t="shared" si="13"/>
        <v>2314210</v>
      </c>
      <c r="B850">
        <v>2016</v>
      </c>
      <c r="C850" t="s">
        <v>642</v>
      </c>
      <c r="D850" t="s">
        <v>644</v>
      </c>
      <c r="E850" t="s">
        <v>646</v>
      </c>
      <c r="F850" s="1" t="s">
        <v>530</v>
      </c>
      <c r="G850" s="1" t="s">
        <v>165</v>
      </c>
      <c r="H850" s="22">
        <v>79992</v>
      </c>
      <c r="I850">
        <v>1520216.1437585191</v>
      </c>
      <c r="J850">
        <v>1600208.1437585191</v>
      </c>
      <c r="K850">
        <f>IFERROR(VLOOKUP(F850,'LEAID Match'!$A$2:$B$236,2,FALSE),"")</f>
        <v>2314210</v>
      </c>
    </row>
    <row r="851" spans="1:11" x14ac:dyDescent="0.2">
      <c r="A851">
        <f t="shared" si="13"/>
        <v>2314210</v>
      </c>
      <c r="B851">
        <v>2017</v>
      </c>
      <c r="C851" t="s">
        <v>642</v>
      </c>
      <c r="D851" t="s">
        <v>644</v>
      </c>
      <c r="E851" t="s">
        <v>646</v>
      </c>
      <c r="F851" t="s">
        <v>530</v>
      </c>
      <c r="G851" t="s">
        <v>165</v>
      </c>
      <c r="H851">
        <v>90443</v>
      </c>
      <c r="I851">
        <v>1724512.6712522751</v>
      </c>
      <c r="J851">
        <v>1814955.6712522751</v>
      </c>
      <c r="K851">
        <f>IFERROR(VLOOKUP(F851,'LEAID Match'!$A$2:$B$236,2,FALSE),"")</f>
        <v>2314210</v>
      </c>
    </row>
    <row r="852" spans="1:11" x14ac:dyDescent="0.2">
      <c r="A852">
        <f t="shared" si="13"/>
        <v>2314210</v>
      </c>
      <c r="B852">
        <v>2018</v>
      </c>
      <c r="C852" t="s">
        <v>642</v>
      </c>
      <c r="D852" t="s">
        <v>644</v>
      </c>
      <c r="E852" t="s">
        <v>646</v>
      </c>
      <c r="F852" t="s">
        <v>530</v>
      </c>
      <c r="G852" t="s">
        <v>165</v>
      </c>
      <c r="H852">
        <v>98591</v>
      </c>
      <c r="I852">
        <v>1998369.9479219394</v>
      </c>
      <c r="J852">
        <v>2096960.9479219394</v>
      </c>
      <c r="K852">
        <f>IFERROR(VLOOKUP(F852,'LEAID Match'!$A$2:$B$236,2,FALSE),"")</f>
        <v>2314210</v>
      </c>
    </row>
    <row r="853" spans="1:11" x14ac:dyDescent="0.2">
      <c r="A853">
        <f t="shared" si="13"/>
        <v>2314210</v>
      </c>
      <c r="B853">
        <v>2019</v>
      </c>
      <c r="C853" t="s">
        <v>642</v>
      </c>
      <c r="D853" t="s">
        <v>644</v>
      </c>
      <c r="E853" t="s">
        <v>646</v>
      </c>
      <c r="F853" t="s">
        <v>530</v>
      </c>
      <c r="G853" t="s">
        <v>165</v>
      </c>
      <c r="H853">
        <v>83501</v>
      </c>
      <c r="I853">
        <v>1788928.4636740808</v>
      </c>
      <c r="J853">
        <v>1872429.4636740808</v>
      </c>
      <c r="K853">
        <f>IFERROR(VLOOKUP(F853,'LEAID Match'!$A$2:$B$236,2,FALSE),"")</f>
        <v>2314210</v>
      </c>
    </row>
    <row r="854" spans="1:11" x14ac:dyDescent="0.2">
      <c r="A854">
        <f t="shared" si="13"/>
        <v>2314210</v>
      </c>
      <c r="B854">
        <v>2020</v>
      </c>
      <c r="C854" t="s">
        <v>642</v>
      </c>
      <c r="D854" t="s">
        <v>644</v>
      </c>
      <c r="E854" t="s">
        <v>646</v>
      </c>
      <c r="F854" t="s">
        <v>530</v>
      </c>
      <c r="G854" t="s">
        <v>165</v>
      </c>
      <c r="H854">
        <v>100825</v>
      </c>
      <c r="I854">
        <v>2246575.2958972934</v>
      </c>
      <c r="J854">
        <v>2347400.2958972934</v>
      </c>
      <c r="K854">
        <f>IFERROR(VLOOKUP(F854,'LEAID Match'!$A$2:$B$236,2,FALSE),"")</f>
        <v>2314210</v>
      </c>
    </row>
    <row r="855" spans="1:11" x14ac:dyDescent="0.2">
      <c r="A855">
        <f t="shared" si="13"/>
        <v>2314210</v>
      </c>
      <c r="B855">
        <v>2021</v>
      </c>
      <c r="C855" t="s">
        <v>642</v>
      </c>
      <c r="D855" t="s">
        <v>644</v>
      </c>
      <c r="E855" t="s">
        <v>646</v>
      </c>
      <c r="F855" t="s">
        <v>530</v>
      </c>
      <c r="G855" t="s">
        <v>165</v>
      </c>
      <c r="H855">
        <v>109293</v>
      </c>
      <c r="I855">
        <v>1836051.4050524363</v>
      </c>
      <c r="J855">
        <v>1945344.4050524363</v>
      </c>
      <c r="K855">
        <f>IFERROR(VLOOKUP(F855,'LEAID Match'!$A$2:$B$236,2,FALSE),"")</f>
        <v>2314210</v>
      </c>
    </row>
    <row r="856" spans="1:11" x14ac:dyDescent="0.2">
      <c r="A856">
        <f t="shared" si="13"/>
        <v>2314210</v>
      </c>
      <c r="B856">
        <v>2022</v>
      </c>
      <c r="C856" t="s">
        <v>642</v>
      </c>
      <c r="D856" t="s">
        <v>644</v>
      </c>
      <c r="E856" t="s">
        <v>646</v>
      </c>
      <c r="F856" t="s">
        <v>530</v>
      </c>
      <c r="G856" t="s">
        <v>165</v>
      </c>
      <c r="H856">
        <v>246484</v>
      </c>
      <c r="I856">
        <v>3548130.4581980025</v>
      </c>
      <c r="J856">
        <v>3794614.4581980025</v>
      </c>
      <c r="K856">
        <f>IFERROR(VLOOKUP(F856,'LEAID Match'!$A$2:$B$236,2,FALSE),"")</f>
        <v>2314210</v>
      </c>
    </row>
    <row r="857" spans="1:11" x14ac:dyDescent="0.2">
      <c r="A857">
        <f t="shared" si="13"/>
        <v>2314440</v>
      </c>
      <c r="B857">
        <v>2015</v>
      </c>
      <c r="C857" t="s">
        <v>642</v>
      </c>
      <c r="D857" t="s">
        <v>644</v>
      </c>
      <c r="E857" t="s">
        <v>646</v>
      </c>
      <c r="F857" s="1" t="s">
        <v>531</v>
      </c>
      <c r="G857" t="s">
        <v>166</v>
      </c>
      <c r="H857">
        <v>46892</v>
      </c>
      <c r="I857">
        <v>899090.36841419013</v>
      </c>
      <c r="J857">
        <v>945982.36841419013</v>
      </c>
      <c r="K857">
        <f>IFERROR(VLOOKUP(F857,'LEAID Match'!$A$2:$B$236,2,FALSE),"")</f>
        <v>2314440</v>
      </c>
    </row>
    <row r="858" spans="1:11" x14ac:dyDescent="0.2">
      <c r="A858">
        <f t="shared" si="13"/>
        <v>2314440</v>
      </c>
      <c r="B858">
        <v>2016</v>
      </c>
      <c r="C858" t="s">
        <v>642</v>
      </c>
      <c r="D858" t="s">
        <v>644</v>
      </c>
      <c r="E858" t="s">
        <v>646</v>
      </c>
      <c r="F858" s="1" t="s">
        <v>531</v>
      </c>
      <c r="G858" s="1" t="s">
        <v>166</v>
      </c>
      <c r="H858" s="22">
        <v>44095</v>
      </c>
      <c r="I858">
        <v>838007.93653155188</v>
      </c>
      <c r="J858">
        <v>882102.93653155188</v>
      </c>
      <c r="K858">
        <f>IFERROR(VLOOKUP(F858,'LEAID Match'!$A$2:$B$236,2,FALSE),"")</f>
        <v>2314440</v>
      </c>
    </row>
    <row r="859" spans="1:11" x14ac:dyDescent="0.2">
      <c r="A859">
        <f t="shared" si="13"/>
        <v>2314440</v>
      </c>
      <c r="B859">
        <v>2017</v>
      </c>
      <c r="C859" t="s">
        <v>642</v>
      </c>
      <c r="D859" t="s">
        <v>644</v>
      </c>
      <c r="E859" t="s">
        <v>646</v>
      </c>
      <c r="F859" t="s">
        <v>531</v>
      </c>
      <c r="G859" t="s">
        <v>166</v>
      </c>
      <c r="H859">
        <v>29690</v>
      </c>
      <c r="I859">
        <v>566111.04463009909</v>
      </c>
      <c r="J859">
        <v>595801.04463009909</v>
      </c>
      <c r="K859">
        <f>IFERROR(VLOOKUP(F859,'LEAID Match'!$A$2:$B$236,2,FALSE),"")</f>
        <v>2314440</v>
      </c>
    </row>
    <row r="860" spans="1:11" x14ac:dyDescent="0.2">
      <c r="A860">
        <f t="shared" si="13"/>
        <v>2314440</v>
      </c>
      <c r="B860">
        <v>2018</v>
      </c>
      <c r="C860" t="s">
        <v>642</v>
      </c>
      <c r="D860" t="s">
        <v>644</v>
      </c>
      <c r="E860" t="s">
        <v>646</v>
      </c>
      <c r="F860" t="s">
        <v>531</v>
      </c>
      <c r="G860" t="s">
        <v>166</v>
      </c>
      <c r="H860">
        <v>28607</v>
      </c>
      <c r="I860">
        <v>579843.6885740374</v>
      </c>
      <c r="J860">
        <v>608450.6885740374</v>
      </c>
      <c r="K860">
        <f>IFERROR(VLOOKUP(F860,'LEAID Match'!$A$2:$B$236,2,FALSE),"")</f>
        <v>2314440</v>
      </c>
    </row>
    <row r="861" spans="1:11" x14ac:dyDescent="0.2">
      <c r="A861">
        <f t="shared" si="13"/>
        <v>2314440</v>
      </c>
      <c r="B861">
        <v>2019</v>
      </c>
      <c r="C861" t="s">
        <v>642</v>
      </c>
      <c r="D861" t="s">
        <v>644</v>
      </c>
      <c r="E861" t="s">
        <v>646</v>
      </c>
      <c r="F861" t="s">
        <v>531</v>
      </c>
      <c r="G861" t="s">
        <v>166</v>
      </c>
      <c r="H861">
        <v>31132</v>
      </c>
      <c r="I861">
        <v>666973.10129341553</v>
      </c>
      <c r="J861">
        <v>698105.10129341553</v>
      </c>
      <c r="K861">
        <f>IFERROR(VLOOKUP(F861,'LEAID Match'!$A$2:$B$236,2,FALSE),"")</f>
        <v>2314440</v>
      </c>
    </row>
    <row r="862" spans="1:11" x14ac:dyDescent="0.2">
      <c r="A862">
        <f t="shared" si="13"/>
        <v>2314440</v>
      </c>
      <c r="B862">
        <v>2020</v>
      </c>
      <c r="C862" t="s">
        <v>642</v>
      </c>
      <c r="D862" t="s">
        <v>644</v>
      </c>
      <c r="E862" t="s">
        <v>646</v>
      </c>
      <c r="F862" t="s">
        <v>531</v>
      </c>
      <c r="G862" t="s">
        <v>166</v>
      </c>
      <c r="H862">
        <v>37420</v>
      </c>
      <c r="I862">
        <v>833789.71061221638</v>
      </c>
      <c r="J862">
        <v>871209.71061221638</v>
      </c>
      <c r="K862">
        <f>IFERROR(VLOOKUP(F862,'LEAID Match'!$A$2:$B$236,2,FALSE),"")</f>
        <v>2314440</v>
      </c>
    </row>
    <row r="863" spans="1:11" x14ac:dyDescent="0.2">
      <c r="A863">
        <f t="shared" si="13"/>
        <v>2314440</v>
      </c>
      <c r="B863">
        <v>2021</v>
      </c>
      <c r="C863" t="s">
        <v>642</v>
      </c>
      <c r="D863" t="s">
        <v>644</v>
      </c>
      <c r="E863" t="s">
        <v>646</v>
      </c>
      <c r="F863" t="s">
        <v>531</v>
      </c>
      <c r="G863" t="s">
        <v>166</v>
      </c>
      <c r="H863">
        <v>53632</v>
      </c>
      <c r="I863">
        <v>900982.76152884692</v>
      </c>
      <c r="J863">
        <v>954614.76152884692</v>
      </c>
      <c r="K863">
        <f>IFERROR(VLOOKUP(F863,'LEAID Match'!$A$2:$B$236,2,FALSE),"")</f>
        <v>2314440</v>
      </c>
    </row>
    <row r="864" spans="1:11" x14ac:dyDescent="0.2">
      <c r="A864">
        <f t="shared" si="13"/>
        <v>2314440</v>
      </c>
      <c r="B864">
        <v>2022</v>
      </c>
      <c r="C864" t="s">
        <v>642</v>
      </c>
      <c r="D864" t="s">
        <v>644</v>
      </c>
      <c r="E864" t="s">
        <v>646</v>
      </c>
      <c r="F864" t="s">
        <v>531</v>
      </c>
      <c r="G864" t="s">
        <v>166</v>
      </c>
      <c r="H864">
        <v>64761</v>
      </c>
      <c r="I864">
        <v>932232.8289193653</v>
      </c>
      <c r="J864">
        <v>996993.8289193653</v>
      </c>
      <c r="K864">
        <f>IFERROR(VLOOKUP(F864,'LEAID Match'!$A$2:$B$236,2,FALSE),"")</f>
        <v>2314440</v>
      </c>
    </row>
    <row r="865" spans="1:11" x14ac:dyDescent="0.2">
      <c r="A865">
        <f t="shared" si="13"/>
        <v>2314410</v>
      </c>
      <c r="B865">
        <v>2015</v>
      </c>
      <c r="C865" t="s">
        <v>642</v>
      </c>
      <c r="D865" t="s">
        <v>644</v>
      </c>
      <c r="E865" t="s">
        <v>646</v>
      </c>
      <c r="F865" t="s">
        <v>167</v>
      </c>
      <c r="G865" t="s">
        <v>168</v>
      </c>
      <c r="I865">
        <v>0</v>
      </c>
      <c r="J865">
        <v>0</v>
      </c>
      <c r="K865">
        <f>IFERROR(VLOOKUP(F865,'LEAID Match'!$A$2:$B$236,2,FALSE),"")</f>
        <v>2314410</v>
      </c>
    </row>
    <row r="866" spans="1:11" x14ac:dyDescent="0.2">
      <c r="A866">
        <f t="shared" si="13"/>
        <v>2314410</v>
      </c>
      <c r="B866">
        <v>2016</v>
      </c>
      <c r="C866" t="s">
        <v>642</v>
      </c>
      <c r="D866" t="s">
        <v>644</v>
      </c>
      <c r="E866" t="s">
        <v>646</v>
      </c>
      <c r="F866" s="1" t="s">
        <v>167</v>
      </c>
      <c r="G866" s="1" t="s">
        <v>168</v>
      </c>
      <c r="H866" s="22"/>
      <c r="I866">
        <v>0</v>
      </c>
      <c r="J866">
        <v>0</v>
      </c>
      <c r="K866">
        <f>IFERROR(VLOOKUP(F866,'LEAID Match'!$A$2:$B$236,2,FALSE),"")</f>
        <v>2314410</v>
      </c>
    </row>
    <row r="867" spans="1:11" x14ac:dyDescent="0.2">
      <c r="A867">
        <f t="shared" si="13"/>
        <v>2314410</v>
      </c>
      <c r="B867">
        <v>2017</v>
      </c>
      <c r="C867" t="s">
        <v>642</v>
      </c>
      <c r="D867" t="s">
        <v>644</v>
      </c>
      <c r="E867" t="s">
        <v>646</v>
      </c>
      <c r="F867" t="s">
        <v>167</v>
      </c>
      <c r="G867" t="s">
        <v>168</v>
      </c>
      <c r="I867">
        <v>0</v>
      </c>
      <c r="J867">
        <v>0</v>
      </c>
      <c r="K867">
        <f>IFERROR(VLOOKUP(F867,'LEAID Match'!$A$2:$B$236,2,FALSE),"")</f>
        <v>2314410</v>
      </c>
    </row>
    <row r="868" spans="1:11" x14ac:dyDescent="0.2">
      <c r="A868">
        <f t="shared" si="13"/>
        <v>2314410</v>
      </c>
      <c r="B868">
        <v>2018</v>
      </c>
      <c r="C868" t="s">
        <v>642</v>
      </c>
      <c r="D868" t="s">
        <v>644</v>
      </c>
      <c r="E868" t="s">
        <v>646</v>
      </c>
      <c r="F868" t="s">
        <v>167</v>
      </c>
      <c r="G868" t="s">
        <v>168</v>
      </c>
      <c r="I868">
        <v>0</v>
      </c>
      <c r="J868">
        <v>0</v>
      </c>
      <c r="K868">
        <f>IFERROR(VLOOKUP(F868,'LEAID Match'!$A$2:$B$236,2,FALSE),"")</f>
        <v>2314410</v>
      </c>
    </row>
    <row r="869" spans="1:11" x14ac:dyDescent="0.2">
      <c r="A869">
        <f t="shared" si="13"/>
        <v>2314410</v>
      </c>
      <c r="B869">
        <v>2019</v>
      </c>
      <c r="C869" t="s">
        <v>642</v>
      </c>
      <c r="D869" t="s">
        <v>644</v>
      </c>
      <c r="E869" t="s">
        <v>646</v>
      </c>
      <c r="F869" t="s">
        <v>167</v>
      </c>
      <c r="G869" t="s">
        <v>168</v>
      </c>
      <c r="I869">
        <v>0</v>
      </c>
      <c r="J869">
        <v>0</v>
      </c>
      <c r="K869">
        <f>IFERROR(VLOOKUP(F869,'LEAID Match'!$A$2:$B$236,2,FALSE),"")</f>
        <v>2314410</v>
      </c>
    </row>
    <row r="870" spans="1:11" x14ac:dyDescent="0.2">
      <c r="A870">
        <f t="shared" si="13"/>
        <v>2314410</v>
      </c>
      <c r="B870">
        <v>2020</v>
      </c>
      <c r="C870" t="s">
        <v>642</v>
      </c>
      <c r="D870" t="s">
        <v>644</v>
      </c>
      <c r="E870" t="s">
        <v>646</v>
      </c>
      <c r="F870" t="s">
        <v>167</v>
      </c>
      <c r="G870" t="s">
        <v>168</v>
      </c>
      <c r="I870">
        <v>0</v>
      </c>
      <c r="J870">
        <v>0</v>
      </c>
      <c r="K870">
        <f>IFERROR(VLOOKUP(F870,'LEAID Match'!$A$2:$B$236,2,FALSE),"")</f>
        <v>2314410</v>
      </c>
    </row>
    <row r="871" spans="1:11" x14ac:dyDescent="0.2">
      <c r="A871">
        <f t="shared" si="13"/>
        <v>2314410</v>
      </c>
      <c r="B871">
        <v>2021</v>
      </c>
      <c r="C871" t="s">
        <v>642</v>
      </c>
      <c r="D871" t="s">
        <v>644</v>
      </c>
      <c r="E871" t="s">
        <v>646</v>
      </c>
      <c r="F871" t="s">
        <v>167</v>
      </c>
      <c r="G871" t="s">
        <v>168</v>
      </c>
      <c r="I871">
        <v>0</v>
      </c>
      <c r="J871">
        <v>0</v>
      </c>
      <c r="K871">
        <f>IFERROR(VLOOKUP(F871,'LEAID Match'!$A$2:$B$236,2,FALSE),"")</f>
        <v>2314410</v>
      </c>
    </row>
    <row r="872" spans="1:11" x14ac:dyDescent="0.2">
      <c r="A872">
        <f t="shared" si="13"/>
        <v>2314410</v>
      </c>
      <c r="B872">
        <v>2022</v>
      </c>
      <c r="C872" t="s">
        <v>642</v>
      </c>
      <c r="D872" t="s">
        <v>644</v>
      </c>
      <c r="E872" t="s">
        <v>646</v>
      </c>
      <c r="F872" t="s">
        <v>167</v>
      </c>
      <c r="G872" t="s">
        <v>168</v>
      </c>
      <c r="I872">
        <v>0</v>
      </c>
      <c r="J872">
        <v>0</v>
      </c>
      <c r="K872">
        <f>IFERROR(VLOOKUP(F872,'LEAID Match'!$A$2:$B$236,2,FALSE),"")</f>
        <v>2314410</v>
      </c>
    </row>
    <row r="873" spans="1:11" x14ac:dyDescent="0.2">
      <c r="A873">
        <f t="shared" si="13"/>
        <v>2314777</v>
      </c>
      <c r="B873">
        <v>2015</v>
      </c>
      <c r="C873" t="s">
        <v>642</v>
      </c>
      <c r="D873" t="s">
        <v>644</v>
      </c>
      <c r="E873" t="s">
        <v>646</v>
      </c>
      <c r="F873" t="s">
        <v>532</v>
      </c>
      <c r="G873" t="s">
        <v>169</v>
      </c>
      <c r="H873">
        <v>32548</v>
      </c>
      <c r="I873">
        <v>624063.66354911414</v>
      </c>
      <c r="J873">
        <v>656611.66354911414</v>
      </c>
      <c r="K873">
        <f>IFERROR(VLOOKUP(F873,'LEAID Match'!$A$2:$B$236,2,FALSE),"")</f>
        <v>2314777</v>
      </c>
    </row>
    <row r="874" spans="1:11" x14ac:dyDescent="0.2">
      <c r="A874">
        <f t="shared" si="13"/>
        <v>2314777</v>
      </c>
      <c r="B874">
        <v>2016</v>
      </c>
      <c r="C874" t="s">
        <v>642</v>
      </c>
      <c r="D874" t="s">
        <v>644</v>
      </c>
      <c r="E874" t="s">
        <v>646</v>
      </c>
      <c r="F874" s="1" t="s">
        <v>532</v>
      </c>
      <c r="G874" s="1" t="s">
        <v>169</v>
      </c>
      <c r="H874" s="22">
        <v>21373</v>
      </c>
      <c r="I874">
        <v>406185.36404328968</v>
      </c>
      <c r="J874">
        <v>427558.36404328968</v>
      </c>
      <c r="K874">
        <f>IFERROR(VLOOKUP(F874,'LEAID Match'!$A$2:$B$236,2,FALSE),"")</f>
        <v>2314777</v>
      </c>
    </row>
    <row r="875" spans="1:11" x14ac:dyDescent="0.2">
      <c r="A875">
        <f t="shared" si="13"/>
        <v>2314777</v>
      </c>
      <c r="B875">
        <v>2017</v>
      </c>
      <c r="C875" t="s">
        <v>642</v>
      </c>
      <c r="D875" t="s">
        <v>644</v>
      </c>
      <c r="E875" t="s">
        <v>646</v>
      </c>
      <c r="F875" t="s">
        <v>532</v>
      </c>
      <c r="G875" t="s">
        <v>169</v>
      </c>
      <c r="H875">
        <v>27812</v>
      </c>
      <c r="I875">
        <v>530302.47131196747</v>
      </c>
      <c r="J875">
        <v>558114.47131196747</v>
      </c>
      <c r="K875">
        <f>IFERROR(VLOOKUP(F875,'LEAID Match'!$A$2:$B$236,2,FALSE),"")</f>
        <v>2314777</v>
      </c>
    </row>
    <row r="876" spans="1:11" x14ac:dyDescent="0.2">
      <c r="A876">
        <f t="shared" si="13"/>
        <v>2314777</v>
      </c>
      <c r="B876">
        <v>2018</v>
      </c>
      <c r="C876" t="s">
        <v>642</v>
      </c>
      <c r="D876" t="s">
        <v>644</v>
      </c>
      <c r="E876" t="s">
        <v>646</v>
      </c>
      <c r="F876" t="s">
        <v>532</v>
      </c>
      <c r="G876" t="s">
        <v>169</v>
      </c>
      <c r="H876">
        <v>22820</v>
      </c>
      <c r="I876">
        <v>462545.28518402961</v>
      </c>
      <c r="J876">
        <v>485365.28518402961</v>
      </c>
      <c r="K876">
        <f>IFERROR(VLOOKUP(F876,'LEAID Match'!$A$2:$B$236,2,FALSE),"")</f>
        <v>2314777</v>
      </c>
    </row>
    <row r="877" spans="1:11" x14ac:dyDescent="0.2">
      <c r="A877">
        <f t="shared" si="13"/>
        <v>2314777</v>
      </c>
      <c r="B877">
        <v>2019</v>
      </c>
      <c r="C877" t="s">
        <v>642</v>
      </c>
      <c r="D877" t="s">
        <v>644</v>
      </c>
      <c r="E877" t="s">
        <v>646</v>
      </c>
      <c r="F877" t="s">
        <v>532</v>
      </c>
      <c r="G877" t="s">
        <v>169</v>
      </c>
      <c r="H877">
        <v>25632</v>
      </c>
      <c r="I877">
        <v>549140.90107776015</v>
      </c>
      <c r="J877">
        <v>574772.90107776015</v>
      </c>
      <c r="K877">
        <f>IFERROR(VLOOKUP(F877,'LEAID Match'!$A$2:$B$236,2,FALSE),"")</f>
        <v>2314777</v>
      </c>
    </row>
    <row r="878" spans="1:11" x14ac:dyDescent="0.2">
      <c r="A878">
        <f t="shared" si="13"/>
        <v>2314777</v>
      </c>
      <c r="B878">
        <v>2020</v>
      </c>
      <c r="C878" t="s">
        <v>642</v>
      </c>
      <c r="D878" t="s">
        <v>644</v>
      </c>
      <c r="E878" t="s">
        <v>646</v>
      </c>
      <c r="F878" t="s">
        <v>532</v>
      </c>
      <c r="G878" t="s">
        <v>169</v>
      </c>
      <c r="H878">
        <v>32147</v>
      </c>
      <c r="I878">
        <v>716297.10922102944</v>
      </c>
      <c r="J878">
        <v>748444.10922102944</v>
      </c>
      <c r="K878">
        <f>IFERROR(VLOOKUP(F878,'LEAID Match'!$A$2:$B$236,2,FALSE),"")</f>
        <v>2314777</v>
      </c>
    </row>
    <row r="879" spans="1:11" x14ac:dyDescent="0.2">
      <c r="A879">
        <f t="shared" si="13"/>
        <v>2314777</v>
      </c>
      <c r="B879">
        <v>2021</v>
      </c>
      <c r="C879" t="s">
        <v>642</v>
      </c>
      <c r="D879" t="s">
        <v>644</v>
      </c>
      <c r="E879" t="s">
        <v>646</v>
      </c>
      <c r="F879" t="s">
        <v>532</v>
      </c>
      <c r="G879" t="s">
        <v>169</v>
      </c>
      <c r="H879">
        <v>50206</v>
      </c>
      <c r="I879">
        <v>843428.18700248527</v>
      </c>
      <c r="J879">
        <v>893634.18700248527</v>
      </c>
      <c r="K879">
        <f>IFERROR(VLOOKUP(F879,'LEAID Match'!$A$2:$B$236,2,FALSE),"")</f>
        <v>2314777</v>
      </c>
    </row>
    <row r="880" spans="1:11" x14ac:dyDescent="0.2">
      <c r="A880">
        <f t="shared" si="13"/>
        <v>2314777</v>
      </c>
      <c r="B880">
        <v>2022</v>
      </c>
      <c r="C880" t="s">
        <v>642</v>
      </c>
      <c r="D880" t="s">
        <v>644</v>
      </c>
      <c r="E880" t="s">
        <v>646</v>
      </c>
      <c r="F880" t="s">
        <v>532</v>
      </c>
      <c r="G880" t="s">
        <v>169</v>
      </c>
      <c r="H880">
        <v>63517</v>
      </c>
      <c r="I880">
        <v>914325.48284417053</v>
      </c>
      <c r="J880">
        <v>977842.48284417053</v>
      </c>
      <c r="K880">
        <f>IFERROR(VLOOKUP(F880,'LEAID Match'!$A$2:$B$236,2,FALSE),"")</f>
        <v>2314777</v>
      </c>
    </row>
    <row r="881" spans="1:11" x14ac:dyDescent="0.2">
      <c r="A881">
        <f t="shared" si="13"/>
        <v>2314761</v>
      </c>
      <c r="B881">
        <v>2015</v>
      </c>
      <c r="C881" t="s">
        <v>642</v>
      </c>
      <c r="D881" t="s">
        <v>644</v>
      </c>
      <c r="E881" t="s">
        <v>646</v>
      </c>
      <c r="F881" t="s">
        <v>533</v>
      </c>
      <c r="G881" t="s">
        <v>170</v>
      </c>
      <c r="H881">
        <v>40564</v>
      </c>
      <c r="I881">
        <v>777759.56888921803</v>
      </c>
      <c r="J881">
        <v>818323.56888921803</v>
      </c>
      <c r="K881">
        <f>IFERROR(VLOOKUP(F881,'LEAID Match'!$A$2:$B$236,2,FALSE),"")</f>
        <v>2314761</v>
      </c>
    </row>
    <row r="882" spans="1:11" x14ac:dyDescent="0.2">
      <c r="A882">
        <f t="shared" si="13"/>
        <v>2314761</v>
      </c>
      <c r="B882">
        <v>2016</v>
      </c>
      <c r="C882" t="s">
        <v>642</v>
      </c>
      <c r="D882" t="s">
        <v>644</v>
      </c>
      <c r="E882" t="s">
        <v>646</v>
      </c>
      <c r="F882" s="1" t="s">
        <v>533</v>
      </c>
      <c r="G882" s="1" t="s">
        <v>170</v>
      </c>
      <c r="H882" s="22">
        <v>32463</v>
      </c>
      <c r="I882">
        <v>616946.40307571762</v>
      </c>
      <c r="J882">
        <v>649409.40307571762</v>
      </c>
      <c r="K882">
        <f>IFERROR(VLOOKUP(F882,'LEAID Match'!$A$2:$B$236,2,FALSE),"")</f>
        <v>2314761</v>
      </c>
    </row>
    <row r="883" spans="1:11" x14ac:dyDescent="0.2">
      <c r="A883">
        <f t="shared" si="13"/>
        <v>2314761</v>
      </c>
      <c r="B883">
        <v>2017</v>
      </c>
      <c r="C883" t="s">
        <v>642</v>
      </c>
      <c r="D883" t="s">
        <v>644</v>
      </c>
      <c r="E883" t="s">
        <v>646</v>
      </c>
      <c r="F883" t="s">
        <v>533</v>
      </c>
      <c r="G883" t="s">
        <v>170</v>
      </c>
      <c r="H883">
        <v>35871</v>
      </c>
      <c r="I883">
        <v>683966.63125383249</v>
      </c>
      <c r="J883">
        <v>719837.63125383249</v>
      </c>
      <c r="K883">
        <f>IFERROR(VLOOKUP(F883,'LEAID Match'!$A$2:$B$236,2,FALSE),"")</f>
        <v>2314761</v>
      </c>
    </row>
    <row r="884" spans="1:11" x14ac:dyDescent="0.2">
      <c r="A884">
        <f t="shared" si="13"/>
        <v>2314761</v>
      </c>
      <c r="B884">
        <v>2018</v>
      </c>
      <c r="C884" t="s">
        <v>642</v>
      </c>
      <c r="D884" t="s">
        <v>644</v>
      </c>
      <c r="E884" t="s">
        <v>646</v>
      </c>
      <c r="F884" t="s">
        <v>533</v>
      </c>
      <c r="G884" t="s">
        <v>170</v>
      </c>
      <c r="H884">
        <v>42478</v>
      </c>
      <c r="I884">
        <v>860999.06327989511</v>
      </c>
      <c r="J884">
        <v>903477.06327989511</v>
      </c>
      <c r="K884">
        <f>IFERROR(VLOOKUP(F884,'LEAID Match'!$A$2:$B$236,2,FALSE),"")</f>
        <v>2314761</v>
      </c>
    </row>
    <row r="885" spans="1:11" x14ac:dyDescent="0.2">
      <c r="A885">
        <f t="shared" si="13"/>
        <v>2314761</v>
      </c>
      <c r="B885">
        <v>2019</v>
      </c>
      <c r="C885" t="s">
        <v>642</v>
      </c>
      <c r="D885" t="s">
        <v>644</v>
      </c>
      <c r="E885" t="s">
        <v>646</v>
      </c>
      <c r="F885" t="s">
        <v>533</v>
      </c>
      <c r="G885" t="s">
        <v>170</v>
      </c>
      <c r="H885">
        <v>42015</v>
      </c>
      <c r="I885">
        <v>900130.88946559338</v>
      </c>
      <c r="J885">
        <v>942145.88946559338</v>
      </c>
      <c r="K885">
        <f>IFERROR(VLOOKUP(F885,'LEAID Match'!$A$2:$B$236,2,FALSE),"")</f>
        <v>2314761</v>
      </c>
    </row>
    <row r="886" spans="1:11" x14ac:dyDescent="0.2">
      <c r="A886">
        <f t="shared" si="13"/>
        <v>2314761</v>
      </c>
      <c r="B886">
        <v>2020</v>
      </c>
      <c r="C886" t="s">
        <v>642</v>
      </c>
      <c r="D886" t="s">
        <v>644</v>
      </c>
      <c r="E886" t="s">
        <v>646</v>
      </c>
      <c r="F886" t="s">
        <v>533</v>
      </c>
      <c r="G886" t="s">
        <v>170</v>
      </c>
      <c r="H886">
        <v>40043</v>
      </c>
      <c r="I886">
        <v>892235.20529249031</v>
      </c>
      <c r="J886">
        <v>932278.20529249031</v>
      </c>
      <c r="K886">
        <f>IFERROR(VLOOKUP(F886,'LEAID Match'!$A$2:$B$236,2,FALSE),"")</f>
        <v>2314761</v>
      </c>
    </row>
    <row r="887" spans="1:11" x14ac:dyDescent="0.2">
      <c r="A887">
        <f t="shared" si="13"/>
        <v>2314761</v>
      </c>
      <c r="B887">
        <v>2021</v>
      </c>
      <c r="C887" t="s">
        <v>642</v>
      </c>
      <c r="D887" t="s">
        <v>644</v>
      </c>
      <c r="E887" t="s">
        <v>646</v>
      </c>
      <c r="F887" t="s">
        <v>533</v>
      </c>
      <c r="G887" t="s">
        <v>170</v>
      </c>
      <c r="H887">
        <v>51813</v>
      </c>
      <c r="I887">
        <v>870424.7431215347</v>
      </c>
      <c r="J887">
        <v>922237.7431215347</v>
      </c>
      <c r="K887">
        <f>IFERROR(VLOOKUP(F887,'LEAID Match'!$A$2:$B$236,2,FALSE),"")</f>
        <v>2314761</v>
      </c>
    </row>
    <row r="888" spans="1:11" x14ac:dyDescent="0.2">
      <c r="A888">
        <f t="shared" si="13"/>
        <v>2314761</v>
      </c>
      <c r="B888">
        <v>2022</v>
      </c>
      <c r="C888" t="s">
        <v>642</v>
      </c>
      <c r="D888" t="s">
        <v>644</v>
      </c>
      <c r="E888" t="s">
        <v>646</v>
      </c>
      <c r="F888" t="s">
        <v>533</v>
      </c>
      <c r="G888" t="s">
        <v>170</v>
      </c>
      <c r="H888">
        <v>64497</v>
      </c>
      <c r="I888">
        <v>928432.55611884163</v>
      </c>
      <c r="J888">
        <v>992929.55611884163</v>
      </c>
      <c r="K888">
        <f>IFERROR(VLOOKUP(F888,'LEAID Match'!$A$2:$B$236,2,FALSE),"")</f>
        <v>2314761</v>
      </c>
    </row>
    <row r="889" spans="1:11" x14ac:dyDescent="0.2">
      <c r="A889">
        <f t="shared" si="13"/>
        <v>2314765</v>
      </c>
      <c r="B889">
        <v>2015</v>
      </c>
      <c r="C889" t="s">
        <v>642</v>
      </c>
      <c r="D889" t="s">
        <v>644</v>
      </c>
      <c r="E889" t="s">
        <v>646</v>
      </c>
      <c r="F889" s="1" t="s">
        <v>534</v>
      </c>
      <c r="G889" t="s">
        <v>171</v>
      </c>
      <c r="H889">
        <v>18903</v>
      </c>
      <c r="I889">
        <v>362439.33366317151</v>
      </c>
      <c r="J889">
        <v>381342.33366317151</v>
      </c>
      <c r="K889">
        <f>IFERROR(VLOOKUP(F889,'LEAID Match'!$A$2:$B$236,2,FALSE),"")</f>
        <v>2314765</v>
      </c>
    </row>
    <row r="890" spans="1:11" x14ac:dyDescent="0.2">
      <c r="A890">
        <f t="shared" si="13"/>
        <v>2314765</v>
      </c>
      <c r="B890">
        <v>2016</v>
      </c>
      <c r="C890" t="s">
        <v>642</v>
      </c>
      <c r="D890" t="s">
        <v>644</v>
      </c>
      <c r="E890" t="s">
        <v>646</v>
      </c>
      <c r="F890" s="1" t="s">
        <v>534</v>
      </c>
      <c r="G890" s="1" t="s">
        <v>171</v>
      </c>
      <c r="H890" s="22">
        <v>15348</v>
      </c>
      <c r="I890">
        <v>291682.63544361625</v>
      </c>
      <c r="J890">
        <v>307030.63544361625</v>
      </c>
      <c r="K890">
        <f>IFERROR(VLOOKUP(F890,'LEAID Match'!$A$2:$B$236,2,FALSE),"")</f>
        <v>2314765</v>
      </c>
    </row>
    <row r="891" spans="1:11" x14ac:dyDescent="0.2">
      <c r="A891">
        <f t="shared" si="13"/>
        <v>2314765</v>
      </c>
      <c r="B891">
        <v>2017</v>
      </c>
      <c r="C891" t="s">
        <v>642</v>
      </c>
      <c r="D891" t="s">
        <v>644</v>
      </c>
      <c r="E891" t="s">
        <v>646</v>
      </c>
      <c r="F891" t="s">
        <v>534</v>
      </c>
      <c r="G891" t="s">
        <v>171</v>
      </c>
      <c r="H891">
        <v>17454</v>
      </c>
      <c r="I891">
        <v>332802.36352218757</v>
      </c>
      <c r="J891">
        <v>350256.36352218757</v>
      </c>
      <c r="K891">
        <f>IFERROR(VLOOKUP(F891,'LEAID Match'!$A$2:$B$236,2,FALSE),"")</f>
        <v>2314765</v>
      </c>
    </row>
    <row r="892" spans="1:11" x14ac:dyDescent="0.2">
      <c r="A892">
        <f t="shared" si="13"/>
        <v>2314765</v>
      </c>
      <c r="B892">
        <v>2018</v>
      </c>
      <c r="C892" t="s">
        <v>642</v>
      </c>
      <c r="D892" t="s">
        <v>644</v>
      </c>
      <c r="E892" t="s">
        <v>646</v>
      </c>
      <c r="F892" t="s">
        <v>534</v>
      </c>
      <c r="G892" t="s">
        <v>171</v>
      </c>
      <c r="H892">
        <v>20400</v>
      </c>
      <c r="I892">
        <v>413493.59411718685</v>
      </c>
      <c r="J892">
        <v>433893.59411718685</v>
      </c>
      <c r="K892">
        <f>IFERROR(VLOOKUP(F892,'LEAID Match'!$A$2:$B$236,2,FALSE),"")</f>
        <v>2314765</v>
      </c>
    </row>
    <row r="893" spans="1:11" x14ac:dyDescent="0.2">
      <c r="A893">
        <f t="shared" si="13"/>
        <v>2314765</v>
      </c>
      <c r="B893">
        <v>2019</v>
      </c>
      <c r="C893" t="s">
        <v>642</v>
      </c>
      <c r="D893" t="s">
        <v>644</v>
      </c>
      <c r="E893" t="s">
        <v>646</v>
      </c>
      <c r="F893" t="s">
        <v>534</v>
      </c>
      <c r="G893" t="s">
        <v>171</v>
      </c>
      <c r="H893">
        <v>22408</v>
      </c>
      <c r="I893">
        <v>480069.80771498312</v>
      </c>
      <c r="J893">
        <v>502477.80771498312</v>
      </c>
      <c r="K893">
        <f>IFERROR(VLOOKUP(F893,'LEAID Match'!$A$2:$B$236,2,FALSE),"")</f>
        <v>2314765</v>
      </c>
    </row>
    <row r="894" spans="1:11" x14ac:dyDescent="0.2">
      <c r="A894">
        <f t="shared" si="13"/>
        <v>2314765</v>
      </c>
      <c r="B894">
        <v>2020</v>
      </c>
      <c r="C894" t="s">
        <v>642</v>
      </c>
      <c r="D894" t="s">
        <v>644</v>
      </c>
      <c r="E894" t="s">
        <v>646</v>
      </c>
      <c r="F894" t="s">
        <v>534</v>
      </c>
      <c r="G894" t="s">
        <v>171</v>
      </c>
      <c r="H894">
        <v>26938</v>
      </c>
      <c r="I894">
        <v>600230.55116172868</v>
      </c>
      <c r="J894">
        <v>627168.55116172868</v>
      </c>
      <c r="K894">
        <f>IFERROR(VLOOKUP(F894,'LEAID Match'!$A$2:$B$236,2,FALSE),"")</f>
        <v>2314765</v>
      </c>
    </row>
    <row r="895" spans="1:11" x14ac:dyDescent="0.2">
      <c r="A895">
        <f t="shared" si="13"/>
        <v>2314765</v>
      </c>
      <c r="B895">
        <v>2021</v>
      </c>
      <c r="C895" t="s">
        <v>642</v>
      </c>
      <c r="D895" t="s">
        <v>644</v>
      </c>
      <c r="E895" t="s">
        <v>646</v>
      </c>
      <c r="F895" t="s">
        <v>534</v>
      </c>
      <c r="G895" t="s">
        <v>171</v>
      </c>
      <c r="H895">
        <v>22590</v>
      </c>
      <c r="I895">
        <v>379497.32590499427</v>
      </c>
      <c r="J895">
        <v>402087.32590499427</v>
      </c>
      <c r="K895">
        <f>IFERROR(VLOOKUP(F895,'LEAID Match'!$A$2:$B$236,2,FALSE),"")</f>
        <v>2314765</v>
      </c>
    </row>
    <row r="896" spans="1:11" x14ac:dyDescent="0.2">
      <c r="A896">
        <f t="shared" si="13"/>
        <v>2314765</v>
      </c>
      <c r="B896">
        <v>2022</v>
      </c>
      <c r="C896" t="s">
        <v>642</v>
      </c>
      <c r="D896" t="s">
        <v>644</v>
      </c>
      <c r="E896" t="s">
        <v>646</v>
      </c>
      <c r="F896" t="s">
        <v>534</v>
      </c>
      <c r="G896" t="s">
        <v>171</v>
      </c>
      <c r="H896">
        <v>62593</v>
      </c>
      <c r="I896">
        <v>901024.52804233774</v>
      </c>
      <c r="J896">
        <v>963617.52804233774</v>
      </c>
      <c r="K896">
        <f>IFERROR(VLOOKUP(F896,'LEAID Match'!$A$2:$B$236,2,FALSE),"")</f>
        <v>2314765</v>
      </c>
    </row>
    <row r="897" spans="1:11" x14ac:dyDescent="0.2">
      <c r="A897">
        <f t="shared" si="13"/>
        <v>2314767</v>
      </c>
      <c r="B897">
        <v>2015</v>
      </c>
      <c r="C897" t="s">
        <v>642</v>
      </c>
      <c r="D897" t="s">
        <v>644</v>
      </c>
      <c r="E897" t="s">
        <v>646</v>
      </c>
      <c r="F897" t="s">
        <v>535</v>
      </c>
      <c r="G897" t="s">
        <v>172</v>
      </c>
      <c r="H897">
        <v>56499</v>
      </c>
      <c r="I897">
        <v>1083291.5364035086</v>
      </c>
      <c r="J897">
        <v>1139790.5364035086</v>
      </c>
      <c r="K897">
        <f>IFERROR(VLOOKUP(F897,'LEAID Match'!$A$2:$B$236,2,FALSE),"")</f>
        <v>2314767</v>
      </c>
    </row>
    <row r="898" spans="1:11" x14ac:dyDescent="0.2">
      <c r="A898">
        <f t="shared" si="13"/>
        <v>2314767</v>
      </c>
      <c r="B898">
        <v>2016</v>
      </c>
      <c r="C898" t="s">
        <v>642</v>
      </c>
      <c r="D898" t="s">
        <v>644</v>
      </c>
      <c r="E898" t="s">
        <v>646</v>
      </c>
      <c r="F898" s="1" t="s">
        <v>535</v>
      </c>
      <c r="G898" s="1" t="s">
        <v>172</v>
      </c>
      <c r="H898" s="22">
        <v>39469</v>
      </c>
      <c r="I898">
        <v>750092.64648971136</v>
      </c>
      <c r="J898">
        <v>789561.64648971136</v>
      </c>
      <c r="K898">
        <f>IFERROR(VLOOKUP(F898,'LEAID Match'!$A$2:$B$236,2,FALSE),"")</f>
        <v>2314767</v>
      </c>
    </row>
    <row r="899" spans="1:11" x14ac:dyDescent="0.2">
      <c r="A899">
        <f t="shared" ref="A899:A962" si="14">K899</f>
        <v>2314767</v>
      </c>
      <c r="B899">
        <v>2017</v>
      </c>
      <c r="C899" t="s">
        <v>642</v>
      </c>
      <c r="D899" t="s">
        <v>644</v>
      </c>
      <c r="E899" t="s">
        <v>646</v>
      </c>
      <c r="F899" t="s">
        <v>535</v>
      </c>
      <c r="G899" t="s">
        <v>172</v>
      </c>
      <c r="H899">
        <v>34030</v>
      </c>
      <c r="I899">
        <v>648863.55165922106</v>
      </c>
      <c r="J899">
        <v>682893.55165922106</v>
      </c>
      <c r="K899">
        <f>IFERROR(VLOOKUP(F899,'LEAID Match'!$A$2:$B$236,2,FALSE),"")</f>
        <v>2314767</v>
      </c>
    </row>
    <row r="900" spans="1:11" x14ac:dyDescent="0.2">
      <c r="A900">
        <f t="shared" si="14"/>
        <v>2314767</v>
      </c>
      <c r="B900">
        <v>2018</v>
      </c>
      <c r="C900" t="s">
        <v>642</v>
      </c>
      <c r="D900" t="s">
        <v>644</v>
      </c>
      <c r="E900" t="s">
        <v>646</v>
      </c>
      <c r="F900" t="s">
        <v>535</v>
      </c>
      <c r="G900" t="s">
        <v>172</v>
      </c>
      <c r="H900">
        <v>48478</v>
      </c>
      <c r="I900">
        <v>982614.82625553838</v>
      </c>
      <c r="J900">
        <v>1031092.8262555384</v>
      </c>
      <c r="K900">
        <f>IFERROR(VLOOKUP(F900,'LEAID Match'!$A$2:$B$236,2,FALSE),"")</f>
        <v>2314767</v>
      </c>
    </row>
    <row r="901" spans="1:11" x14ac:dyDescent="0.2">
      <c r="A901">
        <f t="shared" si="14"/>
        <v>2314767</v>
      </c>
      <c r="B901">
        <v>2019</v>
      </c>
      <c r="C901" t="s">
        <v>642</v>
      </c>
      <c r="D901" t="s">
        <v>644</v>
      </c>
      <c r="E901" t="s">
        <v>646</v>
      </c>
      <c r="F901" t="s">
        <v>535</v>
      </c>
      <c r="G901" t="s">
        <v>172</v>
      </c>
      <c r="H901">
        <v>46593</v>
      </c>
      <c r="I901">
        <v>998210.12811782432</v>
      </c>
      <c r="J901">
        <v>1044803.1281178243</v>
      </c>
      <c r="K901">
        <f>IFERROR(VLOOKUP(F901,'LEAID Match'!$A$2:$B$236,2,FALSE),"")</f>
        <v>2314767</v>
      </c>
    </row>
    <row r="902" spans="1:11" x14ac:dyDescent="0.2">
      <c r="A902">
        <f t="shared" si="14"/>
        <v>2314767</v>
      </c>
      <c r="B902">
        <v>2020</v>
      </c>
      <c r="C902" t="s">
        <v>642</v>
      </c>
      <c r="D902" t="s">
        <v>644</v>
      </c>
      <c r="E902" t="s">
        <v>646</v>
      </c>
      <c r="F902" t="s">
        <v>535</v>
      </c>
      <c r="G902" t="s">
        <v>172</v>
      </c>
      <c r="H902">
        <v>58502</v>
      </c>
      <c r="I902">
        <v>1303537.2969063572</v>
      </c>
      <c r="J902">
        <v>1362039.2969063572</v>
      </c>
      <c r="K902">
        <f>IFERROR(VLOOKUP(F902,'LEAID Match'!$A$2:$B$236,2,FALSE),"")</f>
        <v>2314767</v>
      </c>
    </row>
    <row r="903" spans="1:11" x14ac:dyDescent="0.2">
      <c r="A903">
        <f t="shared" si="14"/>
        <v>2314767</v>
      </c>
      <c r="B903">
        <v>2021</v>
      </c>
      <c r="C903" t="s">
        <v>642</v>
      </c>
      <c r="D903" t="s">
        <v>644</v>
      </c>
      <c r="E903" t="s">
        <v>646</v>
      </c>
      <c r="F903" t="s">
        <v>535</v>
      </c>
      <c r="G903" t="s">
        <v>172</v>
      </c>
      <c r="H903">
        <v>62963</v>
      </c>
      <c r="I903">
        <v>1057737.5002636632</v>
      </c>
      <c r="J903">
        <v>1120700.5002636632</v>
      </c>
      <c r="K903">
        <f>IFERROR(VLOOKUP(F903,'LEAID Match'!$A$2:$B$236,2,FALSE),"")</f>
        <v>2314767</v>
      </c>
    </row>
    <row r="904" spans="1:11" x14ac:dyDescent="0.2">
      <c r="A904">
        <f t="shared" si="14"/>
        <v>2314767</v>
      </c>
      <c r="B904">
        <v>2022</v>
      </c>
      <c r="C904" t="s">
        <v>642</v>
      </c>
      <c r="D904" t="s">
        <v>644</v>
      </c>
      <c r="E904" t="s">
        <v>646</v>
      </c>
      <c r="F904" t="s">
        <v>535</v>
      </c>
      <c r="G904" t="s">
        <v>172</v>
      </c>
      <c r="H904">
        <v>82856</v>
      </c>
      <c r="I904">
        <v>1192709.8604552576</v>
      </c>
      <c r="J904">
        <v>1275565.8604552576</v>
      </c>
      <c r="K904">
        <f>IFERROR(VLOOKUP(F904,'LEAID Match'!$A$2:$B$236,2,FALSE),"")</f>
        <v>2314767</v>
      </c>
    </row>
    <row r="905" spans="1:11" x14ac:dyDescent="0.2">
      <c r="A905">
        <f t="shared" si="14"/>
        <v>2314768</v>
      </c>
      <c r="B905">
        <v>2015</v>
      </c>
      <c r="C905" t="s">
        <v>642</v>
      </c>
      <c r="D905" t="s">
        <v>644</v>
      </c>
      <c r="E905" t="s">
        <v>646</v>
      </c>
      <c r="F905" s="1" t="s">
        <v>536</v>
      </c>
      <c r="G905" t="s">
        <v>173</v>
      </c>
      <c r="H905">
        <v>97996</v>
      </c>
      <c r="I905">
        <v>1878940.1122391236</v>
      </c>
      <c r="J905">
        <v>1976936.1122391236</v>
      </c>
      <c r="K905">
        <f>IFERROR(VLOOKUP(F905,'LEAID Match'!$A$2:$B$236,2,FALSE),"")</f>
        <v>2314768</v>
      </c>
    </row>
    <row r="906" spans="1:11" x14ac:dyDescent="0.2">
      <c r="A906">
        <f t="shared" si="14"/>
        <v>2314768</v>
      </c>
      <c r="B906">
        <v>2016</v>
      </c>
      <c r="C906" t="s">
        <v>642</v>
      </c>
      <c r="D906" t="s">
        <v>644</v>
      </c>
      <c r="E906" t="s">
        <v>646</v>
      </c>
      <c r="F906" s="1" t="s">
        <v>536</v>
      </c>
      <c r="G906" s="1" t="s">
        <v>173</v>
      </c>
      <c r="H906" s="22">
        <v>80375</v>
      </c>
      <c r="I906">
        <v>1527494.9064230295</v>
      </c>
      <c r="J906">
        <v>1607869.9064230295</v>
      </c>
      <c r="K906">
        <f>IFERROR(VLOOKUP(F906,'LEAID Match'!$A$2:$B$236,2,FALSE),"")</f>
        <v>2314768</v>
      </c>
    </row>
    <row r="907" spans="1:11" x14ac:dyDescent="0.2">
      <c r="A907">
        <f t="shared" si="14"/>
        <v>2314768</v>
      </c>
      <c r="B907">
        <v>2017</v>
      </c>
      <c r="C907" t="s">
        <v>642</v>
      </c>
      <c r="D907" t="s">
        <v>644</v>
      </c>
      <c r="E907" t="s">
        <v>646</v>
      </c>
      <c r="F907" t="s">
        <v>536</v>
      </c>
      <c r="G907" t="s">
        <v>173</v>
      </c>
      <c r="H907">
        <v>85347</v>
      </c>
      <c r="I907">
        <v>1627345.2113858224</v>
      </c>
      <c r="J907">
        <v>1712692.2113858224</v>
      </c>
      <c r="K907">
        <f>IFERROR(VLOOKUP(F907,'LEAID Match'!$A$2:$B$236,2,FALSE),"")</f>
        <v>2314768</v>
      </c>
    </row>
    <row r="908" spans="1:11" x14ac:dyDescent="0.2">
      <c r="A908">
        <f t="shared" si="14"/>
        <v>2314768</v>
      </c>
      <c r="B908">
        <v>2018</v>
      </c>
      <c r="C908" t="s">
        <v>642</v>
      </c>
      <c r="D908" t="s">
        <v>644</v>
      </c>
      <c r="E908" t="s">
        <v>646</v>
      </c>
      <c r="F908" t="s">
        <v>536</v>
      </c>
      <c r="G908" t="s">
        <v>173</v>
      </c>
      <c r="H908">
        <v>88843</v>
      </c>
      <c r="I908">
        <v>1800784.8716741779</v>
      </c>
      <c r="J908">
        <v>1889627.8716741779</v>
      </c>
      <c r="K908">
        <f>IFERROR(VLOOKUP(F908,'LEAID Match'!$A$2:$B$236,2,FALSE),"")</f>
        <v>2314768</v>
      </c>
    </row>
    <row r="909" spans="1:11" x14ac:dyDescent="0.2">
      <c r="A909">
        <f t="shared" si="14"/>
        <v>2314768</v>
      </c>
      <c r="B909">
        <v>2019</v>
      </c>
      <c r="C909" t="s">
        <v>642</v>
      </c>
      <c r="D909" t="s">
        <v>644</v>
      </c>
      <c r="E909" t="s">
        <v>646</v>
      </c>
      <c r="F909" t="s">
        <v>536</v>
      </c>
      <c r="G909" t="s">
        <v>173</v>
      </c>
      <c r="H909">
        <v>99554</v>
      </c>
      <c r="I909">
        <v>2132848.520048975</v>
      </c>
      <c r="J909">
        <v>2232402.520048975</v>
      </c>
      <c r="K909">
        <f>IFERROR(VLOOKUP(F909,'LEAID Match'!$A$2:$B$236,2,FALSE),"")</f>
        <v>2314768</v>
      </c>
    </row>
    <row r="910" spans="1:11" x14ac:dyDescent="0.2">
      <c r="A910">
        <f t="shared" si="14"/>
        <v>2314768</v>
      </c>
      <c r="B910">
        <v>2020</v>
      </c>
      <c r="C910" t="s">
        <v>642</v>
      </c>
      <c r="D910" t="s">
        <v>644</v>
      </c>
      <c r="E910" t="s">
        <v>646</v>
      </c>
      <c r="F910" t="s">
        <v>536</v>
      </c>
      <c r="G910" t="s">
        <v>173</v>
      </c>
      <c r="H910">
        <v>66442</v>
      </c>
      <c r="I910">
        <v>1480455.7977684899</v>
      </c>
      <c r="J910">
        <v>1546897.7977684899</v>
      </c>
      <c r="K910">
        <f>IFERROR(VLOOKUP(F910,'LEAID Match'!$A$2:$B$236,2,FALSE),"")</f>
        <v>2314768</v>
      </c>
    </row>
    <row r="911" spans="1:11" x14ac:dyDescent="0.2">
      <c r="A911">
        <f t="shared" si="14"/>
        <v>2314768</v>
      </c>
      <c r="B911">
        <v>2021</v>
      </c>
      <c r="C911" t="s">
        <v>642</v>
      </c>
      <c r="D911" t="s">
        <v>644</v>
      </c>
      <c r="E911" t="s">
        <v>646</v>
      </c>
      <c r="F911" t="s">
        <v>536</v>
      </c>
      <c r="G911" t="s">
        <v>173</v>
      </c>
      <c r="H911">
        <v>111720</v>
      </c>
      <c r="I911">
        <v>1876823.4285128799</v>
      </c>
      <c r="J911">
        <v>1988543.4285128799</v>
      </c>
      <c r="K911">
        <f>IFERROR(VLOOKUP(F911,'LEAID Match'!$A$2:$B$236,2,FALSE),"")</f>
        <v>2314768</v>
      </c>
    </row>
    <row r="912" spans="1:11" x14ac:dyDescent="0.2">
      <c r="A912">
        <f t="shared" si="14"/>
        <v>2314768</v>
      </c>
      <c r="B912">
        <v>2022</v>
      </c>
      <c r="C912" t="s">
        <v>642</v>
      </c>
      <c r="D912" t="s">
        <v>644</v>
      </c>
      <c r="E912" t="s">
        <v>646</v>
      </c>
      <c r="F912" t="s">
        <v>536</v>
      </c>
      <c r="G912" t="s">
        <v>173</v>
      </c>
      <c r="H912">
        <v>209312</v>
      </c>
      <c r="I912">
        <v>3013040.5319060883</v>
      </c>
      <c r="J912">
        <v>3222352.5319060883</v>
      </c>
      <c r="K912">
        <f>IFERROR(VLOOKUP(F912,'LEAID Match'!$A$2:$B$236,2,FALSE),"")</f>
        <v>2314768</v>
      </c>
    </row>
    <row r="913" spans="1:11" x14ac:dyDescent="0.2">
      <c r="A913">
        <f t="shared" si="14"/>
        <v>2300069</v>
      </c>
      <c r="B913">
        <v>2015</v>
      </c>
      <c r="C913" t="s">
        <v>642</v>
      </c>
      <c r="D913" t="s">
        <v>644</v>
      </c>
      <c r="E913" t="s">
        <v>646</v>
      </c>
      <c r="F913" t="s">
        <v>537</v>
      </c>
      <c r="G913" t="s">
        <v>174</v>
      </c>
      <c r="H913">
        <v>40429</v>
      </c>
      <c r="I913">
        <v>775171.12736964296</v>
      </c>
      <c r="J913">
        <v>815600.12736964296</v>
      </c>
      <c r="K913">
        <f>IFERROR(VLOOKUP(F913,'LEAID Match'!$A$2:$B$236,2,FALSE),"")</f>
        <v>2300069</v>
      </c>
    </row>
    <row r="914" spans="1:11" x14ac:dyDescent="0.2">
      <c r="A914">
        <f t="shared" si="14"/>
        <v>2300069</v>
      </c>
      <c r="B914">
        <v>2016</v>
      </c>
      <c r="C914" t="s">
        <v>642</v>
      </c>
      <c r="D914" t="s">
        <v>644</v>
      </c>
      <c r="E914" t="s">
        <v>646</v>
      </c>
      <c r="F914" s="1" t="s">
        <v>537</v>
      </c>
      <c r="G914" s="1" t="s">
        <v>174</v>
      </c>
      <c r="H914" s="22">
        <v>42850</v>
      </c>
      <c r="I914">
        <v>814347.2067213289</v>
      </c>
      <c r="J914">
        <v>857197.2067213289</v>
      </c>
      <c r="K914">
        <f>IFERROR(VLOOKUP(F914,'LEAID Match'!$A$2:$B$236,2,FALSE),"")</f>
        <v>2300069</v>
      </c>
    </row>
    <row r="915" spans="1:11" x14ac:dyDescent="0.2">
      <c r="A915">
        <f t="shared" si="14"/>
        <v>2300069</v>
      </c>
      <c r="B915">
        <v>2017</v>
      </c>
      <c r="C915" t="s">
        <v>642</v>
      </c>
      <c r="D915" t="s">
        <v>644</v>
      </c>
      <c r="E915" t="s">
        <v>646</v>
      </c>
      <c r="F915" t="s">
        <v>537</v>
      </c>
      <c r="G915" t="s">
        <v>174</v>
      </c>
      <c r="H915">
        <v>44364</v>
      </c>
      <c r="I915">
        <v>845906.04189860949</v>
      </c>
      <c r="J915">
        <v>890270.04189860949</v>
      </c>
      <c r="K915">
        <f>IFERROR(VLOOKUP(F915,'LEAID Match'!$A$2:$B$236,2,FALSE),"")</f>
        <v>2300069</v>
      </c>
    </row>
    <row r="916" spans="1:11" x14ac:dyDescent="0.2">
      <c r="A916">
        <f t="shared" si="14"/>
        <v>2300069</v>
      </c>
      <c r="B916">
        <v>2018</v>
      </c>
      <c r="C916" t="s">
        <v>642</v>
      </c>
      <c r="D916" t="s">
        <v>644</v>
      </c>
      <c r="E916" t="s">
        <v>646</v>
      </c>
      <c r="F916" t="s">
        <v>537</v>
      </c>
      <c r="G916" t="s">
        <v>174</v>
      </c>
      <c r="H916">
        <v>40874</v>
      </c>
      <c r="I916">
        <v>828487.11597773992</v>
      </c>
      <c r="J916">
        <v>869361.11597773992</v>
      </c>
      <c r="K916">
        <f>IFERROR(VLOOKUP(F916,'LEAID Match'!$A$2:$B$236,2,FALSE),"")</f>
        <v>2300069</v>
      </c>
    </row>
    <row r="917" spans="1:11" x14ac:dyDescent="0.2">
      <c r="A917">
        <f t="shared" si="14"/>
        <v>2300069</v>
      </c>
      <c r="B917">
        <v>2019</v>
      </c>
      <c r="C917" t="s">
        <v>642</v>
      </c>
      <c r="D917" t="s">
        <v>644</v>
      </c>
      <c r="E917" t="s">
        <v>646</v>
      </c>
      <c r="F917" t="s">
        <v>537</v>
      </c>
      <c r="G917" t="s">
        <v>174</v>
      </c>
      <c r="H917">
        <v>37777</v>
      </c>
      <c r="I917">
        <v>809335.82319033018</v>
      </c>
      <c r="J917">
        <v>847112.82319033018</v>
      </c>
      <c r="K917">
        <f>IFERROR(VLOOKUP(F917,'LEAID Match'!$A$2:$B$236,2,FALSE),"")</f>
        <v>2300069</v>
      </c>
    </row>
    <row r="918" spans="1:11" x14ac:dyDescent="0.2">
      <c r="A918">
        <f t="shared" si="14"/>
        <v>2300069</v>
      </c>
      <c r="B918">
        <v>2020</v>
      </c>
      <c r="C918" t="s">
        <v>642</v>
      </c>
      <c r="D918" t="s">
        <v>644</v>
      </c>
      <c r="E918" t="s">
        <v>646</v>
      </c>
      <c r="F918" t="s">
        <v>537</v>
      </c>
      <c r="G918" t="s">
        <v>174</v>
      </c>
      <c r="H918">
        <v>51159</v>
      </c>
      <c r="I918">
        <v>1139921.1064994759</v>
      </c>
      <c r="J918">
        <v>1191080.1064994759</v>
      </c>
      <c r="K918">
        <f>IFERROR(VLOOKUP(F918,'LEAID Match'!$A$2:$B$236,2,FALSE),"")</f>
        <v>2300069</v>
      </c>
    </row>
    <row r="919" spans="1:11" x14ac:dyDescent="0.2">
      <c r="A919">
        <f t="shared" si="14"/>
        <v>2300069</v>
      </c>
      <c r="B919">
        <v>2021</v>
      </c>
      <c r="C919" t="s">
        <v>642</v>
      </c>
      <c r="D919" t="s">
        <v>644</v>
      </c>
      <c r="E919" t="s">
        <v>646</v>
      </c>
      <c r="F919" t="s">
        <v>537</v>
      </c>
      <c r="G919" t="s">
        <v>174</v>
      </c>
      <c r="H919">
        <v>38623</v>
      </c>
      <c r="I919">
        <v>648841.31113008375</v>
      </c>
      <c r="J919">
        <v>687464.31113008375</v>
      </c>
      <c r="K919">
        <f>IFERROR(VLOOKUP(F919,'LEAID Match'!$A$2:$B$236,2,FALSE),"")</f>
        <v>2300069</v>
      </c>
    </row>
    <row r="920" spans="1:11" x14ac:dyDescent="0.2">
      <c r="A920">
        <f t="shared" si="14"/>
        <v>2300069</v>
      </c>
      <c r="B920">
        <v>2022</v>
      </c>
      <c r="C920" t="s">
        <v>642</v>
      </c>
      <c r="D920" t="s">
        <v>644</v>
      </c>
      <c r="E920" t="s">
        <v>646</v>
      </c>
      <c r="F920" t="s">
        <v>537</v>
      </c>
      <c r="G920" t="s">
        <v>174</v>
      </c>
      <c r="H920">
        <v>54903</v>
      </c>
      <c r="I920">
        <v>790327.18775435688</v>
      </c>
      <c r="J920">
        <v>845230.18775435688</v>
      </c>
      <c r="K920">
        <f>IFERROR(VLOOKUP(F920,'LEAID Match'!$A$2:$B$236,2,FALSE),"")</f>
        <v>2300069</v>
      </c>
    </row>
    <row r="921" spans="1:11" x14ac:dyDescent="0.2">
      <c r="A921">
        <f t="shared" si="14"/>
        <v>2300064</v>
      </c>
      <c r="B921">
        <v>2015</v>
      </c>
      <c r="C921" t="s">
        <v>642</v>
      </c>
      <c r="D921" t="s">
        <v>644</v>
      </c>
      <c r="E921" t="s">
        <v>646</v>
      </c>
      <c r="F921" t="s">
        <v>175</v>
      </c>
      <c r="G921" t="s">
        <v>176</v>
      </c>
      <c r="H921">
        <v>60142</v>
      </c>
      <c r="I921">
        <v>1153141.110150265</v>
      </c>
      <c r="J921">
        <v>1213283.110150265</v>
      </c>
      <c r="K921">
        <f>IFERROR(VLOOKUP(F921,'LEAID Match'!$A$2:$B$236,2,FALSE),"")</f>
        <v>2300064</v>
      </c>
    </row>
    <row r="922" spans="1:11" x14ac:dyDescent="0.2">
      <c r="A922">
        <f t="shared" si="14"/>
        <v>2300064</v>
      </c>
      <c r="B922">
        <v>2016</v>
      </c>
      <c r="C922" t="s">
        <v>642</v>
      </c>
      <c r="D922" t="s">
        <v>644</v>
      </c>
      <c r="E922" t="s">
        <v>646</v>
      </c>
      <c r="F922" s="1" t="s">
        <v>175</v>
      </c>
      <c r="G922" s="1" t="s">
        <v>176</v>
      </c>
      <c r="H922" s="22">
        <v>33507</v>
      </c>
      <c r="I922">
        <v>636787.20783224201</v>
      </c>
      <c r="J922">
        <v>670294.20783224201</v>
      </c>
      <c r="K922">
        <f>IFERROR(VLOOKUP(F922,'LEAID Match'!$A$2:$B$236,2,FALSE),"")</f>
        <v>2300064</v>
      </c>
    </row>
    <row r="923" spans="1:11" x14ac:dyDescent="0.2">
      <c r="A923">
        <f t="shared" si="14"/>
        <v>2300064</v>
      </c>
      <c r="B923">
        <v>2017</v>
      </c>
      <c r="C923" t="s">
        <v>642</v>
      </c>
      <c r="D923" t="s">
        <v>644</v>
      </c>
      <c r="E923" t="s">
        <v>646</v>
      </c>
      <c r="F923" t="s">
        <v>175</v>
      </c>
      <c r="G923" t="s">
        <v>176</v>
      </c>
      <c r="H923">
        <v>22098</v>
      </c>
      <c r="I923">
        <v>421351.3595229346</v>
      </c>
      <c r="J923">
        <v>443449.3595229346</v>
      </c>
      <c r="K923">
        <f>IFERROR(VLOOKUP(F923,'LEAID Match'!$A$2:$B$236,2,FALSE),"")</f>
        <v>2300064</v>
      </c>
    </row>
    <row r="924" spans="1:11" x14ac:dyDescent="0.2">
      <c r="A924">
        <f t="shared" si="14"/>
        <v>2300064</v>
      </c>
      <c r="B924">
        <v>2018</v>
      </c>
      <c r="C924" t="s">
        <v>642</v>
      </c>
      <c r="D924" t="s">
        <v>644</v>
      </c>
      <c r="E924" t="s">
        <v>646</v>
      </c>
      <c r="F924" t="s">
        <v>175</v>
      </c>
      <c r="G924" t="s">
        <v>176</v>
      </c>
      <c r="H924">
        <v>43744</v>
      </c>
      <c r="I924">
        <v>886659.98926775588</v>
      </c>
      <c r="J924">
        <v>930403.98926775588</v>
      </c>
      <c r="K924">
        <f>IFERROR(VLOOKUP(F924,'LEAID Match'!$A$2:$B$236,2,FALSE),"")</f>
        <v>2300064</v>
      </c>
    </row>
    <row r="925" spans="1:11" x14ac:dyDescent="0.2">
      <c r="A925">
        <f t="shared" si="14"/>
        <v>2300064</v>
      </c>
      <c r="B925">
        <v>2019</v>
      </c>
      <c r="C925" t="s">
        <v>642</v>
      </c>
      <c r="D925" t="s">
        <v>644</v>
      </c>
      <c r="E925" t="s">
        <v>646</v>
      </c>
      <c r="F925" t="s">
        <v>175</v>
      </c>
      <c r="G925" t="s">
        <v>176</v>
      </c>
      <c r="H925">
        <v>40396</v>
      </c>
      <c r="I925">
        <v>865445.37452938501</v>
      </c>
      <c r="J925">
        <v>905841.37452938501</v>
      </c>
      <c r="K925">
        <f>IFERROR(VLOOKUP(F925,'LEAID Match'!$A$2:$B$236,2,FALSE),"")</f>
        <v>2300064</v>
      </c>
    </row>
    <row r="926" spans="1:11" x14ac:dyDescent="0.2">
      <c r="A926">
        <f t="shared" si="14"/>
        <v>2300064</v>
      </c>
      <c r="B926">
        <v>2020</v>
      </c>
      <c r="C926" t="s">
        <v>642</v>
      </c>
      <c r="D926" t="s">
        <v>644</v>
      </c>
      <c r="E926" t="s">
        <v>646</v>
      </c>
      <c r="F926" t="s">
        <v>175</v>
      </c>
      <c r="G926" t="s">
        <v>176</v>
      </c>
      <c r="H926">
        <v>44713</v>
      </c>
      <c r="I926">
        <v>996291.80466606189</v>
      </c>
      <c r="J926">
        <v>1041004.8046660619</v>
      </c>
      <c r="K926">
        <f>IFERROR(VLOOKUP(F926,'LEAID Match'!$A$2:$B$236,2,FALSE),"")</f>
        <v>2300064</v>
      </c>
    </row>
    <row r="927" spans="1:11" x14ac:dyDescent="0.2">
      <c r="A927">
        <f t="shared" si="14"/>
        <v>2300064</v>
      </c>
      <c r="B927">
        <v>2021</v>
      </c>
      <c r="C927" t="s">
        <v>642</v>
      </c>
      <c r="D927" t="s">
        <v>644</v>
      </c>
      <c r="E927" t="s">
        <v>646</v>
      </c>
      <c r="F927" t="s">
        <v>175</v>
      </c>
      <c r="G927" t="s">
        <v>176</v>
      </c>
      <c r="H927">
        <v>44510</v>
      </c>
      <c r="I927">
        <v>747739.08703104442</v>
      </c>
      <c r="J927">
        <v>792249.08703104442</v>
      </c>
      <c r="K927">
        <f>IFERROR(VLOOKUP(F927,'LEAID Match'!$A$2:$B$236,2,FALSE),"")</f>
        <v>2300064</v>
      </c>
    </row>
    <row r="928" spans="1:11" x14ac:dyDescent="0.2">
      <c r="A928">
        <f t="shared" si="14"/>
        <v>2300064</v>
      </c>
      <c r="B928">
        <v>2022</v>
      </c>
      <c r="C928" t="s">
        <v>642</v>
      </c>
      <c r="D928" t="s">
        <v>644</v>
      </c>
      <c r="E928" t="s">
        <v>646</v>
      </c>
      <c r="F928" t="s">
        <v>175</v>
      </c>
      <c r="G928" t="s">
        <v>176</v>
      </c>
      <c r="H928">
        <v>80049</v>
      </c>
      <c r="I928">
        <v>1152303.1720042352</v>
      </c>
      <c r="J928">
        <v>1232352.1720042352</v>
      </c>
      <c r="K928">
        <f>IFERROR(VLOOKUP(F928,'LEAID Match'!$A$2:$B$236,2,FALSE),"")</f>
        <v>2300064</v>
      </c>
    </row>
    <row r="929" spans="1:11" x14ac:dyDescent="0.2">
      <c r="A929">
        <f t="shared" si="14"/>
        <v>2300066</v>
      </c>
      <c r="B929">
        <v>2015</v>
      </c>
      <c r="C929" t="s">
        <v>642</v>
      </c>
      <c r="D929" t="s">
        <v>644</v>
      </c>
      <c r="E929" t="s">
        <v>646</v>
      </c>
      <c r="F929" t="s">
        <v>538</v>
      </c>
      <c r="G929" t="s">
        <v>177</v>
      </c>
      <c r="H929">
        <v>24945</v>
      </c>
      <c r="I929">
        <v>478286.47189482162</v>
      </c>
      <c r="J929">
        <v>503231.47189482162</v>
      </c>
      <c r="K929">
        <f>IFERROR(VLOOKUP(F929,'LEAID Match'!$A$2:$B$236,2,FALSE),"")</f>
        <v>2300066</v>
      </c>
    </row>
    <row r="930" spans="1:11" x14ac:dyDescent="0.2">
      <c r="A930">
        <f t="shared" si="14"/>
        <v>2300066</v>
      </c>
      <c r="B930">
        <v>2016</v>
      </c>
      <c r="C930" t="s">
        <v>642</v>
      </c>
      <c r="D930" t="s">
        <v>644</v>
      </c>
      <c r="E930" t="s">
        <v>646</v>
      </c>
      <c r="F930" s="1" t="s">
        <v>538</v>
      </c>
      <c r="G930" s="1" t="s">
        <v>177</v>
      </c>
      <c r="H930" s="22">
        <v>26683</v>
      </c>
      <c r="I930">
        <v>507099.80202906003</v>
      </c>
      <c r="J930">
        <v>533782.80202905997</v>
      </c>
      <c r="K930">
        <f>IFERROR(VLOOKUP(F930,'LEAID Match'!$A$2:$B$236,2,FALSE),"")</f>
        <v>2300066</v>
      </c>
    </row>
    <row r="931" spans="1:11" x14ac:dyDescent="0.2">
      <c r="A931">
        <f t="shared" si="14"/>
        <v>2300066</v>
      </c>
      <c r="B931">
        <v>2017</v>
      </c>
      <c r="C931" t="s">
        <v>642</v>
      </c>
      <c r="D931" t="s">
        <v>644</v>
      </c>
      <c r="E931" t="s">
        <v>646</v>
      </c>
      <c r="F931" t="s">
        <v>538</v>
      </c>
      <c r="G931" t="s">
        <v>177</v>
      </c>
      <c r="H931">
        <v>25388</v>
      </c>
      <c r="I931">
        <v>484083.09872243035</v>
      </c>
      <c r="J931">
        <v>509471.09872243035</v>
      </c>
      <c r="K931">
        <f>IFERROR(VLOOKUP(F931,'LEAID Match'!$A$2:$B$236,2,FALSE),"")</f>
        <v>2300066</v>
      </c>
    </row>
    <row r="932" spans="1:11" x14ac:dyDescent="0.2">
      <c r="A932">
        <f t="shared" si="14"/>
        <v>2300066</v>
      </c>
      <c r="B932">
        <v>2018</v>
      </c>
      <c r="C932" t="s">
        <v>642</v>
      </c>
      <c r="D932" t="s">
        <v>644</v>
      </c>
      <c r="E932" t="s">
        <v>646</v>
      </c>
      <c r="F932" t="s">
        <v>538</v>
      </c>
      <c r="G932" t="s">
        <v>177</v>
      </c>
      <c r="H932">
        <v>28580</v>
      </c>
      <c r="I932">
        <v>579296.41764064704</v>
      </c>
      <c r="J932">
        <v>607876.41764064704</v>
      </c>
      <c r="K932">
        <f>IFERROR(VLOOKUP(F932,'LEAID Match'!$A$2:$B$236,2,FALSE),"")</f>
        <v>2300066</v>
      </c>
    </row>
    <row r="933" spans="1:11" x14ac:dyDescent="0.2">
      <c r="A933">
        <f t="shared" si="14"/>
        <v>2300066</v>
      </c>
      <c r="B933">
        <v>2019</v>
      </c>
      <c r="C933" t="s">
        <v>642</v>
      </c>
      <c r="D933" t="s">
        <v>644</v>
      </c>
      <c r="E933" t="s">
        <v>646</v>
      </c>
      <c r="F933" t="s">
        <v>538</v>
      </c>
      <c r="G933" t="s">
        <v>177</v>
      </c>
      <c r="H933">
        <v>21347</v>
      </c>
      <c r="I933">
        <v>457338.90509156307</v>
      </c>
      <c r="J933">
        <v>478685.90509156307</v>
      </c>
      <c r="K933">
        <f>IFERROR(VLOOKUP(F933,'LEAID Match'!$A$2:$B$236,2,FALSE),"")</f>
        <v>2300066</v>
      </c>
    </row>
    <row r="934" spans="1:11" x14ac:dyDescent="0.2">
      <c r="A934">
        <f t="shared" si="14"/>
        <v>2300066</v>
      </c>
      <c r="B934">
        <v>2020</v>
      </c>
      <c r="C934" t="s">
        <v>642</v>
      </c>
      <c r="D934" t="s">
        <v>644</v>
      </c>
      <c r="E934" t="s">
        <v>646</v>
      </c>
      <c r="F934" t="s">
        <v>538</v>
      </c>
      <c r="G934" t="s">
        <v>177</v>
      </c>
      <c r="H934">
        <v>31704</v>
      </c>
      <c r="I934">
        <v>706426.21553312964</v>
      </c>
      <c r="J934">
        <v>738130.21553312964</v>
      </c>
      <c r="K934">
        <f>IFERROR(VLOOKUP(F934,'LEAID Match'!$A$2:$B$236,2,FALSE),"")</f>
        <v>2300066</v>
      </c>
    </row>
    <row r="935" spans="1:11" x14ac:dyDescent="0.2">
      <c r="A935">
        <f t="shared" si="14"/>
        <v>2300066</v>
      </c>
      <c r="B935">
        <v>2021</v>
      </c>
      <c r="C935" t="s">
        <v>642</v>
      </c>
      <c r="D935" t="s">
        <v>644</v>
      </c>
      <c r="E935" t="s">
        <v>646</v>
      </c>
      <c r="F935" t="s">
        <v>538</v>
      </c>
      <c r="G935" t="s">
        <v>177</v>
      </c>
      <c r="H935">
        <v>36290</v>
      </c>
      <c r="I935">
        <v>609648.42660877563</v>
      </c>
      <c r="J935">
        <v>645938.42660877563</v>
      </c>
      <c r="K935">
        <f>IFERROR(VLOOKUP(F935,'LEAID Match'!$A$2:$B$236,2,FALSE),"")</f>
        <v>2300066</v>
      </c>
    </row>
    <row r="936" spans="1:11" x14ac:dyDescent="0.2">
      <c r="A936">
        <f t="shared" si="14"/>
        <v>2300066</v>
      </c>
      <c r="B936">
        <v>2022</v>
      </c>
      <c r="C936" t="s">
        <v>642</v>
      </c>
      <c r="D936" t="s">
        <v>644</v>
      </c>
      <c r="E936" t="s">
        <v>646</v>
      </c>
      <c r="F936" t="s">
        <v>538</v>
      </c>
      <c r="G936" t="s">
        <v>177</v>
      </c>
      <c r="H936">
        <v>53310</v>
      </c>
      <c r="I936">
        <v>767395.99619665183</v>
      </c>
      <c r="J936">
        <v>820705.99619665183</v>
      </c>
      <c r="K936">
        <f>IFERROR(VLOOKUP(F936,'LEAID Match'!$A$2:$B$236,2,FALSE),"")</f>
        <v>2300066</v>
      </c>
    </row>
    <row r="937" spans="1:11" x14ac:dyDescent="0.2">
      <c r="A937">
        <f t="shared" si="14"/>
        <v>0</v>
      </c>
      <c r="B937">
        <v>2015</v>
      </c>
      <c r="C937" t="s">
        <v>642</v>
      </c>
      <c r="D937" t="s">
        <v>644</v>
      </c>
      <c r="E937" t="s">
        <v>646</v>
      </c>
      <c r="F937" t="s">
        <v>539</v>
      </c>
      <c r="G937" t="s">
        <v>178</v>
      </c>
      <c r="H937">
        <v>10202</v>
      </c>
      <c r="I937">
        <v>195609.48431633474</v>
      </c>
      <c r="J937">
        <v>205811.48431633474</v>
      </c>
      <c r="K937">
        <f>IFERROR(VLOOKUP(F937,'LEAID Match'!$A$2:$B$236,2,FALSE),"")</f>
        <v>0</v>
      </c>
    </row>
    <row r="938" spans="1:11" x14ac:dyDescent="0.2">
      <c r="A938">
        <f t="shared" si="14"/>
        <v>0</v>
      </c>
      <c r="B938">
        <v>2016</v>
      </c>
      <c r="C938" t="s">
        <v>642</v>
      </c>
      <c r="D938" t="s">
        <v>644</v>
      </c>
      <c r="E938" t="s">
        <v>646</v>
      </c>
      <c r="F938" s="1" t="s">
        <v>539</v>
      </c>
      <c r="G938" s="1" t="s">
        <v>178</v>
      </c>
      <c r="H938" s="22">
        <v>8005</v>
      </c>
      <c r="I938">
        <v>152131.8410689437</v>
      </c>
      <c r="J938">
        <v>160136.8410689437</v>
      </c>
      <c r="K938">
        <f>IFERROR(VLOOKUP(F938,'LEAID Match'!$A$2:$B$236,2,FALSE),"")</f>
        <v>0</v>
      </c>
    </row>
    <row r="939" spans="1:11" x14ac:dyDescent="0.2">
      <c r="A939">
        <f t="shared" si="14"/>
        <v>0</v>
      </c>
      <c r="B939">
        <v>2017</v>
      </c>
      <c r="C939" t="s">
        <v>642</v>
      </c>
      <c r="D939" t="s">
        <v>644</v>
      </c>
      <c r="E939" t="s">
        <v>646</v>
      </c>
      <c r="F939" t="s">
        <v>539</v>
      </c>
      <c r="G939" t="s">
        <v>178</v>
      </c>
      <c r="H939">
        <v>8543</v>
      </c>
      <c r="I939">
        <v>162892.78054142595</v>
      </c>
      <c r="J939">
        <v>171435.78054142595</v>
      </c>
      <c r="K939">
        <f>IFERROR(VLOOKUP(F939,'LEAID Match'!$A$2:$B$236,2,FALSE),"")</f>
        <v>0</v>
      </c>
    </row>
    <row r="940" spans="1:11" x14ac:dyDescent="0.2">
      <c r="A940">
        <f t="shared" si="14"/>
        <v>0</v>
      </c>
      <c r="B940">
        <v>2018</v>
      </c>
      <c r="C940" t="s">
        <v>642</v>
      </c>
      <c r="D940" t="s">
        <v>644</v>
      </c>
      <c r="E940" t="s">
        <v>646</v>
      </c>
      <c r="F940" t="s">
        <v>539</v>
      </c>
      <c r="G940" t="s">
        <v>178</v>
      </c>
      <c r="H940">
        <v>9394</v>
      </c>
      <c r="I940">
        <v>190409.74623219867</v>
      </c>
      <c r="J940">
        <v>199803.74623219867</v>
      </c>
      <c r="K940">
        <f>IFERROR(VLOOKUP(F940,'LEAID Match'!$A$2:$B$236,2,FALSE),"")</f>
        <v>0</v>
      </c>
    </row>
    <row r="941" spans="1:11" x14ac:dyDescent="0.2">
      <c r="A941">
        <f t="shared" si="14"/>
        <v>0</v>
      </c>
      <c r="B941">
        <v>2019</v>
      </c>
      <c r="C941" t="s">
        <v>642</v>
      </c>
      <c r="D941" t="s">
        <v>644</v>
      </c>
      <c r="E941" t="s">
        <v>646</v>
      </c>
      <c r="F941" t="s">
        <v>539</v>
      </c>
      <c r="G941" t="s">
        <v>178</v>
      </c>
      <c r="H941">
        <v>9582</v>
      </c>
      <c r="I941">
        <v>205285.11681207464</v>
      </c>
      <c r="J941">
        <v>214867.11681207464</v>
      </c>
      <c r="K941">
        <f>IFERROR(VLOOKUP(F941,'LEAID Match'!$A$2:$B$236,2,FALSE),"")</f>
        <v>0</v>
      </c>
    </row>
    <row r="942" spans="1:11" x14ac:dyDescent="0.2">
      <c r="A942">
        <f t="shared" si="14"/>
        <v>0</v>
      </c>
      <c r="B942">
        <v>2020</v>
      </c>
      <c r="C942" t="s">
        <v>642</v>
      </c>
      <c r="D942" t="s">
        <v>644</v>
      </c>
      <c r="E942" t="s">
        <v>646</v>
      </c>
      <c r="F942" t="s">
        <v>539</v>
      </c>
      <c r="G942" t="s">
        <v>178</v>
      </c>
      <c r="H942">
        <v>13127</v>
      </c>
      <c r="I942">
        <v>292494.85652609746</v>
      </c>
      <c r="J942">
        <v>305621.85652609746</v>
      </c>
      <c r="K942">
        <f>IFERROR(VLOOKUP(F942,'LEAID Match'!$A$2:$B$236,2,FALSE),"")</f>
        <v>0</v>
      </c>
    </row>
    <row r="943" spans="1:11" x14ac:dyDescent="0.2">
      <c r="A943">
        <f t="shared" si="14"/>
        <v>0</v>
      </c>
      <c r="B943">
        <v>2021</v>
      </c>
      <c r="C943" t="s">
        <v>642</v>
      </c>
      <c r="D943" t="s">
        <v>644</v>
      </c>
      <c r="E943" t="s">
        <v>646</v>
      </c>
      <c r="F943" t="s">
        <v>539</v>
      </c>
      <c r="G943" t="s">
        <v>178</v>
      </c>
      <c r="H943">
        <v>13431</v>
      </c>
      <c r="I943">
        <v>225632.0754417874</v>
      </c>
      <c r="J943">
        <v>239063.0754417874</v>
      </c>
      <c r="K943">
        <f>IFERROR(VLOOKUP(F943,'LEAID Match'!$A$2:$B$236,2,FALSE),"")</f>
        <v>0</v>
      </c>
    </row>
    <row r="944" spans="1:11" x14ac:dyDescent="0.2">
      <c r="A944">
        <f t="shared" si="14"/>
        <v>0</v>
      </c>
      <c r="B944">
        <v>2022</v>
      </c>
      <c r="C944" t="s">
        <v>642</v>
      </c>
      <c r="D944" t="s">
        <v>644</v>
      </c>
      <c r="E944" t="s">
        <v>646</v>
      </c>
      <c r="F944" t="s">
        <v>539</v>
      </c>
      <c r="G944" t="s">
        <v>178</v>
      </c>
      <c r="H944">
        <v>13115</v>
      </c>
      <c r="I944">
        <v>188790.06734419597</v>
      </c>
      <c r="J944">
        <v>201905.06734419597</v>
      </c>
      <c r="K944">
        <f>IFERROR(VLOOKUP(F944,'LEAID Match'!$A$2:$B$236,2,FALSE),"")</f>
        <v>0</v>
      </c>
    </row>
    <row r="945" spans="1:11" x14ac:dyDescent="0.2">
      <c r="A945">
        <f t="shared" si="14"/>
        <v>0</v>
      </c>
      <c r="B945">
        <v>2015</v>
      </c>
      <c r="C945" t="s">
        <v>642</v>
      </c>
      <c r="D945" t="s">
        <v>644</v>
      </c>
      <c r="E945" t="s">
        <v>646</v>
      </c>
      <c r="F945" t="s">
        <v>540</v>
      </c>
      <c r="G945" t="s">
        <v>179</v>
      </c>
      <c r="I945">
        <v>0</v>
      </c>
      <c r="J945">
        <v>0</v>
      </c>
      <c r="K945">
        <f>IFERROR(VLOOKUP(F945,'LEAID Match'!$A$2:$B$236,2,FALSE),"")</f>
        <v>0</v>
      </c>
    </row>
    <row r="946" spans="1:11" x14ac:dyDescent="0.2">
      <c r="A946">
        <f t="shared" si="14"/>
        <v>0</v>
      </c>
      <c r="B946">
        <v>2016</v>
      </c>
      <c r="C946" t="s">
        <v>642</v>
      </c>
      <c r="D946" t="s">
        <v>644</v>
      </c>
      <c r="E946" t="s">
        <v>646</v>
      </c>
      <c r="F946" s="1" t="s">
        <v>540</v>
      </c>
      <c r="G946" s="1" t="s">
        <v>179</v>
      </c>
      <c r="H946" s="22"/>
      <c r="I946">
        <v>0</v>
      </c>
      <c r="J946">
        <v>0</v>
      </c>
      <c r="K946">
        <f>IFERROR(VLOOKUP(F946,'LEAID Match'!$A$2:$B$236,2,FALSE),"")</f>
        <v>0</v>
      </c>
    </row>
    <row r="947" spans="1:11" x14ac:dyDescent="0.2">
      <c r="A947">
        <f t="shared" si="14"/>
        <v>0</v>
      </c>
      <c r="B947">
        <v>2017</v>
      </c>
      <c r="C947" t="s">
        <v>642</v>
      </c>
      <c r="D947" t="s">
        <v>644</v>
      </c>
      <c r="E947" t="s">
        <v>646</v>
      </c>
      <c r="F947" t="s">
        <v>540</v>
      </c>
      <c r="G947" t="s">
        <v>179</v>
      </c>
      <c r="I947">
        <v>0</v>
      </c>
      <c r="J947">
        <v>0</v>
      </c>
      <c r="K947">
        <f>IFERROR(VLOOKUP(F947,'LEAID Match'!$A$2:$B$236,2,FALSE),"")</f>
        <v>0</v>
      </c>
    </row>
    <row r="948" spans="1:11" x14ac:dyDescent="0.2">
      <c r="A948">
        <f t="shared" si="14"/>
        <v>0</v>
      </c>
      <c r="B948">
        <v>2018</v>
      </c>
      <c r="C948" t="s">
        <v>642</v>
      </c>
      <c r="D948" t="s">
        <v>644</v>
      </c>
      <c r="E948" t="s">
        <v>646</v>
      </c>
      <c r="F948" t="s">
        <v>540</v>
      </c>
      <c r="G948" t="s">
        <v>179</v>
      </c>
      <c r="I948">
        <v>0</v>
      </c>
      <c r="J948">
        <v>0</v>
      </c>
      <c r="K948">
        <f>IFERROR(VLOOKUP(F948,'LEAID Match'!$A$2:$B$236,2,FALSE),"")</f>
        <v>0</v>
      </c>
    </row>
    <row r="949" spans="1:11" x14ac:dyDescent="0.2">
      <c r="A949">
        <f t="shared" si="14"/>
        <v>0</v>
      </c>
      <c r="B949">
        <v>2019</v>
      </c>
      <c r="C949" t="s">
        <v>642</v>
      </c>
      <c r="D949" t="s">
        <v>644</v>
      </c>
      <c r="E949" t="s">
        <v>646</v>
      </c>
      <c r="F949" t="s">
        <v>540</v>
      </c>
      <c r="G949" t="s">
        <v>179</v>
      </c>
      <c r="I949">
        <v>0</v>
      </c>
      <c r="J949">
        <v>0</v>
      </c>
      <c r="K949">
        <f>IFERROR(VLOOKUP(F949,'LEAID Match'!$A$2:$B$236,2,FALSE),"")</f>
        <v>0</v>
      </c>
    </row>
    <row r="950" spans="1:11" x14ac:dyDescent="0.2">
      <c r="A950">
        <f t="shared" si="14"/>
        <v>0</v>
      </c>
      <c r="B950">
        <v>2020</v>
      </c>
      <c r="C950" t="s">
        <v>642</v>
      </c>
      <c r="D950" t="s">
        <v>644</v>
      </c>
      <c r="E950" t="s">
        <v>646</v>
      </c>
      <c r="F950" t="s">
        <v>540</v>
      </c>
      <c r="G950" t="s">
        <v>179</v>
      </c>
      <c r="I950">
        <v>0</v>
      </c>
      <c r="J950">
        <v>0</v>
      </c>
      <c r="K950">
        <f>IFERROR(VLOOKUP(F950,'LEAID Match'!$A$2:$B$236,2,FALSE),"")</f>
        <v>0</v>
      </c>
    </row>
    <row r="951" spans="1:11" x14ac:dyDescent="0.2">
      <c r="A951">
        <f t="shared" si="14"/>
        <v>0</v>
      </c>
      <c r="B951">
        <v>2021</v>
      </c>
      <c r="C951" t="s">
        <v>642</v>
      </c>
      <c r="D951" t="s">
        <v>644</v>
      </c>
      <c r="E951" t="s">
        <v>646</v>
      </c>
      <c r="F951" t="s">
        <v>540</v>
      </c>
      <c r="G951" t="s">
        <v>179</v>
      </c>
      <c r="I951">
        <v>0</v>
      </c>
      <c r="J951">
        <v>0</v>
      </c>
      <c r="K951">
        <f>IFERROR(VLOOKUP(F951,'LEAID Match'!$A$2:$B$236,2,FALSE),"")</f>
        <v>0</v>
      </c>
    </row>
    <row r="952" spans="1:11" x14ac:dyDescent="0.2">
      <c r="A952">
        <f t="shared" si="14"/>
        <v>0</v>
      </c>
      <c r="B952">
        <v>2022</v>
      </c>
      <c r="C952" t="s">
        <v>642</v>
      </c>
      <c r="D952" t="s">
        <v>644</v>
      </c>
      <c r="E952" t="s">
        <v>646</v>
      </c>
      <c r="F952" t="s">
        <v>540</v>
      </c>
      <c r="G952" t="s">
        <v>179</v>
      </c>
      <c r="I952">
        <v>0</v>
      </c>
      <c r="J952">
        <v>0</v>
      </c>
      <c r="K952">
        <f>IFERROR(VLOOKUP(F952,'LEAID Match'!$A$2:$B$236,2,FALSE),"")</f>
        <v>0</v>
      </c>
    </row>
    <row r="953" spans="1:11" x14ac:dyDescent="0.2">
      <c r="A953">
        <f t="shared" si="14"/>
        <v>0</v>
      </c>
      <c r="B953">
        <v>2015</v>
      </c>
      <c r="C953" t="s">
        <v>642</v>
      </c>
      <c r="D953" t="s">
        <v>644</v>
      </c>
      <c r="E953" t="s">
        <v>646</v>
      </c>
      <c r="F953" t="s">
        <v>180</v>
      </c>
      <c r="G953" t="s">
        <v>181</v>
      </c>
      <c r="I953">
        <v>0</v>
      </c>
      <c r="J953">
        <v>0</v>
      </c>
      <c r="K953">
        <f>IFERROR(VLOOKUP(F953,'LEAID Match'!$A$2:$B$236,2,FALSE),"")</f>
        <v>0</v>
      </c>
    </row>
    <row r="954" spans="1:11" x14ac:dyDescent="0.2">
      <c r="A954">
        <f t="shared" si="14"/>
        <v>0</v>
      </c>
      <c r="B954">
        <v>2016</v>
      </c>
      <c r="C954" t="s">
        <v>642</v>
      </c>
      <c r="D954" t="s">
        <v>644</v>
      </c>
      <c r="E954" t="s">
        <v>646</v>
      </c>
      <c r="F954" s="1" t="s">
        <v>180</v>
      </c>
      <c r="G954" s="1" t="s">
        <v>181</v>
      </c>
      <c r="H954" s="22"/>
      <c r="I954">
        <v>0</v>
      </c>
      <c r="J954">
        <v>0</v>
      </c>
      <c r="K954">
        <f>IFERROR(VLOOKUP(F954,'LEAID Match'!$A$2:$B$236,2,FALSE),"")</f>
        <v>0</v>
      </c>
    </row>
    <row r="955" spans="1:11" x14ac:dyDescent="0.2">
      <c r="A955">
        <f t="shared" si="14"/>
        <v>0</v>
      </c>
      <c r="B955">
        <v>2017</v>
      </c>
      <c r="C955" t="s">
        <v>642</v>
      </c>
      <c r="D955" t="s">
        <v>644</v>
      </c>
      <c r="E955" t="s">
        <v>646</v>
      </c>
      <c r="F955" t="s">
        <v>180</v>
      </c>
      <c r="G955" t="s">
        <v>181</v>
      </c>
      <c r="I955">
        <v>0</v>
      </c>
      <c r="J955">
        <v>0</v>
      </c>
      <c r="K955">
        <f>IFERROR(VLOOKUP(F955,'LEAID Match'!$A$2:$B$236,2,FALSE),"")</f>
        <v>0</v>
      </c>
    </row>
    <row r="956" spans="1:11" x14ac:dyDescent="0.2">
      <c r="A956">
        <f t="shared" si="14"/>
        <v>0</v>
      </c>
      <c r="B956">
        <v>2018</v>
      </c>
      <c r="C956" t="s">
        <v>642</v>
      </c>
      <c r="D956" t="s">
        <v>644</v>
      </c>
      <c r="E956" t="s">
        <v>646</v>
      </c>
      <c r="F956" t="s">
        <v>180</v>
      </c>
      <c r="G956" t="s">
        <v>181</v>
      </c>
      <c r="I956">
        <v>0</v>
      </c>
      <c r="J956">
        <v>0</v>
      </c>
      <c r="K956">
        <f>IFERROR(VLOOKUP(F956,'LEAID Match'!$A$2:$B$236,2,FALSE),"")</f>
        <v>0</v>
      </c>
    </row>
    <row r="957" spans="1:11" x14ac:dyDescent="0.2">
      <c r="A957">
        <f t="shared" si="14"/>
        <v>0</v>
      </c>
      <c r="B957">
        <v>2019</v>
      </c>
      <c r="C957" t="s">
        <v>642</v>
      </c>
      <c r="D957" t="s">
        <v>644</v>
      </c>
      <c r="E957" t="s">
        <v>646</v>
      </c>
      <c r="F957" t="s">
        <v>180</v>
      </c>
      <c r="G957" t="s">
        <v>181</v>
      </c>
      <c r="I957">
        <v>0</v>
      </c>
      <c r="J957">
        <v>0</v>
      </c>
      <c r="K957">
        <f>IFERROR(VLOOKUP(F957,'LEAID Match'!$A$2:$B$236,2,FALSE),"")</f>
        <v>0</v>
      </c>
    </row>
    <row r="958" spans="1:11" x14ac:dyDescent="0.2">
      <c r="A958">
        <f t="shared" si="14"/>
        <v>0</v>
      </c>
      <c r="B958">
        <v>2020</v>
      </c>
      <c r="C958" t="s">
        <v>642</v>
      </c>
      <c r="D958" t="s">
        <v>644</v>
      </c>
      <c r="E958" t="s">
        <v>646</v>
      </c>
      <c r="F958" t="s">
        <v>180</v>
      </c>
      <c r="G958" t="s">
        <v>181</v>
      </c>
      <c r="I958">
        <v>0</v>
      </c>
      <c r="J958">
        <v>0</v>
      </c>
      <c r="K958">
        <f>IFERROR(VLOOKUP(F958,'LEAID Match'!$A$2:$B$236,2,FALSE),"")</f>
        <v>0</v>
      </c>
    </row>
    <row r="959" spans="1:11" x14ac:dyDescent="0.2">
      <c r="A959">
        <f t="shared" si="14"/>
        <v>0</v>
      </c>
      <c r="B959">
        <v>2021</v>
      </c>
      <c r="C959" t="s">
        <v>642</v>
      </c>
      <c r="D959" t="s">
        <v>644</v>
      </c>
      <c r="E959" t="s">
        <v>646</v>
      </c>
      <c r="F959" t="s">
        <v>180</v>
      </c>
      <c r="G959" t="s">
        <v>181</v>
      </c>
      <c r="I959">
        <v>0</v>
      </c>
      <c r="J959">
        <v>0</v>
      </c>
      <c r="K959">
        <f>IFERROR(VLOOKUP(F959,'LEAID Match'!$A$2:$B$236,2,FALSE),"")</f>
        <v>0</v>
      </c>
    </row>
    <row r="960" spans="1:11" x14ac:dyDescent="0.2">
      <c r="A960">
        <f t="shared" si="14"/>
        <v>0</v>
      </c>
      <c r="B960">
        <v>2022</v>
      </c>
      <c r="C960" t="s">
        <v>642</v>
      </c>
      <c r="D960" t="s">
        <v>644</v>
      </c>
      <c r="E960" t="s">
        <v>646</v>
      </c>
      <c r="F960" t="s">
        <v>180</v>
      </c>
      <c r="G960" t="s">
        <v>181</v>
      </c>
      <c r="I960">
        <v>0</v>
      </c>
      <c r="J960">
        <v>0</v>
      </c>
      <c r="K960">
        <f>IFERROR(VLOOKUP(F960,'LEAID Match'!$A$2:$B$236,2,FALSE),"")</f>
        <v>0</v>
      </c>
    </row>
    <row r="961" spans="1:11" x14ac:dyDescent="0.2">
      <c r="A961">
        <f t="shared" si="14"/>
        <v>0</v>
      </c>
      <c r="B961">
        <v>2015</v>
      </c>
      <c r="C961" t="s">
        <v>642</v>
      </c>
      <c r="D961" t="s">
        <v>644</v>
      </c>
      <c r="E961" t="s">
        <v>646</v>
      </c>
      <c r="F961" t="s">
        <v>640</v>
      </c>
      <c r="G961" t="s">
        <v>182</v>
      </c>
      <c r="H961">
        <v>11229</v>
      </c>
      <c r="I961">
        <v>215300.81350599125</v>
      </c>
      <c r="J961">
        <v>226529.81350599125</v>
      </c>
      <c r="K961">
        <f>IFERROR(VLOOKUP(F961,'LEAID Match'!$A$2:$B$236,2,FALSE),"")</f>
        <v>0</v>
      </c>
    </row>
    <row r="962" spans="1:11" x14ac:dyDescent="0.2">
      <c r="A962">
        <f t="shared" si="14"/>
        <v>0</v>
      </c>
      <c r="B962">
        <v>2016</v>
      </c>
      <c r="C962" t="s">
        <v>642</v>
      </c>
      <c r="D962" t="s">
        <v>644</v>
      </c>
      <c r="E962" t="s">
        <v>646</v>
      </c>
      <c r="F962" s="1" t="s">
        <v>541</v>
      </c>
      <c r="G962" s="1" t="s">
        <v>182</v>
      </c>
      <c r="H962" s="22">
        <v>8558</v>
      </c>
      <c r="I962">
        <v>162641.3861171793</v>
      </c>
      <c r="J962">
        <v>171199.3861171793</v>
      </c>
      <c r="K962">
        <f>IFERROR(VLOOKUP(F962,'LEAID Match'!$A$2:$B$236,2,FALSE),"")</f>
        <v>0</v>
      </c>
    </row>
    <row r="963" spans="1:11" x14ac:dyDescent="0.2">
      <c r="A963">
        <f t="shared" ref="A963:A1026" si="15">K963</f>
        <v>0</v>
      </c>
      <c r="B963">
        <v>2017</v>
      </c>
      <c r="C963" t="s">
        <v>642</v>
      </c>
      <c r="D963" t="s">
        <v>644</v>
      </c>
      <c r="E963" t="s">
        <v>646</v>
      </c>
      <c r="F963" t="s">
        <v>541</v>
      </c>
      <c r="G963" t="s">
        <v>182</v>
      </c>
      <c r="H963">
        <v>8729</v>
      </c>
      <c r="I963">
        <v>166439.31655695976</v>
      </c>
      <c r="J963">
        <v>175168.31655695976</v>
      </c>
      <c r="K963">
        <f>IFERROR(VLOOKUP(F963,'LEAID Match'!$A$2:$B$236,2,FALSE),"")</f>
        <v>0</v>
      </c>
    </row>
    <row r="964" spans="1:11" x14ac:dyDescent="0.2">
      <c r="A964">
        <f t="shared" si="15"/>
        <v>0</v>
      </c>
      <c r="B964">
        <v>2018</v>
      </c>
      <c r="C964" t="s">
        <v>642</v>
      </c>
      <c r="D964" t="s">
        <v>644</v>
      </c>
      <c r="E964" t="s">
        <v>646</v>
      </c>
      <c r="F964" t="s">
        <v>541</v>
      </c>
      <c r="G964" t="s">
        <v>182</v>
      </c>
      <c r="H964">
        <v>9845</v>
      </c>
      <c r="I964">
        <v>199551.19774920121</v>
      </c>
      <c r="J964">
        <v>209396.19774920121</v>
      </c>
      <c r="K964">
        <f>IFERROR(VLOOKUP(F964,'LEAID Match'!$A$2:$B$236,2,FALSE),"")</f>
        <v>0</v>
      </c>
    </row>
    <row r="965" spans="1:11" x14ac:dyDescent="0.2">
      <c r="A965">
        <f t="shared" si="15"/>
        <v>0</v>
      </c>
      <c r="B965">
        <v>2019</v>
      </c>
      <c r="C965" t="s">
        <v>642</v>
      </c>
      <c r="D965" t="s">
        <v>644</v>
      </c>
      <c r="E965" t="s">
        <v>646</v>
      </c>
      <c r="F965" t="s">
        <v>541</v>
      </c>
      <c r="G965" t="s">
        <v>182</v>
      </c>
      <c r="H965">
        <v>5189</v>
      </c>
      <c r="I965">
        <v>111169.32489437021</v>
      </c>
      <c r="J965">
        <v>116358.32489437021</v>
      </c>
      <c r="K965">
        <f>IFERROR(VLOOKUP(F965,'LEAID Match'!$A$2:$B$236,2,FALSE),"")</f>
        <v>0</v>
      </c>
    </row>
    <row r="966" spans="1:11" x14ac:dyDescent="0.2">
      <c r="A966">
        <f t="shared" si="15"/>
        <v>0</v>
      </c>
      <c r="B966">
        <v>2020</v>
      </c>
      <c r="C966" t="s">
        <v>642</v>
      </c>
      <c r="D966" t="s">
        <v>644</v>
      </c>
      <c r="E966" t="s">
        <v>646</v>
      </c>
      <c r="F966" t="s">
        <v>541</v>
      </c>
      <c r="G966" t="s">
        <v>182</v>
      </c>
      <c r="H966">
        <v>6261</v>
      </c>
      <c r="I966">
        <v>139507.1453271803</v>
      </c>
      <c r="J966">
        <v>145768.1453271803</v>
      </c>
      <c r="K966">
        <f>IFERROR(VLOOKUP(F966,'LEAID Match'!$A$2:$B$236,2,FALSE),"")</f>
        <v>0</v>
      </c>
    </row>
    <row r="967" spans="1:11" x14ac:dyDescent="0.2">
      <c r="A967">
        <f t="shared" si="15"/>
        <v>0</v>
      </c>
      <c r="B967">
        <v>2021</v>
      </c>
      <c r="C967" t="s">
        <v>642</v>
      </c>
      <c r="D967" t="s">
        <v>644</v>
      </c>
      <c r="E967" t="s">
        <v>646</v>
      </c>
      <c r="F967" t="s">
        <v>541</v>
      </c>
      <c r="G967" t="s">
        <v>182</v>
      </c>
      <c r="H967">
        <v>9744</v>
      </c>
      <c r="I967">
        <v>163692.87045676247</v>
      </c>
      <c r="J967">
        <v>173436.87045676247</v>
      </c>
      <c r="K967">
        <f>IFERROR(VLOOKUP(F967,'LEAID Match'!$A$2:$B$236,2,FALSE),"")</f>
        <v>0</v>
      </c>
    </row>
    <row r="968" spans="1:11" x14ac:dyDescent="0.2">
      <c r="A968">
        <f t="shared" si="15"/>
        <v>0</v>
      </c>
      <c r="B968">
        <v>2022</v>
      </c>
      <c r="C968" t="s">
        <v>642</v>
      </c>
      <c r="D968" t="s">
        <v>644</v>
      </c>
      <c r="E968" t="s">
        <v>646</v>
      </c>
      <c r="F968" t="s">
        <v>541</v>
      </c>
      <c r="G968" t="s">
        <v>182</v>
      </c>
      <c r="I968">
        <v>0</v>
      </c>
      <c r="J968">
        <v>0</v>
      </c>
      <c r="K968">
        <f>IFERROR(VLOOKUP(F968,'LEAID Match'!$A$2:$B$236,2,FALSE),"")</f>
        <v>0</v>
      </c>
    </row>
    <row r="969" spans="1:11" x14ac:dyDescent="0.2">
      <c r="A969">
        <f t="shared" si="15"/>
        <v>0</v>
      </c>
      <c r="B969">
        <v>2015</v>
      </c>
      <c r="C969" t="s">
        <v>642</v>
      </c>
      <c r="D969" t="s">
        <v>644</v>
      </c>
      <c r="E969" t="s">
        <v>646</v>
      </c>
      <c r="F969" s="1" t="s">
        <v>542</v>
      </c>
      <c r="G969" t="s">
        <v>183</v>
      </c>
      <c r="H969">
        <v>3577</v>
      </c>
      <c r="I969">
        <v>68584.113448297328</v>
      </c>
      <c r="J969">
        <v>72161.113448297328</v>
      </c>
      <c r="K969">
        <f>IFERROR(VLOOKUP(F969,'LEAID Match'!$A$2:$B$236,2,FALSE),"")</f>
        <v>0</v>
      </c>
    </row>
    <row r="970" spans="1:11" x14ac:dyDescent="0.2">
      <c r="A970">
        <f t="shared" si="15"/>
        <v>0</v>
      </c>
      <c r="B970">
        <v>2016</v>
      </c>
      <c r="C970" t="s">
        <v>642</v>
      </c>
      <c r="D970" t="s">
        <v>644</v>
      </c>
      <c r="E970" t="s">
        <v>646</v>
      </c>
      <c r="F970" s="1" t="s">
        <v>542</v>
      </c>
      <c r="G970" s="1" t="s">
        <v>183</v>
      </c>
      <c r="H970" s="22">
        <v>451</v>
      </c>
      <c r="I970">
        <v>8571.0756180004519</v>
      </c>
      <c r="J970">
        <v>9022.0756180004519</v>
      </c>
      <c r="K970">
        <f>IFERROR(VLOOKUP(F970,'LEAID Match'!$A$2:$B$236,2,FALSE),"")</f>
        <v>0</v>
      </c>
    </row>
    <row r="971" spans="1:11" x14ac:dyDescent="0.2">
      <c r="A971">
        <f t="shared" si="15"/>
        <v>0</v>
      </c>
      <c r="B971">
        <v>2017</v>
      </c>
      <c r="C971" t="s">
        <v>642</v>
      </c>
      <c r="D971" t="s">
        <v>644</v>
      </c>
      <c r="E971" t="s">
        <v>646</v>
      </c>
      <c r="F971" t="s">
        <v>542</v>
      </c>
      <c r="G971" t="s">
        <v>183</v>
      </c>
      <c r="H971">
        <v>1099</v>
      </c>
      <c r="I971">
        <v>20955.070328342164</v>
      </c>
      <c r="J971">
        <v>22054.070328342164</v>
      </c>
      <c r="K971">
        <f>IFERROR(VLOOKUP(F971,'LEAID Match'!$A$2:$B$236,2,FALSE),"")</f>
        <v>0</v>
      </c>
    </row>
    <row r="972" spans="1:11" x14ac:dyDescent="0.2">
      <c r="A972">
        <f t="shared" si="15"/>
        <v>0</v>
      </c>
      <c r="B972">
        <v>2018</v>
      </c>
      <c r="C972" t="s">
        <v>642</v>
      </c>
      <c r="D972" t="s">
        <v>644</v>
      </c>
      <c r="E972" t="s">
        <v>646</v>
      </c>
      <c r="F972" t="s">
        <v>542</v>
      </c>
      <c r="G972" t="s">
        <v>183</v>
      </c>
      <c r="H972">
        <v>148</v>
      </c>
      <c r="I972">
        <v>2999.8554867325315</v>
      </c>
      <c r="J972">
        <v>3147.8554867325315</v>
      </c>
      <c r="K972">
        <f>IFERROR(VLOOKUP(F972,'LEAID Match'!$A$2:$B$236,2,FALSE),"")</f>
        <v>0</v>
      </c>
    </row>
    <row r="973" spans="1:11" x14ac:dyDescent="0.2">
      <c r="A973">
        <f t="shared" si="15"/>
        <v>0</v>
      </c>
      <c r="B973">
        <v>2019</v>
      </c>
      <c r="C973" t="s">
        <v>642</v>
      </c>
      <c r="D973" t="s">
        <v>644</v>
      </c>
      <c r="E973" t="s">
        <v>646</v>
      </c>
      <c r="F973" t="s">
        <v>542</v>
      </c>
      <c r="G973" t="s">
        <v>183</v>
      </c>
      <c r="H973">
        <v>950</v>
      </c>
      <c r="I973">
        <v>20352.834582704123</v>
      </c>
      <c r="J973">
        <v>21302.834582704123</v>
      </c>
      <c r="K973">
        <f>IFERROR(VLOOKUP(F973,'LEAID Match'!$A$2:$B$236,2,FALSE),"")</f>
        <v>0</v>
      </c>
    </row>
    <row r="974" spans="1:11" x14ac:dyDescent="0.2">
      <c r="A974">
        <f t="shared" si="15"/>
        <v>0</v>
      </c>
      <c r="B974">
        <v>2020</v>
      </c>
      <c r="C974" t="s">
        <v>642</v>
      </c>
      <c r="D974" t="s">
        <v>644</v>
      </c>
      <c r="E974" t="s">
        <v>646</v>
      </c>
      <c r="F974" t="s">
        <v>542</v>
      </c>
      <c r="G974" t="s">
        <v>183</v>
      </c>
      <c r="H974">
        <v>1011</v>
      </c>
      <c r="I974">
        <v>22527.028258389921</v>
      </c>
      <c r="J974">
        <v>23538.028258389921</v>
      </c>
      <c r="K974">
        <f>IFERROR(VLOOKUP(F974,'LEAID Match'!$A$2:$B$236,2,FALSE),"")</f>
        <v>0</v>
      </c>
    </row>
    <row r="975" spans="1:11" x14ac:dyDescent="0.2">
      <c r="A975">
        <f t="shared" si="15"/>
        <v>0</v>
      </c>
      <c r="B975">
        <v>2021</v>
      </c>
      <c r="C975" t="s">
        <v>642</v>
      </c>
      <c r="D975" t="s">
        <v>644</v>
      </c>
      <c r="E975" t="s">
        <v>646</v>
      </c>
      <c r="F975" t="s">
        <v>542</v>
      </c>
      <c r="G975" t="s">
        <v>183</v>
      </c>
      <c r="H975">
        <v>758</v>
      </c>
      <c r="I975">
        <v>12733.90761558148</v>
      </c>
      <c r="J975">
        <v>13491.90761558148</v>
      </c>
      <c r="K975">
        <f>IFERROR(VLOOKUP(F975,'LEAID Match'!$A$2:$B$236,2,FALSE),"")</f>
        <v>0</v>
      </c>
    </row>
    <row r="976" spans="1:11" x14ac:dyDescent="0.2">
      <c r="A976">
        <f t="shared" si="15"/>
        <v>0</v>
      </c>
      <c r="B976">
        <v>2022</v>
      </c>
      <c r="C976" t="s">
        <v>642</v>
      </c>
      <c r="D976" t="s">
        <v>644</v>
      </c>
      <c r="E976" t="s">
        <v>646</v>
      </c>
      <c r="F976" t="s">
        <v>542</v>
      </c>
      <c r="G976" t="s">
        <v>183</v>
      </c>
      <c r="H976">
        <v>200</v>
      </c>
      <c r="I976">
        <v>2878.9945458512539</v>
      </c>
      <c r="J976">
        <v>3078.9945458512539</v>
      </c>
      <c r="K976">
        <f>IFERROR(VLOOKUP(F976,'LEAID Match'!$A$2:$B$236,2,FALSE),"")</f>
        <v>0</v>
      </c>
    </row>
    <row r="977" spans="1:11" x14ac:dyDescent="0.2">
      <c r="A977">
        <f t="shared" si="15"/>
        <v>0</v>
      </c>
      <c r="B977">
        <v>2015</v>
      </c>
      <c r="C977" t="s">
        <v>642</v>
      </c>
      <c r="D977" t="s">
        <v>644</v>
      </c>
      <c r="E977" t="s">
        <v>646</v>
      </c>
      <c r="F977" s="1" t="s">
        <v>543</v>
      </c>
      <c r="G977" t="s">
        <v>184</v>
      </c>
      <c r="H977">
        <v>230</v>
      </c>
      <c r="I977">
        <v>4409.9374037205444</v>
      </c>
      <c r="J977">
        <v>4639.9374037205444</v>
      </c>
      <c r="K977">
        <f>IFERROR(VLOOKUP(F977,'LEAID Match'!$A$2:$B$236,2,FALSE),"")</f>
        <v>0</v>
      </c>
    </row>
    <row r="978" spans="1:11" x14ac:dyDescent="0.2">
      <c r="A978">
        <f t="shared" si="15"/>
        <v>0</v>
      </c>
      <c r="B978">
        <v>2016</v>
      </c>
      <c r="C978" t="s">
        <v>642</v>
      </c>
      <c r="D978" t="s">
        <v>644</v>
      </c>
      <c r="E978" t="s">
        <v>646</v>
      </c>
      <c r="F978" s="1" t="s">
        <v>543</v>
      </c>
      <c r="G978" s="1" t="s">
        <v>184</v>
      </c>
      <c r="H978" s="22">
        <v>301</v>
      </c>
      <c r="I978">
        <v>5720.3852794193699</v>
      </c>
      <c r="J978">
        <v>6021.3852794193699</v>
      </c>
      <c r="K978">
        <f>IFERROR(VLOOKUP(F978,'LEAID Match'!$A$2:$B$236,2,FALSE),"")</f>
        <v>0</v>
      </c>
    </row>
    <row r="979" spans="1:11" x14ac:dyDescent="0.2">
      <c r="A979">
        <f t="shared" si="15"/>
        <v>0</v>
      </c>
      <c r="B979">
        <v>2017</v>
      </c>
      <c r="C979" t="s">
        <v>642</v>
      </c>
      <c r="D979" t="s">
        <v>644</v>
      </c>
      <c r="E979" t="s">
        <v>646</v>
      </c>
      <c r="F979" t="s">
        <v>543</v>
      </c>
      <c r="G979" t="s">
        <v>184</v>
      </c>
      <c r="H979">
        <v>150</v>
      </c>
      <c r="I979">
        <v>2860.1096899466102</v>
      </c>
      <c r="J979">
        <v>3010.1096899466102</v>
      </c>
      <c r="K979">
        <f>IFERROR(VLOOKUP(F979,'LEAID Match'!$A$2:$B$236,2,FALSE),"")</f>
        <v>0</v>
      </c>
    </row>
    <row r="980" spans="1:11" x14ac:dyDescent="0.2">
      <c r="A980">
        <f t="shared" si="15"/>
        <v>0</v>
      </c>
      <c r="B980">
        <v>2018</v>
      </c>
      <c r="C980" t="s">
        <v>642</v>
      </c>
      <c r="D980" t="s">
        <v>644</v>
      </c>
      <c r="E980" t="s">
        <v>646</v>
      </c>
      <c r="F980" t="s">
        <v>543</v>
      </c>
      <c r="G980" t="s">
        <v>184</v>
      </c>
      <c r="I980">
        <v>0</v>
      </c>
      <c r="J980">
        <v>0</v>
      </c>
      <c r="K980">
        <f>IFERROR(VLOOKUP(F980,'LEAID Match'!$A$2:$B$236,2,FALSE),"")</f>
        <v>0</v>
      </c>
    </row>
    <row r="981" spans="1:11" x14ac:dyDescent="0.2">
      <c r="A981">
        <f t="shared" si="15"/>
        <v>0</v>
      </c>
      <c r="B981">
        <v>2019</v>
      </c>
      <c r="C981" t="s">
        <v>642</v>
      </c>
      <c r="D981" t="s">
        <v>644</v>
      </c>
      <c r="E981" t="s">
        <v>646</v>
      </c>
      <c r="F981" t="s">
        <v>543</v>
      </c>
      <c r="G981" t="s">
        <v>184</v>
      </c>
      <c r="I981">
        <v>0</v>
      </c>
      <c r="J981">
        <v>0</v>
      </c>
      <c r="K981">
        <f>IFERROR(VLOOKUP(F981,'LEAID Match'!$A$2:$B$236,2,FALSE),"")</f>
        <v>0</v>
      </c>
    </row>
    <row r="982" spans="1:11" x14ac:dyDescent="0.2">
      <c r="A982">
        <f t="shared" si="15"/>
        <v>0</v>
      </c>
      <c r="B982">
        <v>2020</v>
      </c>
      <c r="C982" t="s">
        <v>642</v>
      </c>
      <c r="D982" t="s">
        <v>644</v>
      </c>
      <c r="E982" t="s">
        <v>646</v>
      </c>
      <c r="F982" t="s">
        <v>543</v>
      </c>
      <c r="G982" t="s">
        <v>184</v>
      </c>
      <c r="I982">
        <v>0</v>
      </c>
      <c r="J982">
        <v>0</v>
      </c>
      <c r="K982">
        <f>IFERROR(VLOOKUP(F982,'LEAID Match'!$A$2:$B$236,2,FALSE),"")</f>
        <v>0</v>
      </c>
    </row>
    <row r="983" spans="1:11" x14ac:dyDescent="0.2">
      <c r="A983">
        <f t="shared" si="15"/>
        <v>0</v>
      </c>
      <c r="B983">
        <v>2021</v>
      </c>
      <c r="C983" t="s">
        <v>642</v>
      </c>
      <c r="D983" t="s">
        <v>644</v>
      </c>
      <c r="E983" t="s">
        <v>646</v>
      </c>
      <c r="F983" t="s">
        <v>543</v>
      </c>
      <c r="G983" t="s">
        <v>184</v>
      </c>
      <c r="I983">
        <v>0</v>
      </c>
      <c r="J983">
        <v>0</v>
      </c>
      <c r="K983">
        <f>IFERROR(VLOOKUP(F983,'LEAID Match'!$A$2:$B$236,2,FALSE),"")</f>
        <v>0</v>
      </c>
    </row>
    <row r="984" spans="1:11" x14ac:dyDescent="0.2">
      <c r="A984">
        <f t="shared" si="15"/>
        <v>0</v>
      </c>
      <c r="B984">
        <v>2022</v>
      </c>
      <c r="C984" t="s">
        <v>642</v>
      </c>
      <c r="D984" t="s">
        <v>644</v>
      </c>
      <c r="E984" t="s">
        <v>646</v>
      </c>
      <c r="F984" t="s">
        <v>543</v>
      </c>
      <c r="G984" t="s">
        <v>184</v>
      </c>
      <c r="H984">
        <v>90</v>
      </c>
      <c r="I984">
        <v>1295.5475456330641</v>
      </c>
      <c r="J984">
        <v>1385.5475456330641</v>
      </c>
      <c r="K984">
        <f>IFERROR(VLOOKUP(F984,'LEAID Match'!$A$2:$B$236,2,FALSE),"")</f>
        <v>0</v>
      </c>
    </row>
    <row r="985" spans="1:11" x14ac:dyDescent="0.2">
      <c r="A985">
        <f t="shared" si="15"/>
        <v>0</v>
      </c>
      <c r="B985">
        <v>2015</v>
      </c>
      <c r="C985" t="s">
        <v>642</v>
      </c>
      <c r="D985" t="s">
        <v>644</v>
      </c>
      <c r="E985" t="s">
        <v>646</v>
      </c>
      <c r="F985" t="s">
        <v>544</v>
      </c>
      <c r="G985" t="s">
        <v>185</v>
      </c>
      <c r="H985">
        <v>3204</v>
      </c>
      <c r="I985">
        <v>61432.345397915757</v>
      </c>
      <c r="J985">
        <v>64636.345397915757</v>
      </c>
      <c r="K985">
        <f>IFERROR(VLOOKUP(F985,'LEAID Match'!$A$2:$B$236,2,FALSE),"")</f>
        <v>0</v>
      </c>
    </row>
    <row r="986" spans="1:11" x14ac:dyDescent="0.2">
      <c r="A986">
        <f t="shared" si="15"/>
        <v>0</v>
      </c>
      <c r="B986">
        <v>2016</v>
      </c>
      <c r="C986" t="s">
        <v>642</v>
      </c>
      <c r="D986" t="s">
        <v>644</v>
      </c>
      <c r="E986" t="s">
        <v>646</v>
      </c>
      <c r="F986" s="1" t="s">
        <v>544</v>
      </c>
      <c r="G986" s="1" t="s">
        <v>185</v>
      </c>
      <c r="H986" s="22">
        <v>854</v>
      </c>
      <c r="I986">
        <v>16229.930327654958</v>
      </c>
      <c r="J986">
        <v>17083.930327654958</v>
      </c>
      <c r="K986">
        <f>IFERROR(VLOOKUP(F986,'LEAID Match'!$A$2:$B$236,2,FALSE),"")</f>
        <v>0</v>
      </c>
    </row>
    <row r="987" spans="1:11" x14ac:dyDescent="0.2">
      <c r="A987">
        <f t="shared" si="15"/>
        <v>0</v>
      </c>
      <c r="B987">
        <v>2017</v>
      </c>
      <c r="C987" t="s">
        <v>642</v>
      </c>
      <c r="D987" t="s">
        <v>644</v>
      </c>
      <c r="E987" t="s">
        <v>646</v>
      </c>
      <c r="F987" t="s">
        <v>544</v>
      </c>
      <c r="G987" t="s">
        <v>185</v>
      </c>
      <c r="H987">
        <v>401</v>
      </c>
      <c r="I987">
        <v>7646.026571123939</v>
      </c>
      <c r="J987">
        <v>8047.026571123939</v>
      </c>
      <c r="K987">
        <f>IFERROR(VLOOKUP(F987,'LEAID Match'!$A$2:$B$236,2,FALSE),"")</f>
        <v>0</v>
      </c>
    </row>
    <row r="988" spans="1:11" x14ac:dyDescent="0.2">
      <c r="A988">
        <f t="shared" si="15"/>
        <v>0</v>
      </c>
      <c r="B988">
        <v>2018</v>
      </c>
      <c r="C988" t="s">
        <v>642</v>
      </c>
      <c r="D988" t="s">
        <v>644</v>
      </c>
      <c r="E988" t="s">
        <v>646</v>
      </c>
      <c r="F988" t="s">
        <v>544</v>
      </c>
      <c r="G988" t="s">
        <v>185</v>
      </c>
      <c r="H988">
        <v>133</v>
      </c>
      <c r="I988">
        <v>2695.8160792934241</v>
      </c>
      <c r="J988">
        <v>2828.8160792934241</v>
      </c>
      <c r="K988">
        <f>IFERROR(VLOOKUP(F988,'LEAID Match'!$A$2:$B$236,2,FALSE),"")</f>
        <v>0</v>
      </c>
    </row>
    <row r="989" spans="1:11" x14ac:dyDescent="0.2">
      <c r="A989">
        <f t="shared" si="15"/>
        <v>0</v>
      </c>
      <c r="B989">
        <v>2019</v>
      </c>
      <c r="C989" t="s">
        <v>642</v>
      </c>
      <c r="D989" t="s">
        <v>644</v>
      </c>
      <c r="E989" t="s">
        <v>646</v>
      </c>
      <c r="F989" t="s">
        <v>544</v>
      </c>
      <c r="G989" t="s">
        <v>185</v>
      </c>
      <c r="H989">
        <v>149</v>
      </c>
      <c r="I989">
        <v>3192.1814240241206</v>
      </c>
      <c r="J989">
        <v>3341.1814240241206</v>
      </c>
      <c r="K989">
        <f>IFERROR(VLOOKUP(F989,'LEAID Match'!$A$2:$B$236,2,FALSE),"")</f>
        <v>0</v>
      </c>
    </row>
    <row r="990" spans="1:11" x14ac:dyDescent="0.2">
      <c r="A990">
        <f t="shared" si="15"/>
        <v>0</v>
      </c>
      <c r="B990">
        <v>2020</v>
      </c>
      <c r="C990" t="s">
        <v>642</v>
      </c>
      <c r="D990" t="s">
        <v>644</v>
      </c>
      <c r="E990" t="s">
        <v>646</v>
      </c>
      <c r="F990" t="s">
        <v>544</v>
      </c>
      <c r="G990" t="s">
        <v>185</v>
      </c>
      <c r="H990">
        <v>1595</v>
      </c>
      <c r="I990">
        <v>35539.673661851557</v>
      </c>
      <c r="J990">
        <v>37134.673661851557</v>
      </c>
      <c r="K990">
        <f>IFERROR(VLOOKUP(F990,'LEAID Match'!$A$2:$B$236,2,FALSE),"")</f>
        <v>0</v>
      </c>
    </row>
    <row r="991" spans="1:11" x14ac:dyDescent="0.2">
      <c r="A991">
        <f t="shared" si="15"/>
        <v>0</v>
      </c>
      <c r="B991">
        <v>2021</v>
      </c>
      <c r="C991" t="s">
        <v>642</v>
      </c>
      <c r="D991" t="s">
        <v>644</v>
      </c>
      <c r="E991" t="s">
        <v>646</v>
      </c>
      <c r="F991" t="s">
        <v>544</v>
      </c>
      <c r="G991" t="s">
        <v>185</v>
      </c>
      <c r="H991">
        <v>1479</v>
      </c>
      <c r="I991">
        <v>24846.239265758588</v>
      </c>
      <c r="J991">
        <v>26325.239265758588</v>
      </c>
      <c r="K991">
        <f>IFERROR(VLOOKUP(F991,'LEAID Match'!$A$2:$B$236,2,FALSE),"")</f>
        <v>0</v>
      </c>
    </row>
    <row r="992" spans="1:11" x14ac:dyDescent="0.2">
      <c r="A992">
        <f t="shared" si="15"/>
        <v>0</v>
      </c>
      <c r="B992">
        <v>2022</v>
      </c>
      <c r="C992" t="s">
        <v>642</v>
      </c>
      <c r="D992" t="s">
        <v>644</v>
      </c>
      <c r="E992" t="s">
        <v>646</v>
      </c>
      <c r="F992" t="s">
        <v>544</v>
      </c>
      <c r="G992" t="s">
        <v>185</v>
      </c>
      <c r="H992">
        <v>1539</v>
      </c>
      <c r="I992">
        <v>22153.863030325399</v>
      </c>
      <c r="J992">
        <v>23692.863030325399</v>
      </c>
      <c r="K992">
        <f>IFERROR(VLOOKUP(F992,'LEAID Match'!$A$2:$B$236,2,FALSE),"")</f>
        <v>0</v>
      </c>
    </row>
    <row r="993" spans="1:11" x14ac:dyDescent="0.2">
      <c r="A993">
        <f t="shared" si="15"/>
        <v>0</v>
      </c>
      <c r="B993">
        <v>2015</v>
      </c>
      <c r="C993" t="s">
        <v>642</v>
      </c>
      <c r="D993" t="s">
        <v>644</v>
      </c>
      <c r="E993" t="s">
        <v>646</v>
      </c>
      <c r="F993" t="s">
        <v>545</v>
      </c>
      <c r="G993" t="s">
        <v>186</v>
      </c>
      <c r="H993">
        <v>2864</v>
      </c>
      <c r="I993">
        <v>54913.307496763642</v>
      </c>
      <c r="J993">
        <v>57777.307496763642</v>
      </c>
      <c r="K993">
        <f>IFERROR(VLOOKUP(F993,'LEAID Match'!$A$2:$B$236,2,FALSE),"")</f>
        <v>0</v>
      </c>
    </row>
    <row r="994" spans="1:11" x14ac:dyDescent="0.2">
      <c r="A994">
        <f t="shared" si="15"/>
        <v>0</v>
      </c>
      <c r="B994">
        <v>2016</v>
      </c>
      <c r="C994" t="s">
        <v>642</v>
      </c>
      <c r="D994" t="s">
        <v>644</v>
      </c>
      <c r="E994" t="s">
        <v>646</v>
      </c>
      <c r="F994" s="1" t="s">
        <v>545</v>
      </c>
      <c r="G994" s="1" t="s">
        <v>186</v>
      </c>
      <c r="H994" s="22"/>
      <c r="I994">
        <v>0</v>
      </c>
      <c r="J994">
        <v>0</v>
      </c>
      <c r="K994">
        <f>IFERROR(VLOOKUP(F994,'LEAID Match'!$A$2:$B$236,2,FALSE),"")</f>
        <v>0</v>
      </c>
    </row>
    <row r="995" spans="1:11" x14ac:dyDescent="0.2">
      <c r="A995">
        <f t="shared" si="15"/>
        <v>0</v>
      </c>
      <c r="B995">
        <v>2017</v>
      </c>
      <c r="C995" t="s">
        <v>642</v>
      </c>
      <c r="D995" t="s">
        <v>644</v>
      </c>
      <c r="E995" t="s">
        <v>646</v>
      </c>
      <c r="F995" t="s">
        <v>545</v>
      </c>
      <c r="G995" t="s">
        <v>186</v>
      </c>
      <c r="I995">
        <v>0</v>
      </c>
      <c r="J995">
        <v>0</v>
      </c>
      <c r="K995">
        <f>IFERROR(VLOOKUP(F995,'LEAID Match'!$A$2:$B$236,2,FALSE),"")</f>
        <v>0</v>
      </c>
    </row>
    <row r="996" spans="1:11" x14ac:dyDescent="0.2">
      <c r="A996">
        <f t="shared" si="15"/>
        <v>0</v>
      </c>
      <c r="B996">
        <v>2018</v>
      </c>
      <c r="C996" t="s">
        <v>642</v>
      </c>
      <c r="D996" t="s">
        <v>644</v>
      </c>
      <c r="E996" t="s">
        <v>646</v>
      </c>
      <c r="F996" t="s">
        <v>545</v>
      </c>
      <c r="G996" t="s">
        <v>186</v>
      </c>
      <c r="I996">
        <v>0</v>
      </c>
      <c r="J996">
        <v>0</v>
      </c>
      <c r="K996">
        <f>IFERROR(VLOOKUP(F996,'LEAID Match'!$A$2:$B$236,2,FALSE),"")</f>
        <v>0</v>
      </c>
    </row>
    <row r="997" spans="1:11" x14ac:dyDescent="0.2">
      <c r="A997">
        <f t="shared" si="15"/>
        <v>0</v>
      </c>
      <c r="B997">
        <v>2019</v>
      </c>
      <c r="C997" t="s">
        <v>642</v>
      </c>
      <c r="D997" t="s">
        <v>644</v>
      </c>
      <c r="E997" t="s">
        <v>646</v>
      </c>
      <c r="F997" t="s">
        <v>545</v>
      </c>
      <c r="G997" t="s">
        <v>186</v>
      </c>
      <c r="H997">
        <v>4160</v>
      </c>
      <c r="I997">
        <v>89123.991435841206</v>
      </c>
      <c r="J997">
        <v>93283.991435841206</v>
      </c>
      <c r="K997">
        <f>IFERROR(VLOOKUP(F997,'LEAID Match'!$A$2:$B$236,2,FALSE),"")</f>
        <v>0</v>
      </c>
    </row>
    <row r="998" spans="1:11" x14ac:dyDescent="0.2">
      <c r="A998">
        <f t="shared" si="15"/>
        <v>0</v>
      </c>
      <c r="B998">
        <v>2020</v>
      </c>
      <c r="C998" t="s">
        <v>642</v>
      </c>
      <c r="D998" t="s">
        <v>644</v>
      </c>
      <c r="E998" t="s">
        <v>646</v>
      </c>
      <c r="F998" t="s">
        <v>545</v>
      </c>
      <c r="G998" t="s">
        <v>186</v>
      </c>
      <c r="H998">
        <v>2387</v>
      </c>
      <c r="I998">
        <v>53186.959893943364</v>
      </c>
      <c r="J998">
        <v>55573.959893943364</v>
      </c>
      <c r="K998">
        <f>IFERROR(VLOOKUP(F998,'LEAID Match'!$A$2:$B$236,2,FALSE),"")</f>
        <v>0</v>
      </c>
    </row>
    <row r="999" spans="1:11" x14ac:dyDescent="0.2">
      <c r="A999">
        <f t="shared" si="15"/>
        <v>0</v>
      </c>
      <c r="B999">
        <v>2021</v>
      </c>
      <c r="C999" t="s">
        <v>642</v>
      </c>
      <c r="D999" t="s">
        <v>644</v>
      </c>
      <c r="E999" t="s">
        <v>646</v>
      </c>
      <c r="F999" t="s">
        <v>545</v>
      </c>
      <c r="G999" t="s">
        <v>186</v>
      </c>
      <c r="I999">
        <v>0</v>
      </c>
      <c r="J999">
        <v>0</v>
      </c>
      <c r="K999">
        <f>IFERROR(VLOOKUP(F999,'LEAID Match'!$A$2:$B$236,2,FALSE),"")</f>
        <v>0</v>
      </c>
    </row>
    <row r="1000" spans="1:11" x14ac:dyDescent="0.2">
      <c r="A1000">
        <f t="shared" si="15"/>
        <v>0</v>
      </c>
      <c r="B1000">
        <v>2022</v>
      </c>
      <c r="C1000" t="s">
        <v>642</v>
      </c>
      <c r="D1000" t="s">
        <v>644</v>
      </c>
      <c r="E1000" t="s">
        <v>646</v>
      </c>
      <c r="F1000" t="s">
        <v>545</v>
      </c>
      <c r="G1000" t="s">
        <v>186</v>
      </c>
      <c r="I1000">
        <v>0</v>
      </c>
      <c r="J1000">
        <v>0</v>
      </c>
      <c r="K1000">
        <f>IFERROR(VLOOKUP(F1000,'LEAID Match'!$A$2:$B$236,2,FALSE),"")</f>
        <v>0</v>
      </c>
    </row>
    <row r="1001" spans="1:11" x14ac:dyDescent="0.2">
      <c r="A1001">
        <f t="shared" si="15"/>
        <v>0</v>
      </c>
      <c r="B1001">
        <v>2015</v>
      </c>
      <c r="C1001" t="s">
        <v>642</v>
      </c>
      <c r="D1001" t="s">
        <v>644</v>
      </c>
      <c r="E1001" t="s">
        <v>646</v>
      </c>
      <c r="F1001" s="1" t="s">
        <v>546</v>
      </c>
      <c r="G1001" t="s">
        <v>187</v>
      </c>
      <c r="I1001">
        <v>0</v>
      </c>
      <c r="J1001">
        <v>0</v>
      </c>
      <c r="K1001">
        <f>IFERROR(VLOOKUP(F1001,'LEAID Match'!$A$2:$B$236,2,FALSE),"")</f>
        <v>0</v>
      </c>
    </row>
    <row r="1002" spans="1:11" x14ac:dyDescent="0.2">
      <c r="A1002">
        <f t="shared" si="15"/>
        <v>0</v>
      </c>
      <c r="B1002">
        <v>2016</v>
      </c>
      <c r="C1002" t="s">
        <v>642</v>
      </c>
      <c r="D1002" t="s">
        <v>644</v>
      </c>
      <c r="E1002" t="s">
        <v>646</v>
      </c>
      <c r="F1002" s="1" t="s">
        <v>546</v>
      </c>
      <c r="G1002" s="1" t="s">
        <v>187</v>
      </c>
      <c r="H1002" s="22"/>
      <c r="I1002">
        <v>0</v>
      </c>
      <c r="J1002">
        <v>0</v>
      </c>
      <c r="K1002">
        <f>IFERROR(VLOOKUP(F1002,'LEAID Match'!$A$2:$B$236,2,FALSE),"")</f>
        <v>0</v>
      </c>
    </row>
    <row r="1003" spans="1:11" x14ac:dyDescent="0.2">
      <c r="A1003">
        <f t="shared" si="15"/>
        <v>0</v>
      </c>
      <c r="B1003">
        <v>2017</v>
      </c>
      <c r="C1003" t="s">
        <v>642</v>
      </c>
      <c r="D1003" t="s">
        <v>644</v>
      </c>
      <c r="E1003" t="s">
        <v>646</v>
      </c>
      <c r="F1003" t="s">
        <v>546</v>
      </c>
      <c r="G1003" t="s">
        <v>187</v>
      </c>
      <c r="H1003">
        <v>104</v>
      </c>
      <c r="I1003">
        <v>1983.0093850296496</v>
      </c>
      <c r="J1003">
        <v>2087.0093850296498</v>
      </c>
      <c r="K1003">
        <f>IFERROR(VLOOKUP(F1003,'LEAID Match'!$A$2:$B$236,2,FALSE),"")</f>
        <v>0</v>
      </c>
    </row>
    <row r="1004" spans="1:11" x14ac:dyDescent="0.2">
      <c r="A1004">
        <f t="shared" si="15"/>
        <v>0</v>
      </c>
      <c r="B1004">
        <v>2018</v>
      </c>
      <c r="C1004" t="s">
        <v>642</v>
      </c>
      <c r="D1004" t="s">
        <v>644</v>
      </c>
      <c r="E1004" t="s">
        <v>646</v>
      </c>
      <c r="F1004" t="s">
        <v>546</v>
      </c>
      <c r="G1004" t="s">
        <v>187</v>
      </c>
      <c r="I1004">
        <v>0</v>
      </c>
      <c r="J1004">
        <v>0</v>
      </c>
      <c r="K1004">
        <f>IFERROR(VLOOKUP(F1004,'LEAID Match'!$A$2:$B$236,2,FALSE),"")</f>
        <v>0</v>
      </c>
    </row>
    <row r="1005" spans="1:11" x14ac:dyDescent="0.2">
      <c r="A1005">
        <f t="shared" si="15"/>
        <v>0</v>
      </c>
      <c r="B1005">
        <v>2019</v>
      </c>
      <c r="C1005" t="s">
        <v>642</v>
      </c>
      <c r="D1005" t="s">
        <v>644</v>
      </c>
      <c r="E1005" t="s">
        <v>646</v>
      </c>
      <c r="F1005" t="s">
        <v>546</v>
      </c>
      <c r="G1005" t="s">
        <v>187</v>
      </c>
      <c r="I1005">
        <v>0</v>
      </c>
      <c r="J1005">
        <v>0</v>
      </c>
      <c r="K1005">
        <f>IFERROR(VLOOKUP(F1005,'LEAID Match'!$A$2:$B$236,2,FALSE),"")</f>
        <v>0</v>
      </c>
    </row>
    <row r="1006" spans="1:11" x14ac:dyDescent="0.2">
      <c r="A1006">
        <f t="shared" si="15"/>
        <v>0</v>
      </c>
      <c r="B1006">
        <v>2020</v>
      </c>
      <c r="C1006" t="s">
        <v>642</v>
      </c>
      <c r="D1006" t="s">
        <v>644</v>
      </c>
      <c r="E1006" t="s">
        <v>646</v>
      </c>
      <c r="F1006" t="s">
        <v>546</v>
      </c>
      <c r="G1006" t="s">
        <v>187</v>
      </c>
      <c r="H1006">
        <v>468</v>
      </c>
      <c r="I1006">
        <v>10427.941864417888</v>
      </c>
      <c r="J1006">
        <v>10895.941864417888</v>
      </c>
      <c r="K1006">
        <f>IFERROR(VLOOKUP(F1006,'LEAID Match'!$A$2:$B$236,2,FALSE),"")</f>
        <v>0</v>
      </c>
    </row>
    <row r="1007" spans="1:11" x14ac:dyDescent="0.2">
      <c r="A1007">
        <f t="shared" si="15"/>
        <v>0</v>
      </c>
      <c r="B1007">
        <v>2021</v>
      </c>
      <c r="C1007" t="s">
        <v>642</v>
      </c>
      <c r="D1007" t="s">
        <v>644</v>
      </c>
      <c r="E1007" t="s">
        <v>646</v>
      </c>
      <c r="F1007" t="s">
        <v>546</v>
      </c>
      <c r="G1007" t="s">
        <v>187</v>
      </c>
      <c r="H1007">
        <v>992</v>
      </c>
      <c r="I1007">
        <v>16664.955613003734</v>
      </c>
      <c r="J1007">
        <v>17656.955613003734</v>
      </c>
      <c r="K1007">
        <f>IFERROR(VLOOKUP(F1007,'LEAID Match'!$A$2:$B$236,2,FALSE),"")</f>
        <v>0</v>
      </c>
    </row>
    <row r="1008" spans="1:11" x14ac:dyDescent="0.2">
      <c r="A1008">
        <f t="shared" si="15"/>
        <v>0</v>
      </c>
      <c r="B1008">
        <v>2022</v>
      </c>
      <c r="C1008" t="s">
        <v>642</v>
      </c>
      <c r="D1008" t="s">
        <v>644</v>
      </c>
      <c r="E1008" t="s">
        <v>646</v>
      </c>
      <c r="F1008" t="s">
        <v>546</v>
      </c>
      <c r="G1008" t="s">
        <v>187</v>
      </c>
      <c r="I1008">
        <v>0</v>
      </c>
      <c r="J1008">
        <v>0</v>
      </c>
      <c r="K1008">
        <f>IFERROR(VLOOKUP(F1008,'LEAID Match'!$A$2:$B$236,2,FALSE),"")</f>
        <v>0</v>
      </c>
    </row>
    <row r="1009" spans="1:11" x14ac:dyDescent="0.2">
      <c r="A1009">
        <f t="shared" si="15"/>
        <v>2314772</v>
      </c>
      <c r="B1009">
        <v>2015</v>
      </c>
      <c r="C1009" t="s">
        <v>642</v>
      </c>
      <c r="D1009" t="s">
        <v>644</v>
      </c>
      <c r="E1009" t="s">
        <v>646</v>
      </c>
      <c r="F1009" t="s">
        <v>547</v>
      </c>
      <c r="G1009" t="s">
        <v>188</v>
      </c>
      <c r="H1009">
        <v>74414</v>
      </c>
      <c r="I1009">
        <v>1426787.3128715674</v>
      </c>
      <c r="J1009">
        <v>1501201.3128715674</v>
      </c>
      <c r="K1009">
        <f>IFERROR(VLOOKUP(F1009,'LEAID Match'!$A$2:$B$236,2,FALSE),"")</f>
        <v>2314772</v>
      </c>
    </row>
    <row r="1010" spans="1:11" x14ac:dyDescent="0.2">
      <c r="A1010">
        <f t="shared" si="15"/>
        <v>2314772</v>
      </c>
      <c r="B1010">
        <v>2016</v>
      </c>
      <c r="C1010" t="s">
        <v>642</v>
      </c>
      <c r="D1010" t="s">
        <v>644</v>
      </c>
      <c r="E1010" t="s">
        <v>646</v>
      </c>
      <c r="F1010" s="1" t="s">
        <v>547</v>
      </c>
      <c r="G1010" s="1" t="s">
        <v>188</v>
      </c>
      <c r="H1010" s="22">
        <v>50556</v>
      </c>
      <c r="I1010">
        <v>960796.6717153677</v>
      </c>
      <c r="J1010">
        <v>1011352.6717153677</v>
      </c>
      <c r="K1010">
        <f>IFERROR(VLOOKUP(F1010,'LEAID Match'!$A$2:$B$236,2,FALSE),"")</f>
        <v>2314772</v>
      </c>
    </row>
    <row r="1011" spans="1:11" x14ac:dyDescent="0.2">
      <c r="A1011">
        <f t="shared" si="15"/>
        <v>2314772</v>
      </c>
      <c r="B1011">
        <v>2017</v>
      </c>
      <c r="C1011" t="s">
        <v>642</v>
      </c>
      <c r="D1011" t="s">
        <v>644</v>
      </c>
      <c r="E1011" t="s">
        <v>646</v>
      </c>
      <c r="F1011" t="s">
        <v>547</v>
      </c>
      <c r="G1011" t="s">
        <v>188</v>
      </c>
      <c r="H1011">
        <v>52106</v>
      </c>
      <c r="I1011">
        <v>993525.83669572044</v>
      </c>
      <c r="J1011">
        <v>1045631.8366957204</v>
      </c>
      <c r="K1011">
        <f>IFERROR(VLOOKUP(F1011,'LEAID Match'!$A$2:$B$236,2,FALSE),"")</f>
        <v>2314772</v>
      </c>
    </row>
    <row r="1012" spans="1:11" x14ac:dyDescent="0.2">
      <c r="A1012">
        <f t="shared" si="15"/>
        <v>2314772</v>
      </c>
      <c r="B1012">
        <v>2018</v>
      </c>
      <c r="C1012" t="s">
        <v>642</v>
      </c>
      <c r="D1012" t="s">
        <v>644</v>
      </c>
      <c r="E1012" t="s">
        <v>646</v>
      </c>
      <c r="F1012" t="s">
        <v>547</v>
      </c>
      <c r="G1012" t="s">
        <v>188</v>
      </c>
      <c r="H1012">
        <v>54486</v>
      </c>
      <c r="I1012">
        <v>1104392.7435818156</v>
      </c>
      <c r="J1012">
        <v>1158878.7435818156</v>
      </c>
      <c r="K1012">
        <f>IFERROR(VLOOKUP(F1012,'LEAID Match'!$A$2:$B$236,2,FALSE),"")</f>
        <v>2314772</v>
      </c>
    </row>
    <row r="1013" spans="1:11" x14ac:dyDescent="0.2">
      <c r="A1013">
        <f t="shared" si="15"/>
        <v>2314772</v>
      </c>
      <c r="B1013">
        <v>2019</v>
      </c>
      <c r="C1013" t="s">
        <v>642</v>
      </c>
      <c r="D1013" t="s">
        <v>644</v>
      </c>
      <c r="E1013" t="s">
        <v>646</v>
      </c>
      <c r="F1013" t="s">
        <v>547</v>
      </c>
      <c r="G1013" t="s">
        <v>188</v>
      </c>
      <c r="H1013">
        <v>49742</v>
      </c>
      <c r="I1013">
        <v>1065674.4187503878</v>
      </c>
      <c r="J1013">
        <v>1115416.4187503878</v>
      </c>
      <c r="K1013">
        <f>IFERROR(VLOOKUP(F1013,'LEAID Match'!$A$2:$B$236,2,FALSE),"")</f>
        <v>2314772</v>
      </c>
    </row>
    <row r="1014" spans="1:11" x14ac:dyDescent="0.2">
      <c r="A1014">
        <f t="shared" si="15"/>
        <v>2314772</v>
      </c>
      <c r="B1014">
        <v>2020</v>
      </c>
      <c r="C1014" t="s">
        <v>642</v>
      </c>
      <c r="D1014" t="s">
        <v>644</v>
      </c>
      <c r="E1014" t="s">
        <v>646</v>
      </c>
      <c r="F1014" t="s">
        <v>547</v>
      </c>
      <c r="G1014" t="s">
        <v>188</v>
      </c>
      <c r="H1014">
        <v>68037</v>
      </c>
      <c r="I1014">
        <v>1515995.4714303415</v>
      </c>
      <c r="J1014">
        <v>1584032.4714303415</v>
      </c>
      <c r="K1014">
        <f>IFERROR(VLOOKUP(F1014,'LEAID Match'!$A$2:$B$236,2,FALSE),"")</f>
        <v>2314772</v>
      </c>
    </row>
    <row r="1015" spans="1:11" x14ac:dyDescent="0.2">
      <c r="A1015">
        <f t="shared" si="15"/>
        <v>2314772</v>
      </c>
      <c r="B1015">
        <v>2021</v>
      </c>
      <c r="C1015" t="s">
        <v>642</v>
      </c>
      <c r="D1015" t="s">
        <v>644</v>
      </c>
      <c r="E1015" t="s">
        <v>646</v>
      </c>
      <c r="F1015" t="s">
        <v>547</v>
      </c>
      <c r="G1015" t="s">
        <v>188</v>
      </c>
      <c r="H1015">
        <v>152465</v>
      </c>
      <c r="I1015">
        <v>2561312.9612264251</v>
      </c>
      <c r="J1015">
        <v>2713777.9612264251</v>
      </c>
      <c r="K1015">
        <f>IFERROR(VLOOKUP(F1015,'LEAID Match'!$A$2:$B$236,2,FALSE),"")</f>
        <v>2314772</v>
      </c>
    </row>
    <row r="1016" spans="1:11" x14ac:dyDescent="0.2">
      <c r="A1016">
        <f t="shared" si="15"/>
        <v>2314772</v>
      </c>
      <c r="B1016">
        <v>2022</v>
      </c>
      <c r="C1016" t="s">
        <v>642</v>
      </c>
      <c r="D1016" t="s">
        <v>644</v>
      </c>
      <c r="E1016" t="s">
        <v>646</v>
      </c>
      <c r="F1016" t="s">
        <v>547</v>
      </c>
      <c r="G1016" t="s">
        <v>188</v>
      </c>
      <c r="H1016">
        <v>191582</v>
      </c>
      <c r="I1016">
        <v>2757817.6654163748</v>
      </c>
      <c r="J1016">
        <v>2949399.6654163748</v>
      </c>
      <c r="K1016">
        <f>IFERROR(VLOOKUP(F1016,'LEAID Match'!$A$2:$B$236,2,FALSE),"")</f>
        <v>2314772</v>
      </c>
    </row>
    <row r="1017" spans="1:11" x14ac:dyDescent="0.2">
      <c r="A1017">
        <f t="shared" si="15"/>
        <v>2314776</v>
      </c>
      <c r="B1017">
        <v>2015</v>
      </c>
      <c r="C1017" t="s">
        <v>642</v>
      </c>
      <c r="D1017" t="s">
        <v>644</v>
      </c>
      <c r="E1017" t="s">
        <v>646</v>
      </c>
      <c r="F1017" t="s">
        <v>548</v>
      </c>
      <c r="G1017" t="s">
        <v>189</v>
      </c>
      <c r="H1017">
        <v>59710</v>
      </c>
      <c r="I1017">
        <v>1144858.0972876246</v>
      </c>
      <c r="J1017">
        <v>1204568.0972876246</v>
      </c>
      <c r="K1017">
        <f>IFERROR(VLOOKUP(F1017,'LEAID Match'!$A$2:$B$236,2,FALSE),"")</f>
        <v>2314776</v>
      </c>
    </row>
    <row r="1018" spans="1:11" x14ac:dyDescent="0.2">
      <c r="A1018">
        <f t="shared" si="15"/>
        <v>2314776</v>
      </c>
      <c r="B1018">
        <v>2016</v>
      </c>
      <c r="C1018" t="s">
        <v>642</v>
      </c>
      <c r="D1018" t="s">
        <v>644</v>
      </c>
      <c r="E1018" t="s">
        <v>646</v>
      </c>
      <c r="F1018" s="1" t="s">
        <v>548</v>
      </c>
      <c r="G1018" s="1" t="s">
        <v>189</v>
      </c>
      <c r="H1018" s="22">
        <v>42830</v>
      </c>
      <c r="I1018">
        <v>813967.11467618472</v>
      </c>
      <c r="J1018">
        <v>856797.11467618472</v>
      </c>
      <c r="K1018">
        <f>IFERROR(VLOOKUP(F1018,'LEAID Match'!$A$2:$B$236,2,FALSE),"")</f>
        <v>2314776</v>
      </c>
    </row>
    <row r="1019" spans="1:11" x14ac:dyDescent="0.2">
      <c r="A1019">
        <f t="shared" si="15"/>
        <v>2314776</v>
      </c>
      <c r="B1019">
        <v>2017</v>
      </c>
      <c r="C1019" t="s">
        <v>642</v>
      </c>
      <c r="D1019" t="s">
        <v>644</v>
      </c>
      <c r="E1019" t="s">
        <v>646</v>
      </c>
      <c r="F1019" t="s">
        <v>548</v>
      </c>
      <c r="G1019" t="s">
        <v>189</v>
      </c>
      <c r="H1019">
        <v>44572</v>
      </c>
      <c r="I1019">
        <v>849872.06066866883</v>
      </c>
      <c r="J1019">
        <v>894444.06066866883</v>
      </c>
      <c r="K1019">
        <f>IFERROR(VLOOKUP(F1019,'LEAID Match'!$A$2:$B$236,2,FALSE),"")</f>
        <v>2314776</v>
      </c>
    </row>
    <row r="1020" spans="1:11" x14ac:dyDescent="0.2">
      <c r="A1020">
        <f t="shared" si="15"/>
        <v>2314776</v>
      </c>
      <c r="B1020">
        <v>2018</v>
      </c>
      <c r="C1020" t="s">
        <v>642</v>
      </c>
      <c r="D1020" t="s">
        <v>644</v>
      </c>
      <c r="E1020" t="s">
        <v>646</v>
      </c>
      <c r="F1020" t="s">
        <v>548</v>
      </c>
      <c r="G1020" t="s">
        <v>189</v>
      </c>
      <c r="H1020">
        <v>43811</v>
      </c>
      <c r="I1020">
        <v>888018.03195431735</v>
      </c>
      <c r="J1020">
        <v>931829.03195431735</v>
      </c>
      <c r="K1020">
        <f>IFERROR(VLOOKUP(F1020,'LEAID Match'!$A$2:$B$236,2,FALSE),"")</f>
        <v>2314776</v>
      </c>
    </row>
    <row r="1021" spans="1:11" x14ac:dyDescent="0.2">
      <c r="A1021">
        <f t="shared" si="15"/>
        <v>2314776</v>
      </c>
      <c r="B1021">
        <v>2019</v>
      </c>
      <c r="C1021" t="s">
        <v>642</v>
      </c>
      <c r="D1021" t="s">
        <v>644</v>
      </c>
      <c r="E1021" t="s">
        <v>646</v>
      </c>
      <c r="F1021" t="s">
        <v>548</v>
      </c>
      <c r="G1021" t="s">
        <v>189</v>
      </c>
      <c r="H1021">
        <v>49465</v>
      </c>
      <c r="I1021">
        <v>1059739.9606667995</v>
      </c>
      <c r="J1021">
        <v>1109204.9606667995</v>
      </c>
      <c r="K1021">
        <f>IFERROR(VLOOKUP(F1021,'LEAID Match'!$A$2:$B$236,2,FALSE),"")</f>
        <v>2314776</v>
      </c>
    </row>
    <row r="1022" spans="1:11" x14ac:dyDescent="0.2">
      <c r="A1022">
        <f t="shared" si="15"/>
        <v>2314776</v>
      </c>
      <c r="B1022">
        <v>2020</v>
      </c>
      <c r="C1022" t="s">
        <v>642</v>
      </c>
      <c r="D1022" t="s">
        <v>644</v>
      </c>
      <c r="E1022" t="s">
        <v>646</v>
      </c>
      <c r="F1022" t="s">
        <v>548</v>
      </c>
      <c r="G1022" t="s">
        <v>189</v>
      </c>
      <c r="H1022">
        <v>57414</v>
      </c>
      <c r="I1022">
        <v>1279294.5602642917</v>
      </c>
      <c r="J1022">
        <v>1336708.5602642917</v>
      </c>
      <c r="K1022">
        <f>IFERROR(VLOOKUP(F1022,'LEAID Match'!$A$2:$B$236,2,FALSE),"")</f>
        <v>2314776</v>
      </c>
    </row>
    <row r="1023" spans="1:11" x14ac:dyDescent="0.2">
      <c r="A1023">
        <f t="shared" si="15"/>
        <v>2314776</v>
      </c>
      <c r="B1023">
        <v>2021</v>
      </c>
      <c r="C1023" t="s">
        <v>642</v>
      </c>
      <c r="D1023" t="s">
        <v>644</v>
      </c>
      <c r="E1023" t="s">
        <v>646</v>
      </c>
      <c r="F1023" t="s">
        <v>548</v>
      </c>
      <c r="G1023" t="s">
        <v>189</v>
      </c>
      <c r="H1023">
        <v>72230</v>
      </c>
      <c r="I1023">
        <v>1213417.0805718342</v>
      </c>
      <c r="J1023">
        <v>1285647.0805718342</v>
      </c>
      <c r="K1023">
        <f>IFERROR(VLOOKUP(F1023,'LEAID Match'!$A$2:$B$236,2,FALSE),"")</f>
        <v>2314776</v>
      </c>
    </row>
    <row r="1024" spans="1:11" x14ac:dyDescent="0.2">
      <c r="A1024">
        <f t="shared" si="15"/>
        <v>2314776</v>
      </c>
      <c r="B1024">
        <v>2022</v>
      </c>
      <c r="C1024" t="s">
        <v>642</v>
      </c>
      <c r="D1024" t="s">
        <v>644</v>
      </c>
      <c r="E1024" t="s">
        <v>646</v>
      </c>
      <c r="F1024" t="s">
        <v>548</v>
      </c>
      <c r="G1024" t="s">
        <v>189</v>
      </c>
      <c r="H1024">
        <v>89671</v>
      </c>
      <c r="I1024">
        <v>1290811.5996051391</v>
      </c>
      <c r="J1024">
        <v>1380482.5996051391</v>
      </c>
      <c r="K1024">
        <f>IFERROR(VLOOKUP(F1024,'LEAID Match'!$A$2:$B$236,2,FALSE),"")</f>
        <v>2314776</v>
      </c>
    </row>
    <row r="1025" spans="1:11" x14ac:dyDescent="0.2">
      <c r="A1025">
        <f t="shared" si="15"/>
        <v>2314783</v>
      </c>
      <c r="B1025">
        <v>2015</v>
      </c>
      <c r="C1025" t="s">
        <v>642</v>
      </c>
      <c r="D1025" t="s">
        <v>644</v>
      </c>
      <c r="E1025" t="s">
        <v>646</v>
      </c>
      <c r="F1025" t="s">
        <v>549</v>
      </c>
      <c r="G1025" t="s">
        <v>190</v>
      </c>
      <c r="H1025">
        <v>39302</v>
      </c>
      <c r="I1025">
        <v>753562.43409141235</v>
      </c>
      <c r="J1025">
        <v>792864.43409141235</v>
      </c>
      <c r="K1025">
        <f>IFERROR(VLOOKUP(F1025,'LEAID Match'!$A$2:$B$236,2,FALSE),"")</f>
        <v>2314783</v>
      </c>
    </row>
    <row r="1026" spans="1:11" x14ac:dyDescent="0.2">
      <c r="A1026">
        <f t="shared" si="15"/>
        <v>2314783</v>
      </c>
      <c r="B1026">
        <v>2016</v>
      </c>
      <c r="C1026" t="s">
        <v>642</v>
      </c>
      <c r="D1026" t="s">
        <v>644</v>
      </c>
      <c r="E1026" t="s">
        <v>646</v>
      </c>
      <c r="F1026" s="1" t="s">
        <v>549</v>
      </c>
      <c r="G1026" s="1" t="s">
        <v>190</v>
      </c>
      <c r="H1026" s="22">
        <v>40721</v>
      </c>
      <c r="I1026">
        <v>773886.40851573483</v>
      </c>
      <c r="J1026">
        <v>814607.40851573483</v>
      </c>
      <c r="K1026">
        <f>IFERROR(VLOOKUP(F1026,'LEAID Match'!$A$2:$B$236,2,FALSE),"")</f>
        <v>2314783</v>
      </c>
    </row>
    <row r="1027" spans="1:11" x14ac:dyDescent="0.2">
      <c r="A1027">
        <f t="shared" ref="A1027:A1090" si="16">K1027</f>
        <v>2314783</v>
      </c>
      <c r="B1027">
        <v>2017</v>
      </c>
      <c r="C1027" t="s">
        <v>642</v>
      </c>
      <c r="D1027" t="s">
        <v>644</v>
      </c>
      <c r="E1027" t="s">
        <v>646</v>
      </c>
      <c r="F1027" t="s">
        <v>549</v>
      </c>
      <c r="G1027" t="s">
        <v>190</v>
      </c>
      <c r="H1027">
        <v>39300</v>
      </c>
      <c r="I1027">
        <v>749348.7387660119</v>
      </c>
      <c r="J1027">
        <v>788648.7387660119</v>
      </c>
      <c r="K1027">
        <f>IFERROR(VLOOKUP(F1027,'LEAID Match'!$A$2:$B$236,2,FALSE),"")</f>
        <v>2314783</v>
      </c>
    </row>
    <row r="1028" spans="1:11" x14ac:dyDescent="0.2">
      <c r="A1028">
        <f t="shared" si="16"/>
        <v>2314783</v>
      </c>
      <c r="B1028">
        <v>2018</v>
      </c>
      <c r="C1028" t="s">
        <v>642</v>
      </c>
      <c r="D1028" t="s">
        <v>644</v>
      </c>
      <c r="E1028" t="s">
        <v>646</v>
      </c>
      <c r="F1028" t="s">
        <v>549</v>
      </c>
      <c r="G1028" t="s">
        <v>190</v>
      </c>
      <c r="H1028">
        <v>41581</v>
      </c>
      <c r="I1028">
        <v>842817.50671503658</v>
      </c>
      <c r="J1028">
        <v>884398.50671503658</v>
      </c>
      <c r="K1028">
        <f>IFERROR(VLOOKUP(F1028,'LEAID Match'!$A$2:$B$236,2,FALSE),"")</f>
        <v>2314783</v>
      </c>
    </row>
    <row r="1029" spans="1:11" x14ac:dyDescent="0.2">
      <c r="A1029">
        <f t="shared" si="16"/>
        <v>2314783</v>
      </c>
      <c r="B1029">
        <v>2019</v>
      </c>
      <c r="C1029" t="s">
        <v>642</v>
      </c>
      <c r="D1029" t="s">
        <v>644</v>
      </c>
      <c r="E1029" t="s">
        <v>646</v>
      </c>
      <c r="F1029" t="s">
        <v>549</v>
      </c>
      <c r="G1029" t="s">
        <v>190</v>
      </c>
      <c r="H1029">
        <v>45878</v>
      </c>
      <c r="I1029">
        <v>982891.9420897892</v>
      </c>
      <c r="J1029">
        <v>1028769.9420897892</v>
      </c>
      <c r="K1029">
        <f>IFERROR(VLOOKUP(F1029,'LEAID Match'!$A$2:$B$236,2,FALSE),"")</f>
        <v>2314783</v>
      </c>
    </row>
    <row r="1030" spans="1:11" x14ac:dyDescent="0.2">
      <c r="A1030">
        <f t="shared" si="16"/>
        <v>2314783</v>
      </c>
      <c r="B1030">
        <v>2020</v>
      </c>
      <c r="C1030" t="s">
        <v>642</v>
      </c>
      <c r="D1030" t="s">
        <v>644</v>
      </c>
      <c r="E1030" t="s">
        <v>646</v>
      </c>
      <c r="F1030" t="s">
        <v>549</v>
      </c>
      <c r="G1030" t="s">
        <v>190</v>
      </c>
      <c r="H1030">
        <v>61702</v>
      </c>
      <c r="I1030">
        <v>1374839.4635006676</v>
      </c>
      <c r="J1030">
        <v>1436541.4635006676</v>
      </c>
      <c r="K1030">
        <f>IFERROR(VLOOKUP(F1030,'LEAID Match'!$A$2:$B$236,2,FALSE),"")</f>
        <v>2314783</v>
      </c>
    </row>
    <row r="1031" spans="1:11" x14ac:dyDescent="0.2">
      <c r="A1031">
        <f t="shared" si="16"/>
        <v>2314783</v>
      </c>
      <c r="B1031">
        <v>2021</v>
      </c>
      <c r="C1031" t="s">
        <v>642</v>
      </c>
      <c r="D1031" t="s">
        <v>644</v>
      </c>
      <c r="E1031" t="s">
        <v>646</v>
      </c>
      <c r="F1031" t="s">
        <v>549</v>
      </c>
      <c r="G1031" t="s">
        <v>190</v>
      </c>
      <c r="H1031">
        <v>67446</v>
      </c>
      <c r="I1031">
        <v>1133048.9881800904</v>
      </c>
      <c r="J1031">
        <v>1200494.9881800904</v>
      </c>
      <c r="K1031">
        <f>IFERROR(VLOOKUP(F1031,'LEAID Match'!$A$2:$B$236,2,FALSE),"")</f>
        <v>2314783</v>
      </c>
    </row>
    <row r="1032" spans="1:11" x14ac:dyDescent="0.2">
      <c r="A1032">
        <f t="shared" si="16"/>
        <v>2314783</v>
      </c>
      <c r="B1032">
        <v>2022</v>
      </c>
      <c r="C1032" t="s">
        <v>642</v>
      </c>
      <c r="D1032" t="s">
        <v>644</v>
      </c>
      <c r="E1032" t="s">
        <v>646</v>
      </c>
      <c r="F1032" t="s">
        <v>549</v>
      </c>
      <c r="G1032" t="s">
        <v>190</v>
      </c>
      <c r="H1032">
        <v>89922</v>
      </c>
      <c r="I1032">
        <v>1294424.7377601822</v>
      </c>
      <c r="J1032">
        <v>1384346.7377601822</v>
      </c>
      <c r="K1032">
        <f>IFERROR(VLOOKUP(F1032,'LEAID Match'!$A$2:$B$236,2,FALSE),"")</f>
        <v>2314783</v>
      </c>
    </row>
    <row r="1033" spans="1:11" x14ac:dyDescent="0.2">
      <c r="A1033">
        <f t="shared" si="16"/>
        <v>2314789</v>
      </c>
      <c r="B1033">
        <v>2015</v>
      </c>
      <c r="C1033" t="s">
        <v>642</v>
      </c>
      <c r="D1033" t="s">
        <v>644</v>
      </c>
      <c r="E1033" t="s">
        <v>646</v>
      </c>
      <c r="F1033" t="s">
        <v>550</v>
      </c>
      <c r="G1033" t="s">
        <v>191</v>
      </c>
      <c r="H1033">
        <v>14843</v>
      </c>
      <c r="I1033">
        <v>284594.35166706104</v>
      </c>
      <c r="J1033">
        <v>299437.35166706104</v>
      </c>
      <c r="K1033">
        <f>IFERROR(VLOOKUP(F1033,'LEAID Match'!$A$2:$B$236,2,FALSE),"")</f>
        <v>2314789</v>
      </c>
    </row>
    <row r="1034" spans="1:11" x14ac:dyDescent="0.2">
      <c r="A1034">
        <f t="shared" si="16"/>
        <v>2314789</v>
      </c>
      <c r="B1034">
        <v>2016</v>
      </c>
      <c r="C1034" t="s">
        <v>642</v>
      </c>
      <c r="D1034" t="s">
        <v>644</v>
      </c>
      <c r="E1034" t="s">
        <v>646</v>
      </c>
      <c r="F1034" s="1" t="s">
        <v>550</v>
      </c>
      <c r="G1034" s="1" t="s">
        <v>191</v>
      </c>
      <c r="H1034" s="22">
        <v>9545</v>
      </c>
      <c r="I1034">
        <v>181398.92854504281</v>
      </c>
      <c r="J1034">
        <v>190943.92854504281</v>
      </c>
      <c r="K1034">
        <f>IFERROR(VLOOKUP(F1034,'LEAID Match'!$A$2:$B$236,2,FALSE),"")</f>
        <v>2314789</v>
      </c>
    </row>
    <row r="1035" spans="1:11" x14ac:dyDescent="0.2">
      <c r="A1035">
        <f t="shared" si="16"/>
        <v>2314789</v>
      </c>
      <c r="B1035">
        <v>2017</v>
      </c>
      <c r="C1035" t="s">
        <v>642</v>
      </c>
      <c r="D1035" t="s">
        <v>644</v>
      </c>
      <c r="E1035" t="s">
        <v>646</v>
      </c>
      <c r="F1035" t="s">
        <v>550</v>
      </c>
      <c r="G1035" t="s">
        <v>191</v>
      </c>
      <c r="H1035">
        <v>11727</v>
      </c>
      <c r="I1035">
        <v>223603.375560026</v>
      </c>
      <c r="J1035">
        <v>235330.375560026</v>
      </c>
      <c r="K1035">
        <f>IFERROR(VLOOKUP(F1035,'LEAID Match'!$A$2:$B$236,2,FALSE),"")</f>
        <v>2314789</v>
      </c>
    </row>
    <row r="1036" spans="1:11" x14ac:dyDescent="0.2">
      <c r="A1036">
        <f t="shared" si="16"/>
        <v>2314789</v>
      </c>
      <c r="B1036">
        <v>2018</v>
      </c>
      <c r="C1036" t="s">
        <v>642</v>
      </c>
      <c r="D1036" t="s">
        <v>644</v>
      </c>
      <c r="E1036" t="s">
        <v>646</v>
      </c>
      <c r="F1036" t="s">
        <v>550</v>
      </c>
      <c r="G1036" t="s">
        <v>191</v>
      </c>
      <c r="H1036">
        <v>16911</v>
      </c>
      <c r="I1036">
        <v>342774.02794685034</v>
      </c>
      <c r="J1036">
        <v>359685.02794685034</v>
      </c>
      <c r="K1036">
        <f>IFERROR(VLOOKUP(F1036,'LEAID Match'!$A$2:$B$236,2,FALSE),"")</f>
        <v>2314789</v>
      </c>
    </row>
    <row r="1037" spans="1:11" x14ac:dyDescent="0.2">
      <c r="A1037">
        <f t="shared" si="16"/>
        <v>2314789</v>
      </c>
      <c r="B1037">
        <v>2019</v>
      </c>
      <c r="C1037" t="s">
        <v>642</v>
      </c>
      <c r="D1037" t="s">
        <v>644</v>
      </c>
      <c r="E1037" t="s">
        <v>646</v>
      </c>
      <c r="F1037" t="s">
        <v>550</v>
      </c>
      <c r="G1037" t="s">
        <v>191</v>
      </c>
      <c r="H1037">
        <v>21818</v>
      </c>
      <c r="I1037">
        <v>467429.62623730378</v>
      </c>
      <c r="J1037">
        <v>489247.62623730378</v>
      </c>
      <c r="K1037">
        <f>IFERROR(VLOOKUP(F1037,'LEAID Match'!$A$2:$B$236,2,FALSE),"")</f>
        <v>2314789</v>
      </c>
    </row>
    <row r="1038" spans="1:11" x14ac:dyDescent="0.2">
      <c r="A1038">
        <f t="shared" si="16"/>
        <v>2314789</v>
      </c>
      <c r="B1038">
        <v>2020</v>
      </c>
      <c r="C1038" t="s">
        <v>642</v>
      </c>
      <c r="D1038" t="s">
        <v>644</v>
      </c>
      <c r="E1038" t="s">
        <v>646</v>
      </c>
      <c r="F1038" t="s">
        <v>550</v>
      </c>
      <c r="G1038" t="s">
        <v>191</v>
      </c>
      <c r="H1038">
        <v>9591</v>
      </c>
      <c r="I1038">
        <v>213705.96243938452</v>
      </c>
      <c r="J1038">
        <v>223296.96243938452</v>
      </c>
      <c r="K1038">
        <f>IFERROR(VLOOKUP(F1038,'LEAID Match'!$A$2:$B$236,2,FALSE),"")</f>
        <v>2314789</v>
      </c>
    </row>
    <row r="1039" spans="1:11" x14ac:dyDescent="0.2">
      <c r="A1039">
        <f t="shared" si="16"/>
        <v>2314789</v>
      </c>
      <c r="B1039">
        <v>2021</v>
      </c>
      <c r="C1039" t="s">
        <v>642</v>
      </c>
      <c r="D1039" t="s">
        <v>644</v>
      </c>
      <c r="E1039" t="s">
        <v>646</v>
      </c>
      <c r="F1039" t="s">
        <v>550</v>
      </c>
      <c r="G1039" t="s">
        <v>191</v>
      </c>
      <c r="H1039">
        <v>19873</v>
      </c>
      <c r="I1039">
        <v>333853.49082381366</v>
      </c>
      <c r="J1039">
        <v>353726.49082381366</v>
      </c>
      <c r="K1039">
        <f>IFERROR(VLOOKUP(F1039,'LEAID Match'!$A$2:$B$236,2,FALSE),"")</f>
        <v>2314789</v>
      </c>
    </row>
    <row r="1040" spans="1:11" x14ac:dyDescent="0.2">
      <c r="A1040">
        <f t="shared" si="16"/>
        <v>2314789</v>
      </c>
      <c r="B1040">
        <v>2022</v>
      </c>
      <c r="C1040" t="s">
        <v>642</v>
      </c>
      <c r="D1040" t="s">
        <v>644</v>
      </c>
      <c r="E1040" t="s">
        <v>646</v>
      </c>
      <c r="F1040" t="s">
        <v>550</v>
      </c>
      <c r="G1040" t="s">
        <v>191</v>
      </c>
      <c r="H1040">
        <v>68020</v>
      </c>
      <c r="I1040">
        <v>979146.04504401144</v>
      </c>
      <c r="J1040">
        <v>1047166.0450440114</v>
      </c>
      <c r="K1040">
        <f>IFERROR(VLOOKUP(F1040,'LEAID Match'!$A$2:$B$236,2,FALSE),"")</f>
        <v>2314789</v>
      </c>
    </row>
    <row r="1041" spans="1:11" x14ac:dyDescent="0.2">
      <c r="A1041">
        <f t="shared" si="16"/>
        <v>2314795</v>
      </c>
      <c r="B1041">
        <v>2015</v>
      </c>
      <c r="C1041" t="s">
        <v>642</v>
      </c>
      <c r="D1041" t="s">
        <v>644</v>
      </c>
      <c r="E1041" t="s">
        <v>646</v>
      </c>
      <c r="F1041" t="s">
        <v>551</v>
      </c>
      <c r="G1041" t="s">
        <v>192</v>
      </c>
      <c r="H1041">
        <v>164257</v>
      </c>
      <c r="I1041">
        <v>3149404.7309692409</v>
      </c>
      <c r="J1041">
        <v>3313661.7309692409</v>
      </c>
      <c r="K1041">
        <f>IFERROR(VLOOKUP(F1041,'LEAID Match'!$A$2:$B$236,2,FALSE),"")</f>
        <v>2314795</v>
      </c>
    </row>
    <row r="1042" spans="1:11" x14ac:dyDescent="0.2">
      <c r="A1042">
        <f t="shared" si="16"/>
        <v>2314795</v>
      </c>
      <c r="B1042">
        <v>2016</v>
      </c>
      <c r="C1042" t="s">
        <v>642</v>
      </c>
      <c r="D1042" t="s">
        <v>644</v>
      </c>
      <c r="E1042" t="s">
        <v>646</v>
      </c>
      <c r="F1042" s="1" t="s">
        <v>551</v>
      </c>
      <c r="G1042" s="1" t="s">
        <v>192</v>
      </c>
      <c r="H1042" s="22">
        <v>127550</v>
      </c>
      <c r="I1042">
        <v>2424037.0179067794</v>
      </c>
      <c r="J1042">
        <v>2551587.0179067794</v>
      </c>
      <c r="K1042">
        <f>IFERROR(VLOOKUP(F1042,'LEAID Match'!$A$2:$B$236,2,FALSE),"")</f>
        <v>2314795</v>
      </c>
    </row>
    <row r="1043" spans="1:11" x14ac:dyDescent="0.2">
      <c r="A1043">
        <f t="shared" si="16"/>
        <v>2314795</v>
      </c>
      <c r="B1043">
        <v>2017</v>
      </c>
      <c r="C1043" t="s">
        <v>642</v>
      </c>
      <c r="D1043" t="s">
        <v>644</v>
      </c>
      <c r="E1043" t="s">
        <v>646</v>
      </c>
      <c r="F1043" t="s">
        <v>551</v>
      </c>
      <c r="G1043" t="s">
        <v>192</v>
      </c>
      <c r="H1043">
        <v>138674</v>
      </c>
      <c r="I1043">
        <v>2644152.3409577082</v>
      </c>
      <c r="J1043">
        <v>2782826.3409577082</v>
      </c>
      <c r="K1043">
        <f>IFERROR(VLOOKUP(F1043,'LEAID Match'!$A$2:$B$236,2,FALSE),"")</f>
        <v>2314795</v>
      </c>
    </row>
    <row r="1044" spans="1:11" x14ac:dyDescent="0.2">
      <c r="A1044">
        <f t="shared" si="16"/>
        <v>2314795</v>
      </c>
      <c r="B1044">
        <v>2018</v>
      </c>
      <c r="C1044" t="s">
        <v>642</v>
      </c>
      <c r="D1044" t="s">
        <v>644</v>
      </c>
      <c r="E1044" t="s">
        <v>646</v>
      </c>
      <c r="F1044" t="s">
        <v>551</v>
      </c>
      <c r="G1044" t="s">
        <v>192</v>
      </c>
      <c r="H1044">
        <v>131047</v>
      </c>
      <c r="I1044">
        <v>2656230.1484448519</v>
      </c>
      <c r="J1044">
        <v>2787277.1484448519</v>
      </c>
      <c r="K1044">
        <f>IFERROR(VLOOKUP(F1044,'LEAID Match'!$A$2:$B$236,2,FALSE),"")</f>
        <v>2314795</v>
      </c>
    </row>
    <row r="1045" spans="1:11" x14ac:dyDescent="0.2">
      <c r="A1045">
        <f t="shared" si="16"/>
        <v>2314795</v>
      </c>
      <c r="B1045">
        <v>2019</v>
      </c>
      <c r="C1045" t="s">
        <v>642</v>
      </c>
      <c r="D1045" t="s">
        <v>644</v>
      </c>
      <c r="E1045" t="s">
        <v>646</v>
      </c>
      <c r="F1045" t="s">
        <v>551</v>
      </c>
      <c r="G1045" t="s">
        <v>192</v>
      </c>
      <c r="H1045">
        <v>133459</v>
      </c>
      <c r="I1045">
        <v>2859230.4742874838</v>
      </c>
      <c r="J1045">
        <v>2992689.4742874838</v>
      </c>
      <c r="K1045">
        <f>IFERROR(VLOOKUP(F1045,'LEAID Match'!$A$2:$B$236,2,FALSE),"")</f>
        <v>2314795</v>
      </c>
    </row>
    <row r="1046" spans="1:11" x14ac:dyDescent="0.2">
      <c r="A1046">
        <f t="shared" si="16"/>
        <v>2314795</v>
      </c>
      <c r="B1046">
        <v>2020</v>
      </c>
      <c r="C1046" t="s">
        <v>642</v>
      </c>
      <c r="D1046" t="s">
        <v>644</v>
      </c>
      <c r="E1046" t="s">
        <v>646</v>
      </c>
      <c r="F1046" t="s">
        <v>551</v>
      </c>
      <c r="G1046" t="s">
        <v>192</v>
      </c>
      <c r="H1046">
        <v>154411</v>
      </c>
      <c r="I1046">
        <v>3440574.6393731413</v>
      </c>
      <c r="J1046">
        <v>3594985.6393731413</v>
      </c>
      <c r="K1046">
        <f>IFERROR(VLOOKUP(F1046,'LEAID Match'!$A$2:$B$236,2,FALSE),"")</f>
        <v>2314795</v>
      </c>
    </row>
    <row r="1047" spans="1:11" x14ac:dyDescent="0.2">
      <c r="A1047">
        <f t="shared" si="16"/>
        <v>2314795</v>
      </c>
      <c r="B1047">
        <v>2021</v>
      </c>
      <c r="C1047" t="s">
        <v>642</v>
      </c>
      <c r="D1047" t="s">
        <v>644</v>
      </c>
      <c r="E1047" t="s">
        <v>646</v>
      </c>
      <c r="F1047" t="s">
        <v>551</v>
      </c>
      <c r="G1047" t="s">
        <v>192</v>
      </c>
      <c r="H1047">
        <v>205981</v>
      </c>
      <c r="I1047">
        <v>3460346.9981069774</v>
      </c>
      <c r="J1047">
        <v>3666327.9981069774</v>
      </c>
      <c r="K1047">
        <f>IFERROR(VLOOKUP(F1047,'LEAID Match'!$A$2:$B$236,2,FALSE),"")</f>
        <v>2314795</v>
      </c>
    </row>
    <row r="1048" spans="1:11" x14ac:dyDescent="0.2">
      <c r="A1048">
        <f t="shared" si="16"/>
        <v>2314795</v>
      </c>
      <c r="B1048">
        <v>2022</v>
      </c>
      <c r="C1048" t="s">
        <v>642</v>
      </c>
      <c r="D1048" t="s">
        <v>644</v>
      </c>
      <c r="E1048" t="s">
        <v>646</v>
      </c>
      <c r="F1048" t="s">
        <v>551</v>
      </c>
      <c r="G1048" t="s">
        <v>192</v>
      </c>
      <c r="H1048">
        <v>357003</v>
      </c>
      <c r="I1048">
        <v>5139048.4492626758</v>
      </c>
      <c r="J1048">
        <v>5496051.4492626758</v>
      </c>
      <c r="K1048">
        <f>IFERROR(VLOOKUP(F1048,'LEAID Match'!$A$2:$B$236,2,FALSE),"")</f>
        <v>2314795</v>
      </c>
    </row>
    <row r="1049" spans="1:11" x14ac:dyDescent="0.2">
      <c r="A1049">
        <f t="shared" si="16"/>
        <v>2314780</v>
      </c>
      <c r="B1049">
        <v>2015</v>
      </c>
      <c r="C1049" t="s">
        <v>642</v>
      </c>
      <c r="D1049" t="s">
        <v>644</v>
      </c>
      <c r="E1049" t="s">
        <v>646</v>
      </c>
      <c r="F1049" t="s">
        <v>552</v>
      </c>
      <c r="G1049" t="s">
        <v>193</v>
      </c>
      <c r="H1049">
        <v>148953</v>
      </c>
      <c r="I1049">
        <v>2855971.3308538529</v>
      </c>
      <c r="J1049">
        <v>3004924.3308538529</v>
      </c>
      <c r="K1049">
        <f>IFERROR(VLOOKUP(F1049,'LEAID Match'!$A$2:$B$236,2,FALSE),"")</f>
        <v>2314780</v>
      </c>
    </row>
    <row r="1050" spans="1:11" x14ac:dyDescent="0.2">
      <c r="A1050">
        <f t="shared" si="16"/>
        <v>2314780</v>
      </c>
      <c r="B1050">
        <v>2016</v>
      </c>
      <c r="C1050" t="s">
        <v>642</v>
      </c>
      <c r="D1050" t="s">
        <v>644</v>
      </c>
      <c r="E1050" t="s">
        <v>646</v>
      </c>
      <c r="F1050" s="1" t="s">
        <v>552</v>
      </c>
      <c r="G1050" s="1" t="s">
        <v>193</v>
      </c>
      <c r="H1050" s="22">
        <v>88542</v>
      </c>
      <c r="I1050">
        <v>1682705.4930576407</v>
      </c>
      <c r="J1050">
        <v>1771247.4930576407</v>
      </c>
      <c r="K1050">
        <f>IFERROR(VLOOKUP(F1050,'LEAID Match'!$A$2:$B$236,2,FALSE),"")</f>
        <v>2314780</v>
      </c>
    </row>
    <row r="1051" spans="1:11" x14ac:dyDescent="0.2">
      <c r="A1051">
        <f t="shared" si="16"/>
        <v>2314780</v>
      </c>
      <c r="B1051">
        <v>2017</v>
      </c>
      <c r="C1051" t="s">
        <v>642</v>
      </c>
      <c r="D1051" t="s">
        <v>644</v>
      </c>
      <c r="E1051" t="s">
        <v>646</v>
      </c>
      <c r="F1051" t="s">
        <v>552</v>
      </c>
      <c r="G1051" t="s">
        <v>193</v>
      </c>
      <c r="H1051">
        <v>71190</v>
      </c>
      <c r="I1051">
        <v>1357408.0588486611</v>
      </c>
      <c r="J1051">
        <v>1428598.0588486611</v>
      </c>
      <c r="K1051">
        <f>IFERROR(VLOOKUP(F1051,'LEAID Match'!$A$2:$B$236,2,FALSE),"")</f>
        <v>2314780</v>
      </c>
    </row>
    <row r="1052" spans="1:11" x14ac:dyDescent="0.2">
      <c r="A1052">
        <f t="shared" si="16"/>
        <v>2314780</v>
      </c>
      <c r="B1052">
        <v>2018</v>
      </c>
      <c r="C1052" t="s">
        <v>642</v>
      </c>
      <c r="D1052" t="s">
        <v>644</v>
      </c>
      <c r="E1052" t="s">
        <v>646</v>
      </c>
      <c r="F1052" t="s">
        <v>552</v>
      </c>
      <c r="G1052" t="s">
        <v>193</v>
      </c>
      <c r="H1052">
        <v>84955</v>
      </c>
      <c r="I1052">
        <v>1721977.8572659611</v>
      </c>
      <c r="J1052">
        <v>1806932.8572659611</v>
      </c>
      <c r="K1052">
        <f>IFERROR(VLOOKUP(F1052,'LEAID Match'!$A$2:$B$236,2,FALSE),"")</f>
        <v>2314780</v>
      </c>
    </row>
    <row r="1053" spans="1:11" x14ac:dyDescent="0.2">
      <c r="A1053">
        <f t="shared" si="16"/>
        <v>2314780</v>
      </c>
      <c r="B1053">
        <v>2019</v>
      </c>
      <c r="C1053" t="s">
        <v>642</v>
      </c>
      <c r="D1053" t="s">
        <v>644</v>
      </c>
      <c r="E1053" t="s">
        <v>646</v>
      </c>
      <c r="F1053" t="s">
        <v>552</v>
      </c>
      <c r="G1053" t="s">
        <v>193</v>
      </c>
      <c r="H1053">
        <v>80945</v>
      </c>
      <c r="I1053">
        <v>1734168.6266284056</v>
      </c>
      <c r="J1053">
        <v>1815113.6266284056</v>
      </c>
      <c r="K1053">
        <f>IFERROR(VLOOKUP(F1053,'LEAID Match'!$A$2:$B$236,2,FALSE),"")</f>
        <v>2314780</v>
      </c>
    </row>
    <row r="1054" spans="1:11" x14ac:dyDescent="0.2">
      <c r="A1054">
        <f t="shared" si="16"/>
        <v>2314780</v>
      </c>
      <c r="B1054">
        <v>2020</v>
      </c>
      <c r="C1054" t="s">
        <v>642</v>
      </c>
      <c r="D1054" t="s">
        <v>644</v>
      </c>
      <c r="E1054" t="s">
        <v>646</v>
      </c>
      <c r="F1054" t="s">
        <v>552</v>
      </c>
      <c r="G1054" t="s">
        <v>193</v>
      </c>
      <c r="H1054">
        <v>74922</v>
      </c>
      <c r="I1054">
        <v>1669406.5392434122</v>
      </c>
      <c r="J1054">
        <v>1744328.5392434122</v>
      </c>
      <c r="K1054">
        <f>IFERROR(VLOOKUP(F1054,'LEAID Match'!$A$2:$B$236,2,FALSE),"")</f>
        <v>2314780</v>
      </c>
    </row>
    <row r="1055" spans="1:11" x14ac:dyDescent="0.2">
      <c r="A1055">
        <f t="shared" si="16"/>
        <v>2314780</v>
      </c>
      <c r="B1055">
        <v>2021</v>
      </c>
      <c r="C1055" t="s">
        <v>642</v>
      </c>
      <c r="D1055" t="s">
        <v>644</v>
      </c>
      <c r="E1055" t="s">
        <v>646</v>
      </c>
      <c r="F1055" t="s">
        <v>552</v>
      </c>
      <c r="G1055" t="s">
        <v>193</v>
      </c>
      <c r="H1055">
        <v>75401</v>
      </c>
      <c r="I1055">
        <v>1266687.8207420306</v>
      </c>
      <c r="J1055">
        <v>1342088.8207420306</v>
      </c>
      <c r="K1055">
        <f>IFERROR(VLOOKUP(F1055,'LEAID Match'!$A$2:$B$236,2,FALSE),"")</f>
        <v>2314780</v>
      </c>
    </row>
    <row r="1056" spans="1:11" x14ac:dyDescent="0.2">
      <c r="A1056">
        <f t="shared" si="16"/>
        <v>2314780</v>
      </c>
      <c r="B1056">
        <v>2022</v>
      </c>
      <c r="C1056" t="s">
        <v>642</v>
      </c>
      <c r="D1056" t="s">
        <v>644</v>
      </c>
      <c r="E1056" t="s">
        <v>646</v>
      </c>
      <c r="F1056" t="s">
        <v>552</v>
      </c>
      <c r="G1056" t="s">
        <v>193</v>
      </c>
      <c r="H1056">
        <v>96246</v>
      </c>
      <c r="I1056">
        <v>1385458.545299999</v>
      </c>
      <c r="J1056">
        <v>1481704.545299999</v>
      </c>
      <c r="K1056">
        <f>IFERROR(VLOOKUP(F1056,'LEAID Match'!$A$2:$B$236,2,FALSE),"")</f>
        <v>2314780</v>
      </c>
    </row>
    <row r="1057" spans="1:11" x14ac:dyDescent="0.2">
      <c r="A1057">
        <f t="shared" si="16"/>
        <v>2314787</v>
      </c>
      <c r="B1057">
        <v>2015</v>
      </c>
      <c r="C1057" t="s">
        <v>642</v>
      </c>
      <c r="D1057" t="s">
        <v>644</v>
      </c>
      <c r="E1057" t="s">
        <v>646</v>
      </c>
      <c r="F1057" t="s">
        <v>553</v>
      </c>
      <c r="G1057" t="s">
        <v>194</v>
      </c>
      <c r="H1057">
        <v>90672</v>
      </c>
      <c r="I1057">
        <v>1738512.3663919528</v>
      </c>
      <c r="J1057">
        <v>1829184.3663919528</v>
      </c>
      <c r="K1057">
        <f>IFERROR(VLOOKUP(F1057,'LEAID Match'!$A$2:$B$236,2,FALSE),"")</f>
        <v>2314787</v>
      </c>
    </row>
    <row r="1058" spans="1:11" x14ac:dyDescent="0.2">
      <c r="A1058">
        <f t="shared" si="16"/>
        <v>2314787</v>
      </c>
      <c r="B1058">
        <v>2016</v>
      </c>
      <c r="C1058" t="s">
        <v>642</v>
      </c>
      <c r="D1058" t="s">
        <v>644</v>
      </c>
      <c r="E1058" t="s">
        <v>646</v>
      </c>
      <c r="F1058" s="1" t="s">
        <v>553</v>
      </c>
      <c r="G1058" s="1" t="s">
        <v>194</v>
      </c>
      <c r="H1058" s="22">
        <v>72518</v>
      </c>
      <c r="I1058">
        <v>1378175.7464881523</v>
      </c>
      <c r="J1058">
        <v>1450693.7464881523</v>
      </c>
      <c r="K1058">
        <f>IFERROR(VLOOKUP(F1058,'LEAID Match'!$A$2:$B$236,2,FALSE),"")</f>
        <v>2314787</v>
      </c>
    </row>
    <row r="1059" spans="1:11" x14ac:dyDescent="0.2">
      <c r="A1059">
        <f t="shared" si="16"/>
        <v>2314787</v>
      </c>
      <c r="B1059">
        <v>2017</v>
      </c>
      <c r="C1059" t="s">
        <v>642</v>
      </c>
      <c r="D1059" t="s">
        <v>644</v>
      </c>
      <c r="E1059" t="s">
        <v>646</v>
      </c>
      <c r="F1059" t="s">
        <v>553</v>
      </c>
      <c r="G1059" t="s">
        <v>194</v>
      </c>
      <c r="H1059">
        <v>73584</v>
      </c>
      <c r="I1059">
        <v>1403055.4095002091</v>
      </c>
      <c r="J1059">
        <v>1476639.4095002091</v>
      </c>
      <c r="K1059">
        <f>IFERROR(VLOOKUP(F1059,'LEAID Match'!$A$2:$B$236,2,FALSE),"")</f>
        <v>2314787</v>
      </c>
    </row>
    <row r="1060" spans="1:11" x14ac:dyDescent="0.2">
      <c r="A1060">
        <f t="shared" si="16"/>
        <v>2314787</v>
      </c>
      <c r="B1060">
        <v>2018</v>
      </c>
      <c r="C1060" t="s">
        <v>642</v>
      </c>
      <c r="D1060" t="s">
        <v>644</v>
      </c>
      <c r="E1060" t="s">
        <v>646</v>
      </c>
      <c r="F1060" t="s">
        <v>553</v>
      </c>
      <c r="G1060" t="s">
        <v>194</v>
      </c>
      <c r="H1060">
        <v>74605</v>
      </c>
      <c r="I1060">
        <v>1512190.6661329765</v>
      </c>
      <c r="J1060">
        <v>1586795.6661329765</v>
      </c>
      <c r="K1060">
        <f>IFERROR(VLOOKUP(F1060,'LEAID Match'!$A$2:$B$236,2,FALSE),"")</f>
        <v>2314787</v>
      </c>
    </row>
    <row r="1061" spans="1:11" x14ac:dyDescent="0.2">
      <c r="A1061">
        <f t="shared" si="16"/>
        <v>2314787</v>
      </c>
      <c r="B1061">
        <v>2019</v>
      </c>
      <c r="C1061" t="s">
        <v>642</v>
      </c>
      <c r="D1061" t="s">
        <v>644</v>
      </c>
      <c r="E1061" t="s">
        <v>646</v>
      </c>
      <c r="F1061" t="s">
        <v>553</v>
      </c>
      <c r="G1061" t="s">
        <v>194</v>
      </c>
      <c r="H1061">
        <v>72477</v>
      </c>
      <c r="I1061">
        <v>1552749.8863691017</v>
      </c>
      <c r="J1061">
        <v>1625226.8863691017</v>
      </c>
      <c r="K1061">
        <f>IFERROR(VLOOKUP(F1061,'LEAID Match'!$A$2:$B$236,2,FALSE),"")</f>
        <v>2314787</v>
      </c>
    </row>
    <row r="1062" spans="1:11" x14ac:dyDescent="0.2">
      <c r="A1062">
        <f t="shared" si="16"/>
        <v>2314787</v>
      </c>
      <c r="B1062">
        <v>2020</v>
      </c>
      <c r="C1062" t="s">
        <v>642</v>
      </c>
      <c r="D1062" t="s">
        <v>644</v>
      </c>
      <c r="E1062" t="s">
        <v>646</v>
      </c>
      <c r="F1062" t="s">
        <v>553</v>
      </c>
      <c r="G1062" t="s">
        <v>194</v>
      </c>
      <c r="H1062">
        <v>73106</v>
      </c>
      <c r="I1062">
        <v>1628942.559701141</v>
      </c>
      <c r="J1062">
        <v>1702048.559701141</v>
      </c>
      <c r="K1062">
        <f>IFERROR(VLOOKUP(F1062,'LEAID Match'!$A$2:$B$236,2,FALSE),"")</f>
        <v>2314787</v>
      </c>
    </row>
    <row r="1063" spans="1:11" x14ac:dyDescent="0.2">
      <c r="A1063">
        <f t="shared" si="16"/>
        <v>2314787</v>
      </c>
      <c r="B1063">
        <v>2021</v>
      </c>
      <c r="C1063" t="s">
        <v>642</v>
      </c>
      <c r="D1063" t="s">
        <v>644</v>
      </c>
      <c r="E1063" t="s">
        <v>646</v>
      </c>
      <c r="F1063" t="s">
        <v>553</v>
      </c>
      <c r="G1063" t="s">
        <v>194</v>
      </c>
      <c r="H1063">
        <v>87671</v>
      </c>
      <c r="I1063">
        <v>1472815.8503504538</v>
      </c>
      <c r="J1063">
        <v>1560486.8503504538</v>
      </c>
      <c r="K1063">
        <f>IFERROR(VLOOKUP(F1063,'LEAID Match'!$A$2:$B$236,2,FALSE),"")</f>
        <v>2314787</v>
      </c>
    </row>
    <row r="1064" spans="1:11" x14ac:dyDescent="0.2">
      <c r="A1064">
        <f t="shared" si="16"/>
        <v>2314787</v>
      </c>
      <c r="B1064">
        <v>2022</v>
      </c>
      <c r="C1064" t="s">
        <v>642</v>
      </c>
      <c r="D1064" t="s">
        <v>644</v>
      </c>
      <c r="E1064" t="s">
        <v>646</v>
      </c>
      <c r="F1064" t="s">
        <v>553</v>
      </c>
      <c r="G1064" t="s">
        <v>194</v>
      </c>
      <c r="H1064">
        <v>120229</v>
      </c>
      <c r="I1064">
        <v>1730693.1762657522</v>
      </c>
      <c r="J1064">
        <v>1850922.1762657522</v>
      </c>
      <c r="K1064">
        <f>IFERROR(VLOOKUP(F1064,'LEAID Match'!$A$2:$B$236,2,FALSE),"")</f>
        <v>2314787</v>
      </c>
    </row>
    <row r="1065" spans="1:11" x14ac:dyDescent="0.2">
      <c r="A1065">
        <f t="shared" si="16"/>
        <v>2314793</v>
      </c>
      <c r="B1065">
        <v>2015</v>
      </c>
      <c r="C1065" t="s">
        <v>642</v>
      </c>
      <c r="D1065" t="s">
        <v>644</v>
      </c>
      <c r="E1065" t="s">
        <v>646</v>
      </c>
      <c r="F1065" t="s">
        <v>554</v>
      </c>
      <c r="G1065" t="s">
        <v>195</v>
      </c>
      <c r="H1065">
        <v>81178</v>
      </c>
      <c r="I1065">
        <v>1556477.819822723</v>
      </c>
      <c r="J1065">
        <v>1637655.819822723</v>
      </c>
      <c r="K1065">
        <f>IFERROR(VLOOKUP(F1065,'LEAID Match'!$A$2:$B$236,2,FALSE),"")</f>
        <v>2314793</v>
      </c>
    </row>
    <row r="1066" spans="1:11" x14ac:dyDescent="0.2">
      <c r="A1066">
        <f t="shared" si="16"/>
        <v>2314793</v>
      </c>
      <c r="B1066">
        <v>2016</v>
      </c>
      <c r="C1066" t="s">
        <v>642</v>
      </c>
      <c r="D1066" t="s">
        <v>644</v>
      </c>
      <c r="E1066" t="s">
        <v>646</v>
      </c>
      <c r="F1066" s="1" t="s">
        <v>554</v>
      </c>
      <c r="G1066" s="1" t="s">
        <v>195</v>
      </c>
      <c r="H1066" s="22">
        <v>56843</v>
      </c>
      <c r="I1066">
        <v>1080278.6061064294</v>
      </c>
      <c r="J1066">
        <v>1137121.6061064294</v>
      </c>
      <c r="K1066">
        <f>IFERROR(VLOOKUP(F1066,'LEAID Match'!$A$2:$B$236,2,FALSE),"")</f>
        <v>2314793</v>
      </c>
    </row>
    <row r="1067" spans="1:11" x14ac:dyDescent="0.2">
      <c r="A1067">
        <f t="shared" si="16"/>
        <v>2314793</v>
      </c>
      <c r="B1067">
        <v>2017</v>
      </c>
      <c r="C1067" t="s">
        <v>642</v>
      </c>
      <c r="D1067" t="s">
        <v>644</v>
      </c>
      <c r="E1067" t="s">
        <v>646</v>
      </c>
      <c r="F1067" t="s">
        <v>554</v>
      </c>
      <c r="G1067" t="s">
        <v>195</v>
      </c>
      <c r="H1067">
        <v>72129</v>
      </c>
      <c r="I1067">
        <v>1375312.345507727</v>
      </c>
      <c r="J1067">
        <v>1447441.345507727</v>
      </c>
      <c r="K1067">
        <f>IFERROR(VLOOKUP(F1067,'LEAID Match'!$A$2:$B$236,2,FALSE),"")</f>
        <v>2314793</v>
      </c>
    </row>
    <row r="1068" spans="1:11" x14ac:dyDescent="0.2">
      <c r="A1068">
        <f t="shared" si="16"/>
        <v>2314793</v>
      </c>
      <c r="B1068">
        <v>2018</v>
      </c>
      <c r="C1068" t="s">
        <v>642</v>
      </c>
      <c r="D1068" t="s">
        <v>644</v>
      </c>
      <c r="E1068" t="s">
        <v>646</v>
      </c>
      <c r="F1068" t="s">
        <v>554</v>
      </c>
      <c r="G1068" t="s">
        <v>195</v>
      </c>
      <c r="H1068">
        <v>70568</v>
      </c>
      <c r="I1068">
        <v>1430363.5269441979</v>
      </c>
      <c r="J1068">
        <v>1500931.5269441979</v>
      </c>
      <c r="K1068">
        <f>IFERROR(VLOOKUP(F1068,'LEAID Match'!$A$2:$B$236,2,FALSE),"")</f>
        <v>2314793</v>
      </c>
    </row>
    <row r="1069" spans="1:11" x14ac:dyDescent="0.2">
      <c r="A1069">
        <f t="shared" si="16"/>
        <v>2314793</v>
      </c>
      <c r="B1069">
        <v>2019</v>
      </c>
      <c r="C1069" t="s">
        <v>642</v>
      </c>
      <c r="D1069" t="s">
        <v>644</v>
      </c>
      <c r="E1069" t="s">
        <v>646</v>
      </c>
      <c r="F1069" t="s">
        <v>554</v>
      </c>
      <c r="G1069" t="s">
        <v>195</v>
      </c>
      <c r="H1069">
        <v>76544</v>
      </c>
      <c r="I1069">
        <v>1639881.4424194782</v>
      </c>
      <c r="J1069">
        <v>1716425.4424194782</v>
      </c>
      <c r="K1069">
        <f>IFERROR(VLOOKUP(F1069,'LEAID Match'!$A$2:$B$236,2,FALSE),"")</f>
        <v>2314793</v>
      </c>
    </row>
    <row r="1070" spans="1:11" x14ac:dyDescent="0.2">
      <c r="A1070">
        <f t="shared" si="16"/>
        <v>2314793</v>
      </c>
      <c r="B1070">
        <v>2020</v>
      </c>
      <c r="C1070" t="s">
        <v>642</v>
      </c>
      <c r="D1070" t="s">
        <v>644</v>
      </c>
      <c r="E1070" t="s">
        <v>646</v>
      </c>
      <c r="F1070" t="s">
        <v>554</v>
      </c>
      <c r="G1070" t="s">
        <v>195</v>
      </c>
      <c r="H1070">
        <v>89935</v>
      </c>
      <c r="I1070">
        <v>2003925.1102060312</v>
      </c>
      <c r="J1070">
        <v>2093860.1102060312</v>
      </c>
      <c r="K1070">
        <f>IFERROR(VLOOKUP(F1070,'LEAID Match'!$A$2:$B$236,2,FALSE),"")</f>
        <v>2314793</v>
      </c>
    </row>
    <row r="1071" spans="1:11" x14ac:dyDescent="0.2">
      <c r="A1071">
        <f t="shared" si="16"/>
        <v>2314793</v>
      </c>
      <c r="B1071">
        <v>2021</v>
      </c>
      <c r="C1071" t="s">
        <v>642</v>
      </c>
      <c r="D1071" t="s">
        <v>644</v>
      </c>
      <c r="E1071" t="s">
        <v>646</v>
      </c>
      <c r="F1071" t="s">
        <v>554</v>
      </c>
      <c r="G1071" t="s">
        <v>195</v>
      </c>
      <c r="H1071">
        <v>89878</v>
      </c>
      <c r="I1071">
        <v>1509892.0167193038</v>
      </c>
      <c r="J1071">
        <v>1599770.0167193038</v>
      </c>
      <c r="K1071">
        <f>IFERROR(VLOOKUP(F1071,'LEAID Match'!$A$2:$B$236,2,FALSE),"")</f>
        <v>2314793</v>
      </c>
    </row>
    <row r="1072" spans="1:11" x14ac:dyDescent="0.2">
      <c r="A1072">
        <f t="shared" si="16"/>
        <v>2314793</v>
      </c>
      <c r="B1072">
        <v>2022</v>
      </c>
      <c r="C1072" t="s">
        <v>642</v>
      </c>
      <c r="D1072" t="s">
        <v>644</v>
      </c>
      <c r="E1072" t="s">
        <v>646</v>
      </c>
      <c r="F1072" t="s">
        <v>554</v>
      </c>
      <c r="G1072" t="s">
        <v>195</v>
      </c>
      <c r="H1072">
        <v>127595</v>
      </c>
      <c r="I1072">
        <v>1836726.5453894536</v>
      </c>
      <c r="J1072">
        <v>1964321.5453894536</v>
      </c>
      <c r="K1072">
        <f>IFERROR(VLOOKUP(F1072,'LEAID Match'!$A$2:$B$236,2,FALSE),"")</f>
        <v>2314793</v>
      </c>
    </row>
    <row r="1073" spans="1:11" x14ac:dyDescent="0.2">
      <c r="A1073">
        <f t="shared" si="16"/>
        <v>2314775</v>
      </c>
      <c r="B1073">
        <v>2015</v>
      </c>
      <c r="C1073" t="s">
        <v>642</v>
      </c>
      <c r="D1073" t="s">
        <v>644</v>
      </c>
      <c r="E1073" t="s">
        <v>646</v>
      </c>
      <c r="F1073" t="s">
        <v>555</v>
      </c>
      <c r="G1073" t="s">
        <v>196</v>
      </c>
      <c r="H1073">
        <v>68502</v>
      </c>
      <c r="I1073">
        <v>1313432.7479550638</v>
      </c>
      <c r="J1073">
        <v>1381934.7479550638</v>
      </c>
      <c r="K1073">
        <f>IFERROR(VLOOKUP(F1073,'LEAID Match'!$A$2:$B$236,2,FALSE),"")</f>
        <v>2314775</v>
      </c>
    </row>
    <row r="1074" spans="1:11" x14ac:dyDescent="0.2">
      <c r="A1074">
        <f t="shared" si="16"/>
        <v>2314775</v>
      </c>
      <c r="B1074">
        <v>2016</v>
      </c>
      <c r="C1074" t="s">
        <v>642</v>
      </c>
      <c r="D1074" t="s">
        <v>644</v>
      </c>
      <c r="E1074" t="s">
        <v>646</v>
      </c>
      <c r="F1074" s="1" t="s">
        <v>555</v>
      </c>
      <c r="G1074" s="1" t="s">
        <v>196</v>
      </c>
      <c r="H1074" s="22">
        <v>51384</v>
      </c>
      <c r="I1074">
        <v>976532.48238433537</v>
      </c>
      <c r="J1074">
        <v>1027916.4823843354</v>
      </c>
      <c r="K1074">
        <f>IFERROR(VLOOKUP(F1074,'LEAID Match'!$A$2:$B$236,2,FALSE),"")</f>
        <v>2314775</v>
      </c>
    </row>
    <row r="1075" spans="1:11" x14ac:dyDescent="0.2">
      <c r="A1075">
        <f t="shared" si="16"/>
        <v>2314775</v>
      </c>
      <c r="B1075">
        <v>2017</v>
      </c>
      <c r="C1075" t="s">
        <v>642</v>
      </c>
      <c r="D1075" t="s">
        <v>644</v>
      </c>
      <c r="E1075" t="s">
        <v>646</v>
      </c>
      <c r="F1075" t="s">
        <v>555</v>
      </c>
      <c r="G1075" t="s">
        <v>196</v>
      </c>
      <c r="H1075">
        <v>58127</v>
      </c>
      <c r="I1075">
        <v>1108330.6396501774</v>
      </c>
      <c r="J1075">
        <v>1166457.6396501774</v>
      </c>
      <c r="K1075">
        <f>IFERROR(VLOOKUP(F1075,'LEAID Match'!$A$2:$B$236,2,FALSE),"")</f>
        <v>2314775</v>
      </c>
    </row>
    <row r="1076" spans="1:11" x14ac:dyDescent="0.2">
      <c r="A1076">
        <f t="shared" si="16"/>
        <v>2314775</v>
      </c>
      <c r="B1076">
        <v>2018</v>
      </c>
      <c r="C1076" t="s">
        <v>642</v>
      </c>
      <c r="D1076" t="s">
        <v>644</v>
      </c>
      <c r="E1076" t="s">
        <v>646</v>
      </c>
      <c r="F1076" t="s">
        <v>555</v>
      </c>
      <c r="G1076" t="s">
        <v>196</v>
      </c>
      <c r="H1076">
        <v>56312</v>
      </c>
      <c r="I1076">
        <v>1141404.4741140697</v>
      </c>
      <c r="J1076">
        <v>1197716.4741140697</v>
      </c>
      <c r="K1076">
        <f>IFERROR(VLOOKUP(F1076,'LEAID Match'!$A$2:$B$236,2,FALSE),"")</f>
        <v>2314775</v>
      </c>
    </row>
    <row r="1077" spans="1:11" x14ac:dyDescent="0.2">
      <c r="A1077">
        <f t="shared" si="16"/>
        <v>2314775</v>
      </c>
      <c r="B1077">
        <v>2019</v>
      </c>
      <c r="C1077" t="s">
        <v>642</v>
      </c>
      <c r="D1077" t="s">
        <v>644</v>
      </c>
      <c r="E1077" t="s">
        <v>646</v>
      </c>
      <c r="F1077" t="s">
        <v>555</v>
      </c>
      <c r="G1077" t="s">
        <v>196</v>
      </c>
      <c r="H1077">
        <v>57128</v>
      </c>
      <c r="I1077">
        <v>1223912.3516218117</v>
      </c>
      <c r="J1077">
        <v>1281040.3516218117</v>
      </c>
      <c r="K1077">
        <f>IFERROR(VLOOKUP(F1077,'LEAID Match'!$A$2:$B$236,2,FALSE),"")</f>
        <v>2314775</v>
      </c>
    </row>
    <row r="1078" spans="1:11" x14ac:dyDescent="0.2">
      <c r="A1078">
        <f t="shared" si="16"/>
        <v>2314775</v>
      </c>
      <c r="B1078">
        <v>2020</v>
      </c>
      <c r="C1078" t="s">
        <v>642</v>
      </c>
      <c r="D1078" t="s">
        <v>644</v>
      </c>
      <c r="E1078" t="s">
        <v>646</v>
      </c>
      <c r="F1078" t="s">
        <v>555</v>
      </c>
      <c r="G1078" t="s">
        <v>196</v>
      </c>
      <c r="H1078">
        <v>62571</v>
      </c>
      <c r="I1078">
        <v>1394202.458116435</v>
      </c>
      <c r="J1078">
        <v>1456773.458116435</v>
      </c>
      <c r="K1078">
        <f>IFERROR(VLOOKUP(F1078,'LEAID Match'!$A$2:$B$236,2,FALSE),"")</f>
        <v>2314775</v>
      </c>
    </row>
    <row r="1079" spans="1:11" x14ac:dyDescent="0.2">
      <c r="A1079">
        <f t="shared" si="16"/>
        <v>2314775</v>
      </c>
      <c r="B1079">
        <v>2021</v>
      </c>
      <c r="C1079" t="s">
        <v>642</v>
      </c>
      <c r="D1079" t="s">
        <v>644</v>
      </c>
      <c r="E1079" t="s">
        <v>646</v>
      </c>
      <c r="F1079" t="s">
        <v>555</v>
      </c>
      <c r="G1079" t="s">
        <v>196</v>
      </c>
      <c r="H1079">
        <v>91107</v>
      </c>
      <c r="I1079">
        <v>1530538.418380979</v>
      </c>
      <c r="J1079">
        <v>1621645.418380979</v>
      </c>
      <c r="K1079">
        <f>IFERROR(VLOOKUP(F1079,'LEAID Match'!$A$2:$B$236,2,FALSE),"")</f>
        <v>2314775</v>
      </c>
    </row>
    <row r="1080" spans="1:11" x14ac:dyDescent="0.2">
      <c r="A1080">
        <f t="shared" si="16"/>
        <v>2314775</v>
      </c>
      <c r="B1080">
        <v>2022</v>
      </c>
      <c r="C1080" t="s">
        <v>642</v>
      </c>
      <c r="D1080" t="s">
        <v>644</v>
      </c>
      <c r="E1080" t="s">
        <v>646</v>
      </c>
      <c r="F1080" t="s">
        <v>555</v>
      </c>
      <c r="G1080" t="s">
        <v>196</v>
      </c>
      <c r="H1080">
        <v>188296</v>
      </c>
      <c r="I1080">
        <v>2710515.7850280385</v>
      </c>
      <c r="J1080">
        <v>2898811.7850280385</v>
      </c>
      <c r="K1080">
        <f>IFERROR(VLOOKUP(F1080,'LEAID Match'!$A$2:$B$236,2,FALSE),"")</f>
        <v>2314775</v>
      </c>
    </row>
    <row r="1081" spans="1:11" x14ac:dyDescent="0.2">
      <c r="A1081">
        <f t="shared" si="16"/>
        <v>2314779</v>
      </c>
      <c r="B1081">
        <v>2015</v>
      </c>
      <c r="C1081" t="s">
        <v>642</v>
      </c>
      <c r="D1081" t="s">
        <v>644</v>
      </c>
      <c r="E1081" t="s">
        <v>646</v>
      </c>
      <c r="F1081" t="s">
        <v>556</v>
      </c>
      <c r="G1081" t="s">
        <v>197</v>
      </c>
      <c r="H1081">
        <v>59239</v>
      </c>
      <c r="I1081">
        <v>1135827.3124304404</v>
      </c>
      <c r="J1081">
        <v>1195066.3124304404</v>
      </c>
      <c r="K1081">
        <f>IFERROR(VLOOKUP(F1081,'LEAID Match'!$A$2:$B$236,2,FALSE),"")</f>
        <v>2314779</v>
      </c>
    </row>
    <row r="1082" spans="1:11" x14ac:dyDescent="0.2">
      <c r="A1082">
        <f t="shared" si="16"/>
        <v>2314779</v>
      </c>
      <c r="B1082">
        <v>2016</v>
      </c>
      <c r="C1082" t="s">
        <v>642</v>
      </c>
      <c r="D1082" t="s">
        <v>644</v>
      </c>
      <c r="E1082" t="s">
        <v>646</v>
      </c>
      <c r="F1082" s="1" t="s">
        <v>556</v>
      </c>
      <c r="G1082" s="1" t="s">
        <v>197</v>
      </c>
      <c r="H1082" s="22">
        <v>58719</v>
      </c>
      <c r="I1082">
        <v>1115931.2399409502</v>
      </c>
      <c r="J1082">
        <v>1174650.2399409502</v>
      </c>
      <c r="K1082">
        <f>IFERROR(VLOOKUP(F1082,'LEAID Match'!$A$2:$B$236,2,FALSE),"")</f>
        <v>2314779</v>
      </c>
    </row>
    <row r="1083" spans="1:11" x14ac:dyDescent="0.2">
      <c r="A1083">
        <f t="shared" si="16"/>
        <v>2314779</v>
      </c>
      <c r="B1083">
        <v>2017</v>
      </c>
      <c r="C1083" t="s">
        <v>642</v>
      </c>
      <c r="D1083" t="s">
        <v>644</v>
      </c>
      <c r="E1083" t="s">
        <v>646</v>
      </c>
      <c r="F1083" t="s">
        <v>556</v>
      </c>
      <c r="G1083" t="s">
        <v>197</v>
      </c>
      <c r="H1083">
        <v>50351</v>
      </c>
      <c r="I1083">
        <v>960062.55332334526</v>
      </c>
      <c r="J1083">
        <v>1010413.5533233453</v>
      </c>
      <c r="K1083">
        <f>IFERROR(VLOOKUP(F1083,'LEAID Match'!$A$2:$B$236,2,FALSE),"")</f>
        <v>2314779</v>
      </c>
    </row>
    <row r="1084" spans="1:11" x14ac:dyDescent="0.2">
      <c r="A1084">
        <f t="shared" si="16"/>
        <v>2314779</v>
      </c>
      <c r="B1084">
        <v>2018</v>
      </c>
      <c r="C1084" t="s">
        <v>642</v>
      </c>
      <c r="D1084" t="s">
        <v>644</v>
      </c>
      <c r="E1084" t="s">
        <v>646</v>
      </c>
      <c r="F1084" t="s">
        <v>556</v>
      </c>
      <c r="G1084" t="s">
        <v>197</v>
      </c>
      <c r="H1084">
        <v>59827</v>
      </c>
      <c r="I1084">
        <v>1212651.0419239674</v>
      </c>
      <c r="J1084">
        <v>1272478.0419239674</v>
      </c>
      <c r="K1084">
        <f>IFERROR(VLOOKUP(F1084,'LEAID Match'!$A$2:$B$236,2,FALSE),"")</f>
        <v>2314779</v>
      </c>
    </row>
    <row r="1085" spans="1:11" x14ac:dyDescent="0.2">
      <c r="A1085">
        <f t="shared" si="16"/>
        <v>2314779</v>
      </c>
      <c r="B1085">
        <v>2019</v>
      </c>
      <c r="C1085" t="s">
        <v>642</v>
      </c>
      <c r="D1085" t="s">
        <v>644</v>
      </c>
      <c r="E1085" t="s">
        <v>646</v>
      </c>
      <c r="F1085" t="s">
        <v>556</v>
      </c>
      <c r="G1085" t="s">
        <v>197</v>
      </c>
      <c r="H1085">
        <v>59369</v>
      </c>
      <c r="I1085">
        <v>1271923.6172005907</v>
      </c>
      <c r="J1085">
        <v>1331292.6172005907</v>
      </c>
      <c r="K1085">
        <f>IFERROR(VLOOKUP(F1085,'LEAID Match'!$A$2:$B$236,2,FALSE),"")</f>
        <v>2314779</v>
      </c>
    </row>
    <row r="1086" spans="1:11" x14ac:dyDescent="0.2">
      <c r="A1086">
        <f t="shared" si="16"/>
        <v>2314779</v>
      </c>
      <c r="B1086">
        <v>2020</v>
      </c>
      <c r="C1086" t="s">
        <v>642</v>
      </c>
      <c r="D1086" t="s">
        <v>644</v>
      </c>
      <c r="E1086" t="s">
        <v>646</v>
      </c>
      <c r="F1086" t="s">
        <v>556</v>
      </c>
      <c r="G1086" t="s">
        <v>197</v>
      </c>
      <c r="H1086">
        <v>69856</v>
      </c>
      <c r="I1086">
        <v>1556526.2967537944</v>
      </c>
      <c r="J1086">
        <v>1626382.2967537944</v>
      </c>
      <c r="K1086">
        <f>IFERROR(VLOOKUP(F1086,'LEAID Match'!$A$2:$B$236,2,FALSE),"")</f>
        <v>2314779</v>
      </c>
    </row>
    <row r="1087" spans="1:11" x14ac:dyDescent="0.2">
      <c r="A1087">
        <f t="shared" si="16"/>
        <v>2314779</v>
      </c>
      <c r="B1087">
        <v>2021</v>
      </c>
      <c r="C1087" t="s">
        <v>642</v>
      </c>
      <c r="D1087" t="s">
        <v>644</v>
      </c>
      <c r="E1087" t="s">
        <v>646</v>
      </c>
      <c r="F1087" t="s">
        <v>556</v>
      </c>
      <c r="G1087" t="s">
        <v>197</v>
      </c>
      <c r="H1087">
        <v>119795</v>
      </c>
      <c r="I1087">
        <v>2012478.1831247802</v>
      </c>
      <c r="J1087">
        <v>2132273.1831247802</v>
      </c>
      <c r="K1087">
        <f>IFERROR(VLOOKUP(F1087,'LEAID Match'!$A$2:$B$236,2,FALSE),"")</f>
        <v>2314779</v>
      </c>
    </row>
    <row r="1088" spans="1:11" x14ac:dyDescent="0.2">
      <c r="A1088">
        <f t="shared" si="16"/>
        <v>2314779</v>
      </c>
      <c r="B1088">
        <v>2022</v>
      </c>
      <c r="C1088" t="s">
        <v>642</v>
      </c>
      <c r="D1088" t="s">
        <v>644</v>
      </c>
      <c r="E1088" t="s">
        <v>646</v>
      </c>
      <c r="F1088" t="s">
        <v>556</v>
      </c>
      <c r="G1088" t="s">
        <v>197</v>
      </c>
      <c r="H1088">
        <v>90429</v>
      </c>
      <c r="I1088">
        <v>1301722.9889339153</v>
      </c>
      <c r="J1088">
        <v>1392151.9889339153</v>
      </c>
      <c r="K1088">
        <f>IFERROR(VLOOKUP(F1088,'LEAID Match'!$A$2:$B$236,2,FALSE),"")</f>
        <v>2314779</v>
      </c>
    </row>
    <row r="1089" spans="1:11" x14ac:dyDescent="0.2">
      <c r="A1089">
        <f t="shared" si="16"/>
        <v>2314785</v>
      </c>
      <c r="B1089">
        <v>2015</v>
      </c>
      <c r="C1089" t="s">
        <v>642</v>
      </c>
      <c r="D1089" t="s">
        <v>644</v>
      </c>
      <c r="E1089" t="s">
        <v>646</v>
      </c>
      <c r="F1089" t="s">
        <v>557</v>
      </c>
      <c r="G1089" t="s">
        <v>198</v>
      </c>
      <c r="H1089">
        <v>124016</v>
      </c>
      <c r="I1089">
        <v>2377838.2480861172</v>
      </c>
      <c r="J1089">
        <v>2501854.2480861172</v>
      </c>
      <c r="K1089">
        <f>IFERROR(VLOOKUP(F1089,'LEAID Match'!$A$2:$B$236,2,FALSE),"")</f>
        <v>2314785</v>
      </c>
    </row>
    <row r="1090" spans="1:11" x14ac:dyDescent="0.2">
      <c r="A1090">
        <f t="shared" si="16"/>
        <v>2314785</v>
      </c>
      <c r="B1090">
        <v>2016</v>
      </c>
      <c r="C1090" t="s">
        <v>642</v>
      </c>
      <c r="D1090" t="s">
        <v>644</v>
      </c>
      <c r="E1090" t="s">
        <v>646</v>
      </c>
      <c r="F1090" s="1" t="s">
        <v>557</v>
      </c>
      <c r="G1090" s="1" t="s">
        <v>198</v>
      </c>
      <c r="H1090" s="22">
        <v>125541</v>
      </c>
      <c r="I1090">
        <v>2385856.77197205</v>
      </c>
      <c r="J1090">
        <v>2511397.77197205</v>
      </c>
      <c r="K1090">
        <f>IFERROR(VLOOKUP(F1090,'LEAID Match'!$A$2:$B$236,2,FALSE),"")</f>
        <v>2314785</v>
      </c>
    </row>
    <row r="1091" spans="1:11" x14ac:dyDescent="0.2">
      <c r="A1091">
        <f t="shared" ref="A1091:A1154" si="17">K1091</f>
        <v>2314785</v>
      </c>
      <c r="B1091">
        <v>2017</v>
      </c>
      <c r="C1091" t="s">
        <v>642</v>
      </c>
      <c r="D1091" t="s">
        <v>644</v>
      </c>
      <c r="E1091" t="s">
        <v>646</v>
      </c>
      <c r="F1091" t="s">
        <v>557</v>
      </c>
      <c r="G1091" t="s">
        <v>198</v>
      </c>
      <c r="H1091">
        <v>111650</v>
      </c>
      <c r="I1091">
        <v>2128874.9792169267</v>
      </c>
      <c r="J1091">
        <v>2240524.9792169267</v>
      </c>
      <c r="K1091">
        <f>IFERROR(VLOOKUP(F1091,'LEAID Match'!$A$2:$B$236,2,FALSE),"")</f>
        <v>2314785</v>
      </c>
    </row>
    <row r="1092" spans="1:11" x14ac:dyDescent="0.2">
      <c r="A1092">
        <f t="shared" si="17"/>
        <v>2314785</v>
      </c>
      <c r="B1092">
        <v>2018</v>
      </c>
      <c r="C1092" t="s">
        <v>642</v>
      </c>
      <c r="D1092" t="s">
        <v>644</v>
      </c>
      <c r="E1092" t="s">
        <v>646</v>
      </c>
      <c r="F1092" t="s">
        <v>557</v>
      </c>
      <c r="G1092" t="s">
        <v>198</v>
      </c>
      <c r="H1092">
        <v>134717</v>
      </c>
      <c r="I1092">
        <v>2730618.4567982871</v>
      </c>
      <c r="J1092">
        <v>2865335.4567982871</v>
      </c>
      <c r="K1092">
        <f>IFERROR(VLOOKUP(F1092,'LEAID Match'!$A$2:$B$236,2,FALSE),"")</f>
        <v>2314785</v>
      </c>
    </row>
    <row r="1093" spans="1:11" x14ac:dyDescent="0.2">
      <c r="A1093">
        <f t="shared" si="17"/>
        <v>2314785</v>
      </c>
      <c r="B1093">
        <v>2019</v>
      </c>
      <c r="C1093" t="s">
        <v>642</v>
      </c>
      <c r="D1093" t="s">
        <v>644</v>
      </c>
      <c r="E1093" t="s">
        <v>646</v>
      </c>
      <c r="F1093" t="s">
        <v>557</v>
      </c>
      <c r="G1093" t="s">
        <v>198</v>
      </c>
      <c r="H1093">
        <v>67476</v>
      </c>
      <c r="I1093">
        <v>1445608.2803184667</v>
      </c>
      <c r="J1093">
        <v>1513084.2803184667</v>
      </c>
      <c r="K1093">
        <f>IFERROR(VLOOKUP(F1093,'LEAID Match'!$A$2:$B$236,2,FALSE),"")</f>
        <v>2314785</v>
      </c>
    </row>
    <row r="1094" spans="1:11" x14ac:dyDescent="0.2">
      <c r="A1094">
        <f t="shared" si="17"/>
        <v>2314785</v>
      </c>
      <c r="B1094">
        <v>2020</v>
      </c>
      <c r="C1094" t="s">
        <v>642</v>
      </c>
      <c r="D1094" t="s">
        <v>644</v>
      </c>
      <c r="E1094" t="s">
        <v>646</v>
      </c>
      <c r="F1094" t="s">
        <v>557</v>
      </c>
      <c r="G1094" t="s">
        <v>198</v>
      </c>
      <c r="H1094">
        <v>100136</v>
      </c>
      <c r="I1094">
        <v>2231223.0481524561</v>
      </c>
      <c r="J1094">
        <v>2331359.0481524561</v>
      </c>
      <c r="K1094">
        <f>IFERROR(VLOOKUP(F1094,'LEAID Match'!$A$2:$B$236,2,FALSE),"")</f>
        <v>2314785</v>
      </c>
    </row>
    <row r="1095" spans="1:11" x14ac:dyDescent="0.2">
      <c r="A1095">
        <f t="shared" si="17"/>
        <v>2314785</v>
      </c>
      <c r="B1095">
        <v>2021</v>
      </c>
      <c r="C1095" t="s">
        <v>642</v>
      </c>
      <c r="D1095" t="s">
        <v>644</v>
      </c>
      <c r="E1095" t="s">
        <v>646</v>
      </c>
      <c r="F1095" t="s">
        <v>557</v>
      </c>
      <c r="G1095" t="s">
        <v>198</v>
      </c>
      <c r="H1095">
        <v>119441</v>
      </c>
      <c r="I1095">
        <v>2006531.213077398</v>
      </c>
      <c r="J1095">
        <v>2125972.213077398</v>
      </c>
      <c r="K1095">
        <f>IFERROR(VLOOKUP(F1095,'LEAID Match'!$A$2:$B$236,2,FALSE),"")</f>
        <v>2314785</v>
      </c>
    </row>
    <row r="1096" spans="1:11" x14ac:dyDescent="0.2">
      <c r="A1096">
        <f t="shared" si="17"/>
        <v>2314785</v>
      </c>
      <c r="B1096">
        <v>2022</v>
      </c>
      <c r="C1096" t="s">
        <v>642</v>
      </c>
      <c r="D1096" t="s">
        <v>644</v>
      </c>
      <c r="E1096" t="s">
        <v>646</v>
      </c>
      <c r="F1096" t="s">
        <v>557</v>
      </c>
      <c r="G1096" t="s">
        <v>198</v>
      </c>
      <c r="H1096">
        <v>194066</v>
      </c>
      <c r="I1096">
        <v>2793574.7776758475</v>
      </c>
      <c r="J1096">
        <v>2987640.7776758475</v>
      </c>
      <c r="K1096">
        <f>IFERROR(VLOOKUP(F1096,'LEAID Match'!$A$2:$B$236,2,FALSE),"")</f>
        <v>2314785</v>
      </c>
    </row>
    <row r="1097" spans="1:11" x14ac:dyDescent="0.2">
      <c r="A1097">
        <f t="shared" si="17"/>
        <v>2314791</v>
      </c>
      <c r="B1097">
        <v>2015</v>
      </c>
      <c r="C1097" t="s">
        <v>642</v>
      </c>
      <c r="D1097" t="s">
        <v>644</v>
      </c>
      <c r="E1097" t="s">
        <v>646</v>
      </c>
      <c r="F1097" t="s">
        <v>558</v>
      </c>
      <c r="G1097" t="s">
        <v>199</v>
      </c>
      <c r="H1097">
        <v>142993</v>
      </c>
      <c r="I1097">
        <v>2741696.4311748333</v>
      </c>
      <c r="J1097">
        <v>2884689.4311748333</v>
      </c>
      <c r="K1097">
        <f>IFERROR(VLOOKUP(F1097,'LEAID Match'!$A$2:$B$236,2,FALSE),"")</f>
        <v>2314791</v>
      </c>
    </row>
    <row r="1098" spans="1:11" x14ac:dyDescent="0.2">
      <c r="A1098">
        <f t="shared" si="17"/>
        <v>2314791</v>
      </c>
      <c r="B1098">
        <v>2016</v>
      </c>
      <c r="C1098" t="s">
        <v>642</v>
      </c>
      <c r="D1098" t="s">
        <v>644</v>
      </c>
      <c r="E1098" t="s">
        <v>646</v>
      </c>
      <c r="F1098" s="1" t="s">
        <v>558</v>
      </c>
      <c r="G1098" s="1" t="s">
        <v>199</v>
      </c>
      <c r="H1098" s="22">
        <v>30475</v>
      </c>
      <c r="I1098">
        <v>579165.25378838973</v>
      </c>
      <c r="J1098">
        <v>609640.25378838973</v>
      </c>
      <c r="K1098">
        <f>IFERROR(VLOOKUP(F1098,'LEAID Match'!$A$2:$B$236,2,FALSE),"")</f>
        <v>2314791</v>
      </c>
    </row>
    <row r="1099" spans="1:11" x14ac:dyDescent="0.2">
      <c r="A1099">
        <f t="shared" si="17"/>
        <v>2314791</v>
      </c>
      <c r="B1099">
        <v>2017</v>
      </c>
      <c r="C1099" t="s">
        <v>642</v>
      </c>
      <c r="D1099" t="s">
        <v>644</v>
      </c>
      <c r="E1099" t="s">
        <v>646</v>
      </c>
      <c r="F1099" t="s">
        <v>558</v>
      </c>
      <c r="G1099" t="s">
        <v>199</v>
      </c>
      <c r="H1099">
        <v>29056</v>
      </c>
      <c r="I1099">
        <v>554022.31434059143</v>
      </c>
      <c r="J1099">
        <v>583078.31434059143</v>
      </c>
      <c r="K1099">
        <f>IFERROR(VLOOKUP(F1099,'LEAID Match'!$A$2:$B$236,2,FALSE),"")</f>
        <v>2314791</v>
      </c>
    </row>
    <row r="1100" spans="1:11" x14ac:dyDescent="0.2">
      <c r="A1100">
        <f t="shared" si="17"/>
        <v>2314791</v>
      </c>
      <c r="B1100">
        <v>2018</v>
      </c>
      <c r="C1100" t="s">
        <v>642</v>
      </c>
      <c r="D1100" t="s">
        <v>644</v>
      </c>
      <c r="E1100" t="s">
        <v>646</v>
      </c>
      <c r="F1100" t="s">
        <v>558</v>
      </c>
      <c r="G1100" t="s">
        <v>199</v>
      </c>
      <c r="H1100">
        <v>26641</v>
      </c>
      <c r="I1100">
        <v>539994.25690568506</v>
      </c>
      <c r="J1100">
        <v>566635.25690568506</v>
      </c>
      <c r="K1100">
        <f>IFERROR(VLOOKUP(F1100,'LEAID Match'!$A$2:$B$236,2,FALSE),"")</f>
        <v>2314791</v>
      </c>
    </row>
    <row r="1101" spans="1:11" x14ac:dyDescent="0.2">
      <c r="A1101">
        <f t="shared" si="17"/>
        <v>2314791</v>
      </c>
      <c r="B1101">
        <v>2019</v>
      </c>
      <c r="C1101" t="s">
        <v>642</v>
      </c>
      <c r="D1101" t="s">
        <v>644</v>
      </c>
      <c r="E1101" t="s">
        <v>646</v>
      </c>
      <c r="F1101" t="s">
        <v>558</v>
      </c>
      <c r="G1101" t="s">
        <v>199</v>
      </c>
      <c r="H1101">
        <v>24696</v>
      </c>
      <c r="I1101">
        <v>529088.00300469575</v>
      </c>
      <c r="J1101">
        <v>553784.00300469575</v>
      </c>
      <c r="K1101">
        <f>IFERROR(VLOOKUP(F1101,'LEAID Match'!$A$2:$B$236,2,FALSE),"")</f>
        <v>2314791</v>
      </c>
    </row>
    <row r="1102" spans="1:11" x14ac:dyDescent="0.2">
      <c r="A1102">
        <f t="shared" si="17"/>
        <v>2314791</v>
      </c>
      <c r="B1102">
        <v>2020</v>
      </c>
      <c r="C1102" t="s">
        <v>642</v>
      </c>
      <c r="D1102" t="s">
        <v>644</v>
      </c>
      <c r="E1102" t="s">
        <v>646</v>
      </c>
      <c r="F1102" t="s">
        <v>558</v>
      </c>
      <c r="G1102" t="s">
        <v>199</v>
      </c>
      <c r="H1102">
        <v>32276</v>
      </c>
      <c r="I1102">
        <v>719171.47781186271</v>
      </c>
      <c r="J1102">
        <v>751447.47781186271</v>
      </c>
      <c r="K1102">
        <f>IFERROR(VLOOKUP(F1102,'LEAID Match'!$A$2:$B$236,2,FALSE),"")</f>
        <v>2314791</v>
      </c>
    </row>
    <row r="1103" spans="1:11" x14ac:dyDescent="0.2">
      <c r="A1103">
        <f t="shared" si="17"/>
        <v>2314791</v>
      </c>
      <c r="B1103">
        <v>2021</v>
      </c>
      <c r="C1103" t="s">
        <v>642</v>
      </c>
      <c r="D1103" t="s">
        <v>644</v>
      </c>
      <c r="E1103" t="s">
        <v>646</v>
      </c>
      <c r="F1103" t="s">
        <v>558</v>
      </c>
      <c r="G1103" t="s">
        <v>199</v>
      </c>
      <c r="H1103">
        <v>31965</v>
      </c>
      <c r="I1103">
        <v>536991.23605812935</v>
      </c>
      <c r="J1103">
        <v>568956.23605812935</v>
      </c>
      <c r="K1103">
        <f>IFERROR(VLOOKUP(F1103,'LEAID Match'!$A$2:$B$236,2,FALSE),"")</f>
        <v>2314791</v>
      </c>
    </row>
    <row r="1104" spans="1:11" x14ac:dyDescent="0.2">
      <c r="A1104">
        <f t="shared" si="17"/>
        <v>2314791</v>
      </c>
      <c r="B1104">
        <v>2022</v>
      </c>
      <c r="C1104" t="s">
        <v>642</v>
      </c>
      <c r="D1104" t="s">
        <v>644</v>
      </c>
      <c r="E1104" t="s">
        <v>646</v>
      </c>
      <c r="F1104" t="s">
        <v>558</v>
      </c>
      <c r="G1104" t="s">
        <v>199</v>
      </c>
      <c r="H1104">
        <v>81042</v>
      </c>
      <c r="I1104">
        <v>1166597.3799243865</v>
      </c>
      <c r="J1104">
        <v>1247639.3799243865</v>
      </c>
      <c r="K1104">
        <f>IFERROR(VLOOKUP(F1104,'LEAID Match'!$A$2:$B$236,2,FALSE),"")</f>
        <v>2314791</v>
      </c>
    </row>
    <row r="1105" spans="1:11" x14ac:dyDescent="0.2">
      <c r="A1105">
        <f t="shared" si="17"/>
        <v>2314773</v>
      </c>
      <c r="B1105">
        <v>2015</v>
      </c>
      <c r="C1105" t="s">
        <v>642</v>
      </c>
      <c r="D1105" t="s">
        <v>644</v>
      </c>
      <c r="E1105" t="s">
        <v>646</v>
      </c>
      <c r="F1105" t="s">
        <v>559</v>
      </c>
      <c r="G1105" t="s">
        <v>200</v>
      </c>
      <c r="H1105">
        <v>67199</v>
      </c>
      <c r="I1105">
        <v>1288449.4938809427</v>
      </c>
      <c r="J1105">
        <v>1355648.4938809427</v>
      </c>
      <c r="K1105">
        <f>IFERROR(VLOOKUP(F1105,'LEAID Match'!$A$2:$B$236,2,FALSE),"")</f>
        <v>2314773</v>
      </c>
    </row>
    <row r="1106" spans="1:11" x14ac:dyDescent="0.2">
      <c r="A1106">
        <f t="shared" si="17"/>
        <v>2314773</v>
      </c>
      <c r="B1106">
        <v>2016</v>
      </c>
      <c r="C1106" t="s">
        <v>642</v>
      </c>
      <c r="D1106" t="s">
        <v>644</v>
      </c>
      <c r="E1106" t="s">
        <v>646</v>
      </c>
      <c r="F1106" s="1" t="s">
        <v>559</v>
      </c>
      <c r="G1106" s="1" t="s">
        <v>200</v>
      </c>
      <c r="H1106" s="22">
        <v>56891</v>
      </c>
      <c r="I1106">
        <v>1081190.8270147752</v>
      </c>
      <c r="J1106">
        <v>1138081.8270147752</v>
      </c>
      <c r="K1106">
        <f>IFERROR(VLOOKUP(F1106,'LEAID Match'!$A$2:$B$236,2,FALSE),"")</f>
        <v>2314773</v>
      </c>
    </row>
    <row r="1107" spans="1:11" x14ac:dyDescent="0.2">
      <c r="A1107">
        <f t="shared" si="17"/>
        <v>2314773</v>
      </c>
      <c r="B1107">
        <v>2017</v>
      </c>
      <c r="C1107" t="s">
        <v>642</v>
      </c>
      <c r="D1107" t="s">
        <v>644</v>
      </c>
      <c r="E1107" t="s">
        <v>646</v>
      </c>
      <c r="F1107" t="s">
        <v>559</v>
      </c>
      <c r="G1107" t="s">
        <v>200</v>
      </c>
      <c r="H1107">
        <v>58136</v>
      </c>
      <c r="I1107">
        <v>1108502.2462315743</v>
      </c>
      <c r="J1107">
        <v>1166638.2462315743</v>
      </c>
      <c r="K1107">
        <f>IFERROR(VLOOKUP(F1107,'LEAID Match'!$A$2:$B$236,2,FALSE),"")</f>
        <v>2314773</v>
      </c>
    </row>
    <row r="1108" spans="1:11" x14ac:dyDescent="0.2">
      <c r="A1108">
        <f t="shared" si="17"/>
        <v>2314773</v>
      </c>
      <c r="B1108">
        <v>2018</v>
      </c>
      <c r="C1108" t="s">
        <v>642</v>
      </c>
      <c r="D1108" t="s">
        <v>644</v>
      </c>
      <c r="E1108" t="s">
        <v>646</v>
      </c>
      <c r="F1108" t="s">
        <v>559</v>
      </c>
      <c r="G1108" t="s">
        <v>200</v>
      </c>
      <c r="H1108">
        <v>63637</v>
      </c>
      <c r="I1108">
        <v>1289877.0514135009</v>
      </c>
      <c r="J1108">
        <v>1353514.0514135009</v>
      </c>
      <c r="K1108">
        <f>IFERROR(VLOOKUP(F1108,'LEAID Match'!$A$2:$B$236,2,FALSE),"")</f>
        <v>2314773</v>
      </c>
    </row>
    <row r="1109" spans="1:11" x14ac:dyDescent="0.2">
      <c r="A1109">
        <f t="shared" si="17"/>
        <v>2314773</v>
      </c>
      <c r="B1109">
        <v>2019</v>
      </c>
      <c r="C1109" t="s">
        <v>642</v>
      </c>
      <c r="D1109" t="s">
        <v>644</v>
      </c>
      <c r="E1109" t="s">
        <v>646</v>
      </c>
      <c r="F1109" t="s">
        <v>559</v>
      </c>
      <c r="G1109" t="s">
        <v>200</v>
      </c>
      <c r="H1109">
        <v>61144</v>
      </c>
      <c r="I1109">
        <v>1309951.281815643</v>
      </c>
      <c r="J1109">
        <v>1371095.281815643</v>
      </c>
      <c r="K1109">
        <f>IFERROR(VLOOKUP(F1109,'LEAID Match'!$A$2:$B$236,2,FALSE),"")</f>
        <v>2314773</v>
      </c>
    </row>
    <row r="1110" spans="1:11" x14ac:dyDescent="0.2">
      <c r="A1110">
        <f t="shared" si="17"/>
        <v>2314773</v>
      </c>
      <c r="B1110">
        <v>2020</v>
      </c>
      <c r="C1110" t="s">
        <v>642</v>
      </c>
      <c r="D1110" t="s">
        <v>644</v>
      </c>
      <c r="E1110" t="s">
        <v>646</v>
      </c>
      <c r="F1110" t="s">
        <v>559</v>
      </c>
      <c r="G1110" t="s">
        <v>200</v>
      </c>
      <c r="H1110">
        <v>91974</v>
      </c>
      <c r="I1110">
        <v>2049357.9594828435</v>
      </c>
      <c r="J1110">
        <v>2141331.9594828435</v>
      </c>
      <c r="K1110">
        <f>IFERROR(VLOOKUP(F1110,'LEAID Match'!$A$2:$B$236,2,FALSE),"")</f>
        <v>2314773</v>
      </c>
    </row>
    <row r="1111" spans="1:11" x14ac:dyDescent="0.2">
      <c r="A1111">
        <f t="shared" si="17"/>
        <v>2314773</v>
      </c>
      <c r="B1111">
        <v>2021</v>
      </c>
      <c r="C1111" t="s">
        <v>642</v>
      </c>
      <c r="D1111" t="s">
        <v>644</v>
      </c>
      <c r="E1111" t="s">
        <v>646</v>
      </c>
      <c r="F1111" t="s">
        <v>559</v>
      </c>
      <c r="G1111" t="s">
        <v>200</v>
      </c>
      <c r="H1111">
        <v>110610</v>
      </c>
      <c r="I1111">
        <v>1858176.1495507488</v>
      </c>
      <c r="J1111">
        <v>1968786.1495507488</v>
      </c>
      <c r="K1111">
        <f>IFERROR(VLOOKUP(F1111,'LEAID Match'!$A$2:$B$236,2,FALSE),"")</f>
        <v>2314773</v>
      </c>
    </row>
    <row r="1112" spans="1:11" x14ac:dyDescent="0.2">
      <c r="A1112">
        <f t="shared" si="17"/>
        <v>2314773</v>
      </c>
      <c r="B1112">
        <v>2022</v>
      </c>
      <c r="C1112" t="s">
        <v>642</v>
      </c>
      <c r="D1112" t="s">
        <v>644</v>
      </c>
      <c r="E1112" t="s">
        <v>646</v>
      </c>
      <c r="F1112" t="s">
        <v>559</v>
      </c>
      <c r="G1112" t="s">
        <v>200</v>
      </c>
      <c r="H1112">
        <v>127233</v>
      </c>
      <c r="I1112">
        <v>1831515.5652614629</v>
      </c>
      <c r="J1112">
        <v>1958748.5652614629</v>
      </c>
      <c r="K1112">
        <f>IFERROR(VLOOKUP(F1112,'LEAID Match'!$A$2:$B$236,2,FALSE),"")</f>
        <v>2314773</v>
      </c>
    </row>
    <row r="1113" spans="1:11" x14ac:dyDescent="0.2">
      <c r="A1113">
        <f t="shared" si="17"/>
        <v>2314784</v>
      </c>
      <c r="B1113">
        <v>2015</v>
      </c>
      <c r="C1113" t="s">
        <v>642</v>
      </c>
      <c r="D1113" t="s">
        <v>644</v>
      </c>
      <c r="E1113" t="s">
        <v>646</v>
      </c>
      <c r="F1113" t="s">
        <v>560</v>
      </c>
      <c r="G1113" t="s">
        <v>201</v>
      </c>
      <c r="H1113">
        <v>28268</v>
      </c>
      <c r="I1113">
        <v>542000.48055814055</v>
      </c>
      <c r="J1113">
        <v>570268.48055814055</v>
      </c>
      <c r="K1113">
        <f>IFERROR(VLOOKUP(F1113,'LEAID Match'!$A$2:$B$236,2,FALSE),"")</f>
        <v>2314784</v>
      </c>
    </row>
    <row r="1114" spans="1:11" x14ac:dyDescent="0.2">
      <c r="A1114">
        <f t="shared" si="17"/>
        <v>2314784</v>
      </c>
      <c r="B1114">
        <v>2016</v>
      </c>
      <c r="C1114" t="s">
        <v>642</v>
      </c>
      <c r="D1114" t="s">
        <v>644</v>
      </c>
      <c r="E1114" t="s">
        <v>646</v>
      </c>
      <c r="F1114" s="1" t="s">
        <v>560</v>
      </c>
      <c r="G1114" s="1" t="s">
        <v>201</v>
      </c>
      <c r="H1114" s="22">
        <v>48019</v>
      </c>
      <c r="I1114">
        <v>912581.99578883301</v>
      </c>
      <c r="J1114">
        <v>960600.99578883301</v>
      </c>
      <c r="K1114">
        <f>IFERROR(VLOOKUP(F1114,'LEAID Match'!$A$2:$B$236,2,FALSE),"")</f>
        <v>2314784</v>
      </c>
    </row>
    <row r="1115" spans="1:11" x14ac:dyDescent="0.2">
      <c r="A1115">
        <f t="shared" si="17"/>
        <v>2314784</v>
      </c>
      <c r="B1115">
        <v>2017</v>
      </c>
      <c r="C1115" t="s">
        <v>642</v>
      </c>
      <c r="D1115" t="s">
        <v>644</v>
      </c>
      <c r="E1115" t="s">
        <v>646</v>
      </c>
      <c r="F1115" t="s">
        <v>560</v>
      </c>
      <c r="G1115" t="s">
        <v>201</v>
      </c>
      <c r="H1115">
        <v>40249</v>
      </c>
      <c r="I1115">
        <v>767443.69940440741</v>
      </c>
      <c r="J1115">
        <v>807692.69940440741</v>
      </c>
      <c r="K1115">
        <f>IFERROR(VLOOKUP(F1115,'LEAID Match'!$A$2:$B$236,2,FALSE),"")</f>
        <v>2314784</v>
      </c>
    </row>
    <row r="1116" spans="1:11" x14ac:dyDescent="0.2">
      <c r="A1116">
        <f t="shared" si="17"/>
        <v>2314784</v>
      </c>
      <c r="B1116">
        <v>2018</v>
      </c>
      <c r="C1116" t="s">
        <v>642</v>
      </c>
      <c r="D1116" t="s">
        <v>644</v>
      </c>
      <c r="E1116" t="s">
        <v>646</v>
      </c>
      <c r="F1116" t="s">
        <v>560</v>
      </c>
      <c r="G1116" t="s">
        <v>201</v>
      </c>
      <c r="H1116">
        <v>50488</v>
      </c>
      <c r="I1116">
        <v>1023356.1068523789</v>
      </c>
      <c r="J1116">
        <v>1073844.1068523789</v>
      </c>
      <c r="K1116">
        <f>IFERROR(VLOOKUP(F1116,'LEAID Match'!$A$2:$B$236,2,FALSE),"")</f>
        <v>2314784</v>
      </c>
    </row>
    <row r="1117" spans="1:11" x14ac:dyDescent="0.2">
      <c r="A1117">
        <f t="shared" si="17"/>
        <v>2314784</v>
      </c>
      <c r="B1117">
        <v>2019</v>
      </c>
      <c r="C1117" t="s">
        <v>642</v>
      </c>
      <c r="D1117" t="s">
        <v>644</v>
      </c>
      <c r="E1117" t="s">
        <v>646</v>
      </c>
      <c r="F1117" t="s">
        <v>560</v>
      </c>
      <c r="G1117" t="s">
        <v>201</v>
      </c>
      <c r="H1117">
        <v>34979</v>
      </c>
      <c r="I1117">
        <v>749391.36933516583</v>
      </c>
      <c r="J1117">
        <v>784370.36933516583</v>
      </c>
      <c r="K1117">
        <f>IFERROR(VLOOKUP(F1117,'LEAID Match'!$A$2:$B$236,2,FALSE),"")</f>
        <v>2314784</v>
      </c>
    </row>
    <row r="1118" spans="1:11" x14ac:dyDescent="0.2">
      <c r="A1118">
        <f t="shared" si="17"/>
        <v>2314784</v>
      </c>
      <c r="B1118">
        <v>2020</v>
      </c>
      <c r="C1118" t="s">
        <v>642</v>
      </c>
      <c r="D1118" t="s">
        <v>644</v>
      </c>
      <c r="E1118" t="s">
        <v>646</v>
      </c>
      <c r="F1118" t="s">
        <v>560</v>
      </c>
      <c r="G1118" t="s">
        <v>201</v>
      </c>
      <c r="H1118">
        <v>44737</v>
      </c>
      <c r="I1118">
        <v>996826.57091551914</v>
      </c>
      <c r="J1118">
        <v>1041563.5709155191</v>
      </c>
      <c r="K1118">
        <f>IFERROR(VLOOKUP(F1118,'LEAID Match'!$A$2:$B$236,2,FALSE),"")</f>
        <v>2314784</v>
      </c>
    </row>
    <row r="1119" spans="1:11" x14ac:dyDescent="0.2">
      <c r="A1119">
        <f t="shared" si="17"/>
        <v>2314784</v>
      </c>
      <c r="B1119">
        <v>2021</v>
      </c>
      <c r="C1119" t="s">
        <v>642</v>
      </c>
      <c r="D1119" t="s">
        <v>644</v>
      </c>
      <c r="E1119" t="s">
        <v>646</v>
      </c>
      <c r="F1119" t="s">
        <v>560</v>
      </c>
      <c r="G1119" t="s">
        <v>201</v>
      </c>
      <c r="H1119">
        <v>66514</v>
      </c>
      <c r="I1119">
        <v>1117391.9935920667</v>
      </c>
      <c r="J1119">
        <v>1183905.9935920667</v>
      </c>
      <c r="K1119">
        <f>IFERROR(VLOOKUP(F1119,'LEAID Match'!$A$2:$B$236,2,FALSE),"")</f>
        <v>2314784</v>
      </c>
    </row>
    <row r="1120" spans="1:11" x14ac:dyDescent="0.2">
      <c r="A1120">
        <f t="shared" si="17"/>
        <v>2314784</v>
      </c>
      <c r="B1120">
        <v>2022</v>
      </c>
      <c r="C1120" t="s">
        <v>642</v>
      </c>
      <c r="D1120" t="s">
        <v>644</v>
      </c>
      <c r="E1120" t="s">
        <v>646</v>
      </c>
      <c r="F1120" t="s">
        <v>560</v>
      </c>
      <c r="G1120" t="s">
        <v>201</v>
      </c>
      <c r="H1120">
        <v>51470</v>
      </c>
      <c r="I1120">
        <v>740909.24637482024</v>
      </c>
      <c r="J1120">
        <v>792379.24637482024</v>
      </c>
      <c r="K1120">
        <f>IFERROR(VLOOKUP(F1120,'LEAID Match'!$A$2:$B$236,2,FALSE),"")</f>
        <v>2314784</v>
      </c>
    </row>
    <row r="1121" spans="1:11" x14ac:dyDescent="0.2">
      <c r="A1121">
        <f t="shared" si="17"/>
        <v>2314790</v>
      </c>
      <c r="B1121">
        <v>2015</v>
      </c>
      <c r="C1121" t="s">
        <v>642</v>
      </c>
      <c r="D1121" t="s">
        <v>644</v>
      </c>
      <c r="E1121" t="s">
        <v>646</v>
      </c>
      <c r="F1121" t="s">
        <v>561</v>
      </c>
      <c r="G1121" t="s">
        <v>202</v>
      </c>
      <c r="H1121">
        <v>90643</v>
      </c>
      <c r="I1121">
        <v>1737956.3308062663</v>
      </c>
      <c r="J1121">
        <v>1828599.3308062663</v>
      </c>
      <c r="K1121">
        <f>IFERROR(VLOOKUP(F1121,'LEAID Match'!$A$2:$B$236,2,FALSE),"")</f>
        <v>2314790</v>
      </c>
    </row>
    <row r="1122" spans="1:11" x14ac:dyDescent="0.2">
      <c r="A1122">
        <f t="shared" si="17"/>
        <v>2314790</v>
      </c>
      <c r="B1122">
        <v>2016</v>
      </c>
      <c r="C1122" t="s">
        <v>642</v>
      </c>
      <c r="D1122" t="s">
        <v>644</v>
      </c>
      <c r="E1122" t="s">
        <v>646</v>
      </c>
      <c r="F1122" s="1" t="s">
        <v>561</v>
      </c>
      <c r="G1122" s="1" t="s">
        <v>202</v>
      </c>
      <c r="H1122" s="22">
        <v>82796</v>
      </c>
      <c r="I1122">
        <v>1573505.0484877282</v>
      </c>
      <c r="J1122">
        <v>1656301.0484877282</v>
      </c>
      <c r="K1122">
        <f>IFERROR(VLOOKUP(F1122,'LEAID Match'!$A$2:$B$236,2,FALSE),"")</f>
        <v>2314790</v>
      </c>
    </row>
    <row r="1123" spans="1:11" x14ac:dyDescent="0.2">
      <c r="A1123">
        <f t="shared" si="17"/>
        <v>2314790</v>
      </c>
      <c r="B1123">
        <v>2017</v>
      </c>
      <c r="C1123" t="s">
        <v>642</v>
      </c>
      <c r="D1123" t="s">
        <v>644</v>
      </c>
      <c r="E1123" t="s">
        <v>646</v>
      </c>
      <c r="F1123" t="s">
        <v>561</v>
      </c>
      <c r="G1123" t="s">
        <v>202</v>
      </c>
      <c r="H1123">
        <v>62772</v>
      </c>
      <c r="I1123">
        <v>1196898.7030488574</v>
      </c>
      <c r="J1123">
        <v>1259670.7030488574</v>
      </c>
      <c r="K1123">
        <f>IFERROR(VLOOKUP(F1123,'LEAID Match'!$A$2:$B$236,2,FALSE),"")</f>
        <v>2314790</v>
      </c>
    </row>
    <row r="1124" spans="1:11" x14ac:dyDescent="0.2">
      <c r="A1124">
        <f t="shared" si="17"/>
        <v>2314790</v>
      </c>
      <c r="B1124">
        <v>2018</v>
      </c>
      <c r="C1124" t="s">
        <v>642</v>
      </c>
      <c r="D1124" t="s">
        <v>644</v>
      </c>
      <c r="E1124" t="s">
        <v>646</v>
      </c>
      <c r="F1124" t="s">
        <v>561</v>
      </c>
      <c r="G1124" t="s">
        <v>202</v>
      </c>
      <c r="H1124">
        <v>51564</v>
      </c>
      <c r="I1124">
        <v>1045165.8670126776</v>
      </c>
      <c r="J1124">
        <v>1096729.8670126777</v>
      </c>
      <c r="K1124">
        <f>IFERROR(VLOOKUP(F1124,'LEAID Match'!$A$2:$B$236,2,FALSE),"")</f>
        <v>2314790</v>
      </c>
    </row>
    <row r="1125" spans="1:11" x14ac:dyDescent="0.2">
      <c r="A1125">
        <f t="shared" si="17"/>
        <v>2314790</v>
      </c>
      <c r="B1125">
        <v>2019</v>
      </c>
      <c r="C1125" t="s">
        <v>642</v>
      </c>
      <c r="D1125" t="s">
        <v>644</v>
      </c>
      <c r="E1125" t="s">
        <v>646</v>
      </c>
      <c r="F1125" t="s">
        <v>561</v>
      </c>
      <c r="G1125" t="s">
        <v>202</v>
      </c>
      <c r="H1125">
        <v>52317</v>
      </c>
      <c r="I1125">
        <v>1120841.3124877175</v>
      </c>
      <c r="J1125">
        <v>1173158.3124877175</v>
      </c>
      <c r="K1125">
        <f>IFERROR(VLOOKUP(F1125,'LEAID Match'!$A$2:$B$236,2,FALSE),"")</f>
        <v>2314790</v>
      </c>
    </row>
    <row r="1126" spans="1:11" x14ac:dyDescent="0.2">
      <c r="A1126">
        <f t="shared" si="17"/>
        <v>2314790</v>
      </c>
      <c r="B1126">
        <v>2020</v>
      </c>
      <c r="C1126" t="s">
        <v>642</v>
      </c>
      <c r="D1126" t="s">
        <v>644</v>
      </c>
      <c r="E1126" t="s">
        <v>646</v>
      </c>
      <c r="F1126" t="s">
        <v>561</v>
      </c>
      <c r="G1126" t="s">
        <v>202</v>
      </c>
      <c r="H1126">
        <v>63529</v>
      </c>
      <c r="I1126">
        <v>1415548.5442406065</v>
      </c>
      <c r="J1126">
        <v>1479077.5442406065</v>
      </c>
      <c r="K1126">
        <f>IFERROR(VLOOKUP(F1126,'LEAID Match'!$A$2:$B$236,2,FALSE),"")</f>
        <v>2314790</v>
      </c>
    </row>
    <row r="1127" spans="1:11" x14ac:dyDescent="0.2">
      <c r="A1127">
        <f t="shared" si="17"/>
        <v>2314790</v>
      </c>
      <c r="B1127">
        <v>2021</v>
      </c>
      <c r="C1127" t="s">
        <v>642</v>
      </c>
      <c r="D1127" t="s">
        <v>644</v>
      </c>
      <c r="E1127" t="s">
        <v>646</v>
      </c>
      <c r="F1127" t="s">
        <v>561</v>
      </c>
      <c r="G1127" t="s">
        <v>202</v>
      </c>
      <c r="H1127">
        <v>71927</v>
      </c>
      <c r="I1127">
        <v>1208326.8773956851</v>
      </c>
      <c r="J1127">
        <v>1280253.8773956851</v>
      </c>
      <c r="K1127">
        <f>IFERROR(VLOOKUP(F1127,'LEAID Match'!$A$2:$B$236,2,FALSE),"")</f>
        <v>2314790</v>
      </c>
    </row>
    <row r="1128" spans="1:11" x14ac:dyDescent="0.2">
      <c r="A1128">
        <f t="shared" si="17"/>
        <v>2314790</v>
      </c>
      <c r="B1128">
        <v>2022</v>
      </c>
      <c r="C1128" t="s">
        <v>642</v>
      </c>
      <c r="D1128" t="s">
        <v>644</v>
      </c>
      <c r="E1128" t="s">
        <v>646</v>
      </c>
      <c r="F1128" t="s">
        <v>561</v>
      </c>
      <c r="G1128" t="s">
        <v>202</v>
      </c>
      <c r="H1128">
        <v>76713</v>
      </c>
      <c r="I1128">
        <v>1104281.5429794362</v>
      </c>
      <c r="J1128">
        <v>1180994.5429794362</v>
      </c>
      <c r="K1128">
        <f>IFERROR(VLOOKUP(F1128,'LEAID Match'!$A$2:$B$236,2,FALSE),"")</f>
        <v>2314790</v>
      </c>
    </row>
    <row r="1129" spans="1:11" x14ac:dyDescent="0.2">
      <c r="A1129">
        <f t="shared" si="17"/>
        <v>2314796</v>
      </c>
      <c r="B1129">
        <v>2015</v>
      </c>
      <c r="C1129" t="s">
        <v>642</v>
      </c>
      <c r="D1129" t="s">
        <v>644</v>
      </c>
      <c r="E1129" t="s">
        <v>646</v>
      </c>
      <c r="F1129" t="s">
        <v>562</v>
      </c>
      <c r="G1129" t="s">
        <v>203</v>
      </c>
      <c r="H1129">
        <v>43151</v>
      </c>
      <c r="I1129">
        <v>827361.77786063123</v>
      </c>
      <c r="J1129">
        <v>870512.77786063123</v>
      </c>
      <c r="K1129">
        <f>IFERROR(VLOOKUP(F1129,'LEAID Match'!$A$2:$B$236,2,FALSE),"")</f>
        <v>2314796</v>
      </c>
    </row>
    <row r="1130" spans="1:11" x14ac:dyDescent="0.2">
      <c r="A1130">
        <f t="shared" si="17"/>
        <v>2314796</v>
      </c>
      <c r="B1130">
        <v>2016</v>
      </c>
      <c r="C1130" t="s">
        <v>642</v>
      </c>
      <c r="D1130" t="s">
        <v>644</v>
      </c>
      <c r="E1130" t="s">
        <v>646</v>
      </c>
      <c r="F1130" s="1" t="s">
        <v>562</v>
      </c>
      <c r="G1130" s="1" t="s">
        <v>203</v>
      </c>
      <c r="H1130" s="22">
        <v>34860</v>
      </c>
      <c r="I1130">
        <v>662500.4346862433</v>
      </c>
      <c r="J1130">
        <v>697360.4346862433</v>
      </c>
      <c r="K1130">
        <f>IFERROR(VLOOKUP(F1130,'LEAID Match'!$A$2:$B$236,2,FALSE),"")</f>
        <v>2314796</v>
      </c>
    </row>
    <row r="1131" spans="1:11" x14ac:dyDescent="0.2">
      <c r="A1131">
        <f t="shared" si="17"/>
        <v>2314796</v>
      </c>
      <c r="B1131">
        <v>2017</v>
      </c>
      <c r="C1131" t="s">
        <v>642</v>
      </c>
      <c r="D1131" t="s">
        <v>644</v>
      </c>
      <c r="E1131" t="s">
        <v>646</v>
      </c>
      <c r="F1131" t="s">
        <v>562</v>
      </c>
      <c r="G1131" t="s">
        <v>203</v>
      </c>
      <c r="H1131">
        <v>30982</v>
      </c>
      <c r="I1131">
        <v>590746.12275950587</v>
      </c>
      <c r="J1131">
        <v>621728.12275950587</v>
      </c>
      <c r="K1131">
        <f>IFERROR(VLOOKUP(F1131,'LEAID Match'!$A$2:$B$236,2,FALSE),"")</f>
        <v>2314796</v>
      </c>
    </row>
    <row r="1132" spans="1:11" x14ac:dyDescent="0.2">
      <c r="A1132">
        <f t="shared" si="17"/>
        <v>2314796</v>
      </c>
      <c r="B1132">
        <v>2018</v>
      </c>
      <c r="C1132" t="s">
        <v>642</v>
      </c>
      <c r="D1132" t="s">
        <v>644</v>
      </c>
      <c r="E1132" t="s">
        <v>646</v>
      </c>
      <c r="F1132" t="s">
        <v>562</v>
      </c>
      <c r="G1132" t="s">
        <v>203</v>
      </c>
      <c r="H1132">
        <v>50595</v>
      </c>
      <c r="I1132">
        <v>1025524.921292111</v>
      </c>
      <c r="J1132">
        <v>1076119.921292111</v>
      </c>
      <c r="K1132">
        <f>IFERROR(VLOOKUP(F1132,'LEAID Match'!$A$2:$B$236,2,FALSE),"")</f>
        <v>2314796</v>
      </c>
    </row>
    <row r="1133" spans="1:11" x14ac:dyDescent="0.2">
      <c r="A1133">
        <f t="shared" si="17"/>
        <v>2314796</v>
      </c>
      <c r="B1133">
        <v>2019</v>
      </c>
      <c r="C1133" t="s">
        <v>642</v>
      </c>
      <c r="D1133" t="s">
        <v>644</v>
      </c>
      <c r="E1133" t="s">
        <v>646</v>
      </c>
      <c r="F1133" t="s">
        <v>562</v>
      </c>
      <c r="G1133" t="s">
        <v>203</v>
      </c>
      <c r="H1133">
        <v>24161</v>
      </c>
      <c r="I1133">
        <v>517626.14352917299</v>
      </c>
      <c r="J1133">
        <v>541787.14352917299</v>
      </c>
      <c r="K1133">
        <f>IFERROR(VLOOKUP(F1133,'LEAID Match'!$A$2:$B$236,2,FALSE),"")</f>
        <v>2314796</v>
      </c>
    </row>
    <row r="1134" spans="1:11" x14ac:dyDescent="0.2">
      <c r="A1134">
        <f t="shared" si="17"/>
        <v>2314796</v>
      </c>
      <c r="B1134">
        <v>2020</v>
      </c>
      <c r="C1134" t="s">
        <v>642</v>
      </c>
      <c r="D1134" t="s">
        <v>644</v>
      </c>
      <c r="E1134" t="s">
        <v>646</v>
      </c>
      <c r="F1134" t="s">
        <v>562</v>
      </c>
      <c r="G1134" t="s">
        <v>203</v>
      </c>
      <c r="H1134">
        <v>40049</v>
      </c>
      <c r="I1134">
        <v>892368.89685485454</v>
      </c>
      <c r="J1134">
        <v>932417.89685485454</v>
      </c>
      <c r="K1134">
        <f>IFERROR(VLOOKUP(F1134,'LEAID Match'!$A$2:$B$236,2,FALSE),"")</f>
        <v>2314796</v>
      </c>
    </row>
    <row r="1135" spans="1:11" x14ac:dyDescent="0.2">
      <c r="A1135">
        <f t="shared" si="17"/>
        <v>2314796</v>
      </c>
      <c r="B1135">
        <v>2021</v>
      </c>
      <c r="C1135" t="s">
        <v>642</v>
      </c>
      <c r="D1135" t="s">
        <v>644</v>
      </c>
      <c r="E1135" t="s">
        <v>646</v>
      </c>
      <c r="F1135" t="s">
        <v>562</v>
      </c>
      <c r="G1135" t="s">
        <v>203</v>
      </c>
      <c r="H1135">
        <v>90080</v>
      </c>
      <c r="I1135">
        <v>1513285.4855034035</v>
      </c>
      <c r="J1135">
        <v>1603365.4855034035</v>
      </c>
      <c r="K1135">
        <f>IFERROR(VLOOKUP(F1135,'LEAID Match'!$A$2:$B$236,2,FALSE),"")</f>
        <v>2314796</v>
      </c>
    </row>
    <row r="1136" spans="1:11" x14ac:dyDescent="0.2">
      <c r="A1136">
        <f t="shared" si="17"/>
        <v>2314796</v>
      </c>
      <c r="B1136">
        <v>2022</v>
      </c>
      <c r="C1136" t="s">
        <v>642</v>
      </c>
      <c r="D1136" t="s">
        <v>644</v>
      </c>
      <c r="E1136" t="s">
        <v>646</v>
      </c>
      <c r="F1136" t="s">
        <v>562</v>
      </c>
      <c r="G1136" t="s">
        <v>203</v>
      </c>
      <c r="H1136">
        <v>90854</v>
      </c>
      <c r="I1136">
        <v>1307840.8523438491</v>
      </c>
      <c r="J1136">
        <v>1398694.8523438491</v>
      </c>
      <c r="K1136">
        <f>IFERROR(VLOOKUP(F1136,'LEAID Match'!$A$2:$B$236,2,FALSE),"")</f>
        <v>2314796</v>
      </c>
    </row>
    <row r="1137" spans="1:11" x14ac:dyDescent="0.2">
      <c r="A1137">
        <f t="shared" si="17"/>
        <v>2314778</v>
      </c>
      <c r="B1137">
        <v>2015</v>
      </c>
      <c r="C1137" t="s">
        <v>642</v>
      </c>
      <c r="D1137" t="s">
        <v>644</v>
      </c>
      <c r="E1137" t="s">
        <v>646</v>
      </c>
      <c r="F1137" t="s">
        <v>563</v>
      </c>
      <c r="G1137" t="s">
        <v>204</v>
      </c>
      <c r="H1137">
        <v>10908</v>
      </c>
      <c r="I1137">
        <v>209146.07478166823</v>
      </c>
      <c r="J1137">
        <v>220054.07478166823</v>
      </c>
      <c r="K1137">
        <f>IFERROR(VLOOKUP(F1137,'LEAID Match'!$A$2:$B$236,2,FALSE),"")</f>
        <v>2314778</v>
      </c>
    </row>
    <row r="1138" spans="1:11" x14ac:dyDescent="0.2">
      <c r="A1138">
        <f t="shared" si="17"/>
        <v>2314778</v>
      </c>
      <c r="B1138">
        <v>2016</v>
      </c>
      <c r="C1138" t="s">
        <v>642</v>
      </c>
      <c r="D1138" t="s">
        <v>644</v>
      </c>
      <c r="E1138" t="s">
        <v>646</v>
      </c>
      <c r="F1138" s="1" t="s">
        <v>563</v>
      </c>
      <c r="G1138" s="1" t="s">
        <v>204</v>
      </c>
      <c r="H1138" s="22">
        <v>9881</v>
      </c>
      <c r="I1138">
        <v>187784.47490346443</v>
      </c>
      <c r="J1138">
        <v>197665.47490346443</v>
      </c>
      <c r="K1138">
        <f>IFERROR(VLOOKUP(F1138,'LEAID Match'!$A$2:$B$236,2,FALSE),"")</f>
        <v>2314778</v>
      </c>
    </row>
    <row r="1139" spans="1:11" x14ac:dyDescent="0.2">
      <c r="A1139">
        <f t="shared" si="17"/>
        <v>2314778</v>
      </c>
      <c r="B1139">
        <v>2017</v>
      </c>
      <c r="C1139" t="s">
        <v>642</v>
      </c>
      <c r="D1139" t="s">
        <v>644</v>
      </c>
      <c r="E1139" t="s">
        <v>646</v>
      </c>
      <c r="F1139" t="s">
        <v>563</v>
      </c>
      <c r="G1139" t="s">
        <v>204</v>
      </c>
      <c r="H1139">
        <v>8178</v>
      </c>
      <c r="I1139">
        <v>155933.18029588921</v>
      </c>
      <c r="J1139">
        <v>164111.18029588921</v>
      </c>
      <c r="K1139">
        <f>IFERROR(VLOOKUP(F1139,'LEAID Match'!$A$2:$B$236,2,FALSE),"")</f>
        <v>2314778</v>
      </c>
    </row>
    <row r="1140" spans="1:11" x14ac:dyDescent="0.2">
      <c r="A1140">
        <f t="shared" si="17"/>
        <v>2314778</v>
      </c>
      <c r="B1140">
        <v>2018</v>
      </c>
      <c r="C1140" t="s">
        <v>642</v>
      </c>
      <c r="D1140" t="s">
        <v>644</v>
      </c>
      <c r="E1140" t="s">
        <v>646</v>
      </c>
      <c r="F1140" t="s">
        <v>563</v>
      </c>
      <c r="G1140" t="s">
        <v>204</v>
      </c>
      <c r="H1140">
        <v>8050</v>
      </c>
      <c r="I1140">
        <v>163167.81532565461</v>
      </c>
      <c r="J1140">
        <v>171217.81532565461</v>
      </c>
      <c r="K1140">
        <f>IFERROR(VLOOKUP(F1140,'LEAID Match'!$A$2:$B$236,2,FALSE),"")</f>
        <v>2314778</v>
      </c>
    </row>
    <row r="1141" spans="1:11" x14ac:dyDescent="0.2">
      <c r="A1141">
        <f t="shared" si="17"/>
        <v>2314778</v>
      </c>
      <c r="B1141">
        <v>2019</v>
      </c>
      <c r="C1141" t="s">
        <v>642</v>
      </c>
      <c r="D1141" t="s">
        <v>644</v>
      </c>
      <c r="E1141" t="s">
        <v>646</v>
      </c>
      <c r="F1141" t="s">
        <v>563</v>
      </c>
      <c r="G1141" t="s">
        <v>204</v>
      </c>
      <c r="H1141">
        <v>8235</v>
      </c>
      <c r="I1141">
        <v>176426.93977744045</v>
      </c>
      <c r="J1141">
        <v>184661.93977744045</v>
      </c>
      <c r="K1141">
        <f>IFERROR(VLOOKUP(F1141,'LEAID Match'!$A$2:$B$236,2,FALSE),"")</f>
        <v>2314778</v>
      </c>
    </row>
    <row r="1142" spans="1:11" x14ac:dyDescent="0.2">
      <c r="A1142">
        <f t="shared" si="17"/>
        <v>2314778</v>
      </c>
      <c r="B1142">
        <v>2020</v>
      </c>
      <c r="C1142" t="s">
        <v>642</v>
      </c>
      <c r="D1142" t="s">
        <v>644</v>
      </c>
      <c r="E1142" t="s">
        <v>646</v>
      </c>
      <c r="F1142" t="s">
        <v>563</v>
      </c>
      <c r="G1142" t="s">
        <v>204</v>
      </c>
      <c r="H1142">
        <v>11634</v>
      </c>
      <c r="I1142">
        <v>259227.93942443951</v>
      </c>
      <c r="J1142">
        <v>270861.93942443951</v>
      </c>
      <c r="K1142">
        <f>IFERROR(VLOOKUP(F1142,'LEAID Match'!$A$2:$B$236,2,FALSE),"")</f>
        <v>2314778</v>
      </c>
    </row>
    <row r="1143" spans="1:11" x14ac:dyDescent="0.2">
      <c r="A1143">
        <f t="shared" si="17"/>
        <v>2314778</v>
      </c>
      <c r="B1143">
        <v>2021</v>
      </c>
      <c r="C1143" t="s">
        <v>642</v>
      </c>
      <c r="D1143" t="s">
        <v>644</v>
      </c>
      <c r="E1143" t="s">
        <v>646</v>
      </c>
      <c r="F1143" t="s">
        <v>563</v>
      </c>
      <c r="G1143" t="s">
        <v>204</v>
      </c>
      <c r="H1143">
        <v>34606</v>
      </c>
      <c r="I1143">
        <v>581358.32050766842</v>
      </c>
      <c r="J1143">
        <v>615964.32050766842</v>
      </c>
      <c r="K1143">
        <f>IFERROR(VLOOKUP(F1143,'LEAID Match'!$A$2:$B$236,2,FALSE),"")</f>
        <v>2314778</v>
      </c>
    </row>
    <row r="1144" spans="1:11" x14ac:dyDescent="0.2">
      <c r="A1144">
        <f t="shared" si="17"/>
        <v>2314778</v>
      </c>
      <c r="B1144">
        <v>2022</v>
      </c>
      <c r="C1144" t="s">
        <v>642</v>
      </c>
      <c r="D1144" t="s">
        <v>644</v>
      </c>
      <c r="E1144" t="s">
        <v>646</v>
      </c>
      <c r="F1144" t="s">
        <v>563</v>
      </c>
      <c r="G1144" t="s">
        <v>204</v>
      </c>
      <c r="H1144">
        <v>30501</v>
      </c>
      <c r="I1144">
        <v>439061.06321504555</v>
      </c>
      <c r="J1144">
        <v>469562.06321504555</v>
      </c>
      <c r="K1144">
        <f>IFERROR(VLOOKUP(F1144,'LEAID Match'!$A$2:$B$236,2,FALSE),"")</f>
        <v>2314778</v>
      </c>
    </row>
    <row r="1145" spans="1:11" x14ac:dyDescent="0.2">
      <c r="A1145">
        <f t="shared" si="17"/>
        <v>2314782</v>
      </c>
      <c r="B1145">
        <v>2015</v>
      </c>
      <c r="C1145" t="s">
        <v>642</v>
      </c>
      <c r="D1145" t="s">
        <v>644</v>
      </c>
      <c r="E1145" t="s">
        <v>646</v>
      </c>
      <c r="F1145" t="s">
        <v>564</v>
      </c>
      <c r="G1145" t="s">
        <v>205</v>
      </c>
      <c r="H1145">
        <v>44973</v>
      </c>
      <c r="I1145">
        <v>862296.15155445226</v>
      </c>
      <c r="J1145">
        <v>907269.15155445226</v>
      </c>
      <c r="K1145">
        <f>IFERROR(VLOOKUP(F1145,'LEAID Match'!$A$2:$B$236,2,FALSE),"")</f>
        <v>2314782</v>
      </c>
    </row>
    <row r="1146" spans="1:11" x14ac:dyDescent="0.2">
      <c r="A1146">
        <f t="shared" si="17"/>
        <v>2314782</v>
      </c>
      <c r="B1146">
        <v>2016</v>
      </c>
      <c r="C1146" t="s">
        <v>642</v>
      </c>
      <c r="D1146" t="s">
        <v>644</v>
      </c>
      <c r="E1146" t="s">
        <v>646</v>
      </c>
      <c r="F1146" s="1" t="s">
        <v>564</v>
      </c>
      <c r="G1146" s="1" t="s">
        <v>205</v>
      </c>
      <c r="H1146" s="22">
        <v>36009</v>
      </c>
      <c r="I1146">
        <v>684336.72267977439</v>
      </c>
      <c r="J1146">
        <v>720345.72267977439</v>
      </c>
      <c r="K1146">
        <f>IFERROR(VLOOKUP(F1146,'LEAID Match'!$A$2:$B$236,2,FALSE),"")</f>
        <v>2314782</v>
      </c>
    </row>
    <row r="1147" spans="1:11" x14ac:dyDescent="0.2">
      <c r="A1147">
        <f t="shared" si="17"/>
        <v>2314782</v>
      </c>
      <c r="B1147">
        <v>2017</v>
      </c>
      <c r="C1147" t="s">
        <v>642</v>
      </c>
      <c r="D1147" t="s">
        <v>644</v>
      </c>
      <c r="E1147" t="s">
        <v>646</v>
      </c>
      <c r="F1147" t="s">
        <v>564</v>
      </c>
      <c r="G1147" t="s">
        <v>205</v>
      </c>
      <c r="H1147">
        <v>29857</v>
      </c>
      <c r="I1147">
        <v>569295.30008490628</v>
      </c>
      <c r="J1147">
        <v>599152.30008490628</v>
      </c>
      <c r="K1147">
        <f>IFERROR(VLOOKUP(F1147,'LEAID Match'!$A$2:$B$236,2,FALSE),"")</f>
        <v>2314782</v>
      </c>
    </row>
    <row r="1148" spans="1:11" x14ac:dyDescent="0.2">
      <c r="A1148">
        <f t="shared" si="17"/>
        <v>2314782</v>
      </c>
      <c r="B1148">
        <v>2018</v>
      </c>
      <c r="C1148" t="s">
        <v>642</v>
      </c>
      <c r="D1148" t="s">
        <v>644</v>
      </c>
      <c r="E1148" t="s">
        <v>646</v>
      </c>
      <c r="F1148" t="s">
        <v>564</v>
      </c>
      <c r="G1148" t="s">
        <v>205</v>
      </c>
      <c r="H1148">
        <v>34889</v>
      </c>
      <c r="I1148">
        <v>707175.39240953582</v>
      </c>
      <c r="J1148">
        <v>742064.39240953582</v>
      </c>
      <c r="K1148">
        <f>IFERROR(VLOOKUP(F1148,'LEAID Match'!$A$2:$B$236,2,FALSE),"")</f>
        <v>2314782</v>
      </c>
    </row>
    <row r="1149" spans="1:11" x14ac:dyDescent="0.2">
      <c r="A1149">
        <f t="shared" si="17"/>
        <v>2314782</v>
      </c>
      <c r="B1149">
        <v>2019</v>
      </c>
      <c r="C1149" t="s">
        <v>642</v>
      </c>
      <c r="D1149" t="s">
        <v>644</v>
      </c>
      <c r="E1149" t="s">
        <v>646</v>
      </c>
      <c r="F1149" t="s">
        <v>564</v>
      </c>
      <c r="G1149" t="s">
        <v>205</v>
      </c>
      <c r="H1149">
        <v>43014</v>
      </c>
      <c r="I1149">
        <v>921533.501832037</v>
      </c>
      <c r="J1149">
        <v>964547.501832037</v>
      </c>
      <c r="K1149">
        <f>IFERROR(VLOOKUP(F1149,'LEAID Match'!$A$2:$B$236,2,FALSE),"")</f>
        <v>2314782</v>
      </c>
    </row>
    <row r="1150" spans="1:11" x14ac:dyDescent="0.2">
      <c r="A1150">
        <f t="shared" si="17"/>
        <v>2314782</v>
      </c>
      <c r="B1150">
        <v>2020</v>
      </c>
      <c r="C1150" t="s">
        <v>642</v>
      </c>
      <c r="D1150" t="s">
        <v>644</v>
      </c>
      <c r="E1150" t="s">
        <v>646</v>
      </c>
      <c r="F1150" t="s">
        <v>564</v>
      </c>
      <c r="G1150" t="s">
        <v>205</v>
      </c>
      <c r="H1150">
        <v>55606</v>
      </c>
      <c r="I1150">
        <v>1239008.8361385064</v>
      </c>
      <c r="J1150">
        <v>1294614.8361385064</v>
      </c>
      <c r="K1150">
        <f>IFERROR(VLOOKUP(F1150,'LEAID Match'!$A$2:$B$236,2,FALSE),"")</f>
        <v>2314782</v>
      </c>
    </row>
    <row r="1151" spans="1:11" x14ac:dyDescent="0.2">
      <c r="A1151">
        <f t="shared" si="17"/>
        <v>2314782</v>
      </c>
      <c r="B1151">
        <v>2021</v>
      </c>
      <c r="C1151" t="s">
        <v>642</v>
      </c>
      <c r="D1151" t="s">
        <v>644</v>
      </c>
      <c r="E1151" t="s">
        <v>646</v>
      </c>
      <c r="F1151" t="s">
        <v>564</v>
      </c>
      <c r="G1151" t="s">
        <v>205</v>
      </c>
      <c r="H1151">
        <v>104408</v>
      </c>
      <c r="I1151">
        <v>1753986.5782686425</v>
      </c>
      <c r="J1151">
        <v>1858394.5782686425</v>
      </c>
      <c r="K1151">
        <f>IFERROR(VLOOKUP(F1151,'LEAID Match'!$A$2:$B$236,2,FALSE),"")</f>
        <v>2314782</v>
      </c>
    </row>
    <row r="1152" spans="1:11" x14ac:dyDescent="0.2">
      <c r="A1152">
        <f t="shared" si="17"/>
        <v>2314782</v>
      </c>
      <c r="B1152">
        <v>2022</v>
      </c>
      <c r="C1152" t="s">
        <v>642</v>
      </c>
      <c r="D1152" t="s">
        <v>644</v>
      </c>
      <c r="E1152" t="s">
        <v>646</v>
      </c>
      <c r="F1152" t="s">
        <v>564</v>
      </c>
      <c r="G1152" t="s">
        <v>205</v>
      </c>
      <c r="H1152">
        <v>129025</v>
      </c>
      <c r="I1152">
        <v>1857311.3563922902</v>
      </c>
      <c r="J1152">
        <v>1986336.3563922902</v>
      </c>
      <c r="K1152">
        <f>IFERROR(VLOOKUP(F1152,'LEAID Match'!$A$2:$B$236,2,FALSE),"")</f>
        <v>2314782</v>
      </c>
    </row>
    <row r="1153" spans="1:11" x14ac:dyDescent="0.2">
      <c r="A1153">
        <f t="shared" si="17"/>
        <v>2314788</v>
      </c>
      <c r="B1153">
        <v>2015</v>
      </c>
      <c r="C1153" t="s">
        <v>642</v>
      </c>
      <c r="D1153" t="s">
        <v>644</v>
      </c>
      <c r="E1153" t="s">
        <v>646</v>
      </c>
      <c r="F1153" t="s">
        <v>565</v>
      </c>
      <c r="G1153" t="s">
        <v>206</v>
      </c>
      <c r="H1153">
        <v>52251</v>
      </c>
      <c r="I1153">
        <v>1001841.9099208788</v>
      </c>
      <c r="J1153">
        <v>1054092.9099208787</v>
      </c>
      <c r="K1153">
        <f>IFERROR(VLOOKUP(F1153,'LEAID Match'!$A$2:$B$236,2,FALSE),"")</f>
        <v>2314788</v>
      </c>
    </row>
    <row r="1154" spans="1:11" x14ac:dyDescent="0.2">
      <c r="A1154">
        <f t="shared" si="17"/>
        <v>2314788</v>
      </c>
      <c r="B1154">
        <v>2016</v>
      </c>
      <c r="C1154" t="s">
        <v>642</v>
      </c>
      <c r="D1154" t="s">
        <v>644</v>
      </c>
      <c r="E1154" t="s">
        <v>646</v>
      </c>
      <c r="F1154" s="1" t="s">
        <v>565</v>
      </c>
      <c r="G1154" s="1" t="s">
        <v>206</v>
      </c>
      <c r="H1154" s="22">
        <v>43383</v>
      </c>
      <c r="I1154">
        <v>824476.6597244204</v>
      </c>
      <c r="J1154">
        <v>867859.6597244204</v>
      </c>
      <c r="K1154">
        <f>IFERROR(VLOOKUP(F1154,'LEAID Match'!$A$2:$B$236,2,FALSE),"")</f>
        <v>2314788</v>
      </c>
    </row>
    <row r="1155" spans="1:11" x14ac:dyDescent="0.2">
      <c r="A1155">
        <f t="shared" ref="A1155:A1218" si="18">K1155</f>
        <v>2314788</v>
      </c>
      <c r="B1155">
        <v>2017</v>
      </c>
      <c r="C1155" t="s">
        <v>642</v>
      </c>
      <c r="D1155" t="s">
        <v>644</v>
      </c>
      <c r="E1155" t="s">
        <v>646</v>
      </c>
      <c r="F1155" t="s">
        <v>565</v>
      </c>
      <c r="G1155" t="s">
        <v>206</v>
      </c>
      <c r="H1155">
        <v>43185</v>
      </c>
      <c r="I1155">
        <v>823425.57973562914</v>
      </c>
      <c r="J1155">
        <v>866610.57973562914</v>
      </c>
      <c r="K1155">
        <f>IFERROR(VLOOKUP(F1155,'LEAID Match'!$A$2:$B$236,2,FALSE),"")</f>
        <v>2314788</v>
      </c>
    </row>
    <row r="1156" spans="1:11" x14ac:dyDescent="0.2">
      <c r="A1156">
        <f t="shared" si="18"/>
        <v>2314788</v>
      </c>
      <c r="B1156">
        <v>2018</v>
      </c>
      <c r="C1156" t="s">
        <v>642</v>
      </c>
      <c r="D1156" t="s">
        <v>644</v>
      </c>
      <c r="E1156" t="s">
        <v>646</v>
      </c>
      <c r="F1156" t="s">
        <v>565</v>
      </c>
      <c r="G1156" t="s">
        <v>206</v>
      </c>
      <c r="H1156">
        <v>44812</v>
      </c>
      <c r="I1156">
        <v>908307.59507742035</v>
      </c>
      <c r="J1156">
        <v>953119.59507742035</v>
      </c>
      <c r="K1156">
        <f>IFERROR(VLOOKUP(F1156,'LEAID Match'!$A$2:$B$236,2,FALSE),"")</f>
        <v>2314788</v>
      </c>
    </row>
    <row r="1157" spans="1:11" x14ac:dyDescent="0.2">
      <c r="A1157">
        <f t="shared" si="18"/>
        <v>2314788</v>
      </c>
      <c r="B1157">
        <v>2019</v>
      </c>
      <c r="C1157" t="s">
        <v>642</v>
      </c>
      <c r="D1157" t="s">
        <v>644</v>
      </c>
      <c r="E1157" t="s">
        <v>646</v>
      </c>
      <c r="F1157" t="s">
        <v>565</v>
      </c>
      <c r="G1157" t="s">
        <v>206</v>
      </c>
      <c r="H1157">
        <v>40125</v>
      </c>
      <c r="I1157">
        <v>859639.46066421364</v>
      </c>
      <c r="J1157">
        <v>899764.46066421364</v>
      </c>
      <c r="K1157">
        <f>IFERROR(VLOOKUP(F1157,'LEAID Match'!$A$2:$B$236,2,FALSE),"")</f>
        <v>2314788</v>
      </c>
    </row>
    <row r="1158" spans="1:11" x14ac:dyDescent="0.2">
      <c r="A1158">
        <f t="shared" si="18"/>
        <v>2314788</v>
      </c>
      <c r="B1158">
        <v>2020</v>
      </c>
      <c r="C1158" t="s">
        <v>642</v>
      </c>
      <c r="D1158" t="s">
        <v>644</v>
      </c>
      <c r="E1158" t="s">
        <v>646</v>
      </c>
      <c r="F1158" t="s">
        <v>565</v>
      </c>
      <c r="G1158" t="s">
        <v>206</v>
      </c>
      <c r="H1158">
        <v>59503</v>
      </c>
      <c r="I1158">
        <v>1325841.5058941399</v>
      </c>
      <c r="J1158">
        <v>1385344.5058941399</v>
      </c>
      <c r="K1158">
        <f>IFERROR(VLOOKUP(F1158,'LEAID Match'!$A$2:$B$236,2,FALSE),"")</f>
        <v>2314788</v>
      </c>
    </row>
    <row r="1159" spans="1:11" x14ac:dyDescent="0.2">
      <c r="A1159">
        <f t="shared" si="18"/>
        <v>2314788</v>
      </c>
      <c r="B1159">
        <v>2021</v>
      </c>
      <c r="C1159" t="s">
        <v>642</v>
      </c>
      <c r="D1159" t="s">
        <v>644</v>
      </c>
      <c r="E1159" t="s">
        <v>646</v>
      </c>
      <c r="F1159" t="s">
        <v>565</v>
      </c>
      <c r="G1159" t="s">
        <v>206</v>
      </c>
      <c r="H1159">
        <v>74893</v>
      </c>
      <c r="I1159">
        <v>1258153.7507305327</v>
      </c>
      <c r="J1159">
        <v>1333046.7507305327</v>
      </c>
      <c r="K1159">
        <f>IFERROR(VLOOKUP(F1159,'LEAID Match'!$A$2:$B$236,2,FALSE),"")</f>
        <v>2314788</v>
      </c>
    </row>
    <row r="1160" spans="1:11" x14ac:dyDescent="0.2">
      <c r="A1160">
        <f t="shared" si="18"/>
        <v>2314788</v>
      </c>
      <c r="B1160">
        <v>2022</v>
      </c>
      <c r="C1160" t="s">
        <v>642</v>
      </c>
      <c r="D1160" t="s">
        <v>644</v>
      </c>
      <c r="E1160" t="s">
        <v>646</v>
      </c>
      <c r="F1160" t="s">
        <v>565</v>
      </c>
      <c r="G1160" t="s">
        <v>206</v>
      </c>
      <c r="H1160">
        <v>96128</v>
      </c>
      <c r="I1160">
        <v>1383759.9385179467</v>
      </c>
      <c r="J1160">
        <v>1479887.9385179467</v>
      </c>
      <c r="K1160">
        <f>IFERROR(VLOOKUP(F1160,'LEAID Match'!$A$2:$B$236,2,FALSE),"")</f>
        <v>2314788</v>
      </c>
    </row>
    <row r="1161" spans="1:11" x14ac:dyDescent="0.2">
      <c r="A1161">
        <f t="shared" si="18"/>
        <v>2314794</v>
      </c>
      <c r="B1161">
        <v>2015</v>
      </c>
      <c r="C1161" t="s">
        <v>642</v>
      </c>
      <c r="D1161" t="s">
        <v>644</v>
      </c>
      <c r="E1161" t="s">
        <v>646</v>
      </c>
      <c r="F1161" t="s">
        <v>566</v>
      </c>
      <c r="G1161" t="s">
        <v>207</v>
      </c>
      <c r="H1161">
        <v>59233</v>
      </c>
      <c r="I1161">
        <v>1135712.270585126</v>
      </c>
      <c r="J1161">
        <v>1194945.270585126</v>
      </c>
      <c r="K1161">
        <f>IFERROR(VLOOKUP(F1161,'LEAID Match'!$A$2:$B$236,2,FALSE),"")</f>
        <v>2314794</v>
      </c>
    </row>
    <row r="1162" spans="1:11" x14ac:dyDescent="0.2">
      <c r="A1162">
        <f t="shared" si="18"/>
        <v>2314794</v>
      </c>
      <c r="B1162">
        <v>2016</v>
      </c>
      <c r="C1162" t="s">
        <v>642</v>
      </c>
      <c r="D1162" t="s">
        <v>644</v>
      </c>
      <c r="E1162" t="s">
        <v>646</v>
      </c>
      <c r="F1162" s="1" t="s">
        <v>566</v>
      </c>
      <c r="G1162" s="1" t="s">
        <v>207</v>
      </c>
      <c r="H1162" s="22">
        <v>48506</v>
      </c>
      <c r="I1162">
        <v>921837.23708809284</v>
      </c>
      <c r="J1162">
        <v>970343.23708809284</v>
      </c>
      <c r="K1162">
        <f>IFERROR(VLOOKUP(F1162,'LEAID Match'!$A$2:$B$236,2,FALSE),"")</f>
        <v>2314794</v>
      </c>
    </row>
    <row r="1163" spans="1:11" x14ac:dyDescent="0.2">
      <c r="A1163">
        <f t="shared" si="18"/>
        <v>2314794</v>
      </c>
      <c r="B1163">
        <v>2017</v>
      </c>
      <c r="C1163" t="s">
        <v>642</v>
      </c>
      <c r="D1163" t="s">
        <v>644</v>
      </c>
      <c r="E1163" t="s">
        <v>646</v>
      </c>
      <c r="F1163" t="s">
        <v>566</v>
      </c>
      <c r="G1163" t="s">
        <v>207</v>
      </c>
      <c r="H1163">
        <v>50565</v>
      </c>
      <c r="I1163">
        <v>964142.97648100229</v>
      </c>
      <c r="J1163">
        <v>1014707.9764810023</v>
      </c>
      <c r="K1163">
        <f>IFERROR(VLOOKUP(F1163,'LEAID Match'!$A$2:$B$236,2,FALSE),"")</f>
        <v>2314794</v>
      </c>
    </row>
    <row r="1164" spans="1:11" x14ac:dyDescent="0.2">
      <c r="A1164">
        <f t="shared" si="18"/>
        <v>2314794</v>
      </c>
      <c r="B1164">
        <v>2018</v>
      </c>
      <c r="C1164" t="s">
        <v>642</v>
      </c>
      <c r="D1164" t="s">
        <v>644</v>
      </c>
      <c r="E1164" t="s">
        <v>646</v>
      </c>
      <c r="F1164" t="s">
        <v>566</v>
      </c>
      <c r="G1164" t="s">
        <v>207</v>
      </c>
      <c r="H1164">
        <v>49503</v>
      </c>
      <c r="I1164">
        <v>1003390.8524305441</v>
      </c>
      <c r="J1164">
        <v>1052893.8524305441</v>
      </c>
      <c r="K1164">
        <f>IFERROR(VLOOKUP(F1164,'LEAID Match'!$A$2:$B$236,2,FALSE),"")</f>
        <v>2314794</v>
      </c>
    </row>
    <row r="1165" spans="1:11" x14ac:dyDescent="0.2">
      <c r="A1165">
        <f t="shared" si="18"/>
        <v>2314794</v>
      </c>
      <c r="B1165">
        <v>2019</v>
      </c>
      <c r="C1165" t="s">
        <v>642</v>
      </c>
      <c r="D1165" t="s">
        <v>644</v>
      </c>
      <c r="E1165" t="s">
        <v>646</v>
      </c>
      <c r="F1165" t="s">
        <v>566</v>
      </c>
      <c r="G1165" t="s">
        <v>207</v>
      </c>
      <c r="H1165">
        <v>51164</v>
      </c>
      <c r="I1165">
        <v>1096139.3985152354</v>
      </c>
      <c r="J1165">
        <v>1147303.3985152354</v>
      </c>
      <c r="K1165">
        <f>IFERROR(VLOOKUP(F1165,'LEAID Match'!$A$2:$B$236,2,FALSE),"")</f>
        <v>2314794</v>
      </c>
    </row>
    <row r="1166" spans="1:11" x14ac:dyDescent="0.2">
      <c r="A1166">
        <f t="shared" si="18"/>
        <v>2314794</v>
      </c>
      <c r="B1166">
        <v>2020</v>
      </c>
      <c r="C1166" t="s">
        <v>642</v>
      </c>
      <c r="D1166" t="s">
        <v>644</v>
      </c>
      <c r="E1166" t="s">
        <v>646</v>
      </c>
      <c r="F1166" t="s">
        <v>566</v>
      </c>
      <c r="G1166" t="s">
        <v>207</v>
      </c>
      <c r="H1166">
        <v>53917</v>
      </c>
      <c r="I1166">
        <v>1201374.661332947</v>
      </c>
      <c r="J1166">
        <v>1255291.661332947</v>
      </c>
      <c r="K1166">
        <f>IFERROR(VLOOKUP(F1166,'LEAID Match'!$A$2:$B$236,2,FALSE),"")</f>
        <v>2314794</v>
      </c>
    </row>
    <row r="1167" spans="1:11" x14ac:dyDescent="0.2">
      <c r="A1167">
        <f t="shared" si="18"/>
        <v>2314794</v>
      </c>
      <c r="B1167">
        <v>2021</v>
      </c>
      <c r="C1167" t="s">
        <v>642</v>
      </c>
      <c r="D1167" t="s">
        <v>644</v>
      </c>
      <c r="E1167" t="s">
        <v>646</v>
      </c>
      <c r="F1167" t="s">
        <v>566</v>
      </c>
      <c r="G1167" t="s">
        <v>207</v>
      </c>
      <c r="H1167">
        <v>72007</v>
      </c>
      <c r="I1167">
        <v>1209670.8254289918</v>
      </c>
      <c r="J1167">
        <v>1281677.8254289918</v>
      </c>
      <c r="K1167">
        <f>IFERROR(VLOOKUP(F1167,'LEAID Match'!$A$2:$B$236,2,FALSE),"")</f>
        <v>2314794</v>
      </c>
    </row>
    <row r="1168" spans="1:11" x14ac:dyDescent="0.2">
      <c r="A1168">
        <f t="shared" si="18"/>
        <v>2314794</v>
      </c>
      <c r="B1168">
        <v>2022</v>
      </c>
      <c r="C1168" t="s">
        <v>642</v>
      </c>
      <c r="D1168" t="s">
        <v>644</v>
      </c>
      <c r="E1168" t="s">
        <v>646</v>
      </c>
      <c r="F1168" t="s">
        <v>566</v>
      </c>
      <c r="G1168" t="s">
        <v>207</v>
      </c>
      <c r="H1168">
        <v>107540</v>
      </c>
      <c r="I1168">
        <v>1548035.3673042194</v>
      </c>
      <c r="J1168">
        <v>1655575.3673042194</v>
      </c>
      <c r="K1168">
        <f>IFERROR(VLOOKUP(F1168,'LEAID Match'!$A$2:$B$236,2,FALSE),"")</f>
        <v>2314794</v>
      </c>
    </row>
    <row r="1169" spans="1:11" x14ac:dyDescent="0.2">
      <c r="A1169">
        <f t="shared" si="18"/>
        <v>2314806</v>
      </c>
      <c r="B1169">
        <v>2015</v>
      </c>
      <c r="C1169" t="s">
        <v>642</v>
      </c>
      <c r="D1169" t="s">
        <v>644</v>
      </c>
      <c r="E1169" t="s">
        <v>646</v>
      </c>
      <c r="F1169" t="s">
        <v>567</v>
      </c>
      <c r="G1169" t="s">
        <v>208</v>
      </c>
      <c r="H1169">
        <v>44544</v>
      </c>
      <c r="I1169">
        <v>854070.65961446916</v>
      </c>
      <c r="J1169">
        <v>898614.65961446916</v>
      </c>
      <c r="K1169">
        <f>IFERROR(VLOOKUP(F1169,'LEAID Match'!$A$2:$B$236,2,FALSE),"")</f>
        <v>2314806</v>
      </c>
    </row>
    <row r="1170" spans="1:11" x14ac:dyDescent="0.2">
      <c r="A1170">
        <f t="shared" si="18"/>
        <v>2314806</v>
      </c>
      <c r="B1170">
        <v>2016</v>
      </c>
      <c r="C1170" t="s">
        <v>642</v>
      </c>
      <c r="D1170" t="s">
        <v>644</v>
      </c>
      <c r="E1170" t="s">
        <v>646</v>
      </c>
      <c r="F1170" s="1" t="s">
        <v>567</v>
      </c>
      <c r="G1170" s="1" t="s">
        <v>208</v>
      </c>
      <c r="H1170" s="22">
        <v>38981</v>
      </c>
      <c r="I1170">
        <v>740818.40058819414</v>
      </c>
      <c r="J1170">
        <v>779799.40058819414</v>
      </c>
      <c r="K1170">
        <f>IFERROR(VLOOKUP(F1170,'LEAID Match'!$A$2:$B$236,2,FALSE),"")</f>
        <v>2314806</v>
      </c>
    </row>
    <row r="1171" spans="1:11" x14ac:dyDescent="0.2">
      <c r="A1171">
        <f t="shared" si="18"/>
        <v>2314806</v>
      </c>
      <c r="B1171">
        <v>2017</v>
      </c>
      <c r="C1171" t="s">
        <v>642</v>
      </c>
      <c r="D1171" t="s">
        <v>644</v>
      </c>
      <c r="E1171" t="s">
        <v>646</v>
      </c>
      <c r="F1171" t="s">
        <v>567</v>
      </c>
      <c r="G1171" t="s">
        <v>208</v>
      </c>
      <c r="H1171">
        <v>39837</v>
      </c>
      <c r="I1171">
        <v>759587.9314560208</v>
      </c>
      <c r="J1171">
        <v>799424.9314560208</v>
      </c>
      <c r="K1171">
        <f>IFERROR(VLOOKUP(F1171,'LEAID Match'!$A$2:$B$236,2,FALSE),"")</f>
        <v>2314806</v>
      </c>
    </row>
    <row r="1172" spans="1:11" x14ac:dyDescent="0.2">
      <c r="A1172">
        <f t="shared" si="18"/>
        <v>2314806</v>
      </c>
      <c r="B1172">
        <v>2018</v>
      </c>
      <c r="C1172" t="s">
        <v>642</v>
      </c>
      <c r="D1172" t="s">
        <v>644</v>
      </c>
      <c r="E1172" t="s">
        <v>646</v>
      </c>
      <c r="F1172" t="s">
        <v>567</v>
      </c>
      <c r="G1172" t="s">
        <v>208</v>
      </c>
      <c r="H1172">
        <v>42337</v>
      </c>
      <c r="I1172">
        <v>858141.09284996765</v>
      </c>
      <c r="J1172">
        <v>900478.09284996765</v>
      </c>
      <c r="K1172">
        <f>IFERROR(VLOOKUP(F1172,'LEAID Match'!$A$2:$B$236,2,FALSE),"")</f>
        <v>2314806</v>
      </c>
    </row>
    <row r="1173" spans="1:11" x14ac:dyDescent="0.2">
      <c r="A1173">
        <f t="shared" si="18"/>
        <v>2314806</v>
      </c>
      <c r="B1173">
        <v>2019</v>
      </c>
      <c r="C1173" t="s">
        <v>642</v>
      </c>
      <c r="D1173" t="s">
        <v>644</v>
      </c>
      <c r="E1173" t="s">
        <v>646</v>
      </c>
      <c r="F1173" t="s">
        <v>567</v>
      </c>
      <c r="G1173" t="s">
        <v>208</v>
      </c>
      <c r="H1173">
        <v>21651</v>
      </c>
      <c r="I1173">
        <v>463851.81215802842</v>
      </c>
      <c r="J1173">
        <v>485502.81215802842</v>
      </c>
      <c r="K1173">
        <f>IFERROR(VLOOKUP(F1173,'LEAID Match'!$A$2:$B$236,2,FALSE),"")</f>
        <v>2314806</v>
      </c>
    </row>
    <row r="1174" spans="1:11" x14ac:dyDescent="0.2">
      <c r="A1174">
        <f t="shared" si="18"/>
        <v>2314806</v>
      </c>
      <c r="B1174">
        <v>2020</v>
      </c>
      <c r="C1174" t="s">
        <v>642</v>
      </c>
      <c r="D1174" t="s">
        <v>644</v>
      </c>
      <c r="E1174" t="s">
        <v>646</v>
      </c>
      <c r="F1174" t="s">
        <v>567</v>
      </c>
      <c r="G1174" t="s">
        <v>208</v>
      </c>
      <c r="H1174">
        <v>31484</v>
      </c>
      <c r="I1174">
        <v>701524.19157977076</v>
      </c>
      <c r="J1174">
        <v>733008.19157977076</v>
      </c>
      <c r="K1174">
        <f>IFERROR(VLOOKUP(F1174,'LEAID Match'!$A$2:$B$236,2,FALSE),"")</f>
        <v>2314806</v>
      </c>
    </row>
    <row r="1175" spans="1:11" x14ac:dyDescent="0.2">
      <c r="A1175">
        <f t="shared" si="18"/>
        <v>2314806</v>
      </c>
      <c r="B1175">
        <v>2021</v>
      </c>
      <c r="C1175" t="s">
        <v>642</v>
      </c>
      <c r="D1175" t="s">
        <v>644</v>
      </c>
      <c r="E1175" t="s">
        <v>646</v>
      </c>
      <c r="F1175" t="s">
        <v>567</v>
      </c>
      <c r="G1175" t="s">
        <v>208</v>
      </c>
      <c r="H1175">
        <v>22995</v>
      </c>
      <c r="I1175">
        <v>386301.06282360974</v>
      </c>
      <c r="J1175">
        <v>409296.06282360974</v>
      </c>
      <c r="K1175">
        <f>IFERROR(VLOOKUP(F1175,'LEAID Match'!$A$2:$B$236,2,FALSE),"")</f>
        <v>2314806</v>
      </c>
    </row>
    <row r="1176" spans="1:11" x14ac:dyDescent="0.2">
      <c r="A1176">
        <f t="shared" si="18"/>
        <v>2314806</v>
      </c>
      <c r="B1176">
        <v>2022</v>
      </c>
      <c r="C1176" t="s">
        <v>642</v>
      </c>
      <c r="D1176" t="s">
        <v>644</v>
      </c>
      <c r="E1176" t="s">
        <v>646</v>
      </c>
      <c r="F1176" t="s">
        <v>567</v>
      </c>
      <c r="G1176" t="s">
        <v>208</v>
      </c>
      <c r="H1176">
        <v>39379</v>
      </c>
      <c r="I1176">
        <v>566859.63110538269</v>
      </c>
      <c r="J1176">
        <v>606238.63110538269</v>
      </c>
      <c r="K1176">
        <f>IFERROR(VLOOKUP(F1176,'LEAID Match'!$A$2:$B$236,2,FALSE),"")</f>
        <v>2314806</v>
      </c>
    </row>
    <row r="1177" spans="1:11" x14ac:dyDescent="0.2">
      <c r="A1177">
        <f t="shared" si="18"/>
        <v>2314833</v>
      </c>
      <c r="B1177">
        <v>2018</v>
      </c>
      <c r="C1177" t="s">
        <v>642</v>
      </c>
      <c r="D1177" t="s">
        <v>644</v>
      </c>
      <c r="E1177" t="s">
        <v>646</v>
      </c>
      <c r="F1177" t="s">
        <v>624</v>
      </c>
      <c r="G1177" t="s">
        <v>625</v>
      </c>
      <c r="H1177">
        <v>29892</v>
      </c>
      <c r="I1177">
        <v>605889.73114465433</v>
      </c>
      <c r="J1177">
        <v>635781.73114465433</v>
      </c>
      <c r="K1177">
        <f>IFERROR(VLOOKUP(F1177,'LEAID Match'!$A$2:$B$236,2,FALSE),"")</f>
        <v>2314833</v>
      </c>
    </row>
    <row r="1178" spans="1:11" x14ac:dyDescent="0.2">
      <c r="A1178">
        <f t="shared" si="18"/>
        <v>2314833</v>
      </c>
      <c r="B1178">
        <v>2019</v>
      </c>
      <c r="C1178" t="s">
        <v>642</v>
      </c>
      <c r="D1178" t="s">
        <v>644</v>
      </c>
      <c r="E1178" t="s">
        <v>646</v>
      </c>
      <c r="F1178" t="s">
        <v>624</v>
      </c>
      <c r="G1178" t="s">
        <v>625</v>
      </c>
      <c r="H1178">
        <v>39233</v>
      </c>
      <c r="I1178">
        <v>840529.22019287455</v>
      </c>
      <c r="J1178">
        <v>879762.22019287455</v>
      </c>
      <c r="K1178">
        <f>IFERROR(VLOOKUP(F1178,'LEAID Match'!$A$2:$B$236,2,FALSE),"")</f>
        <v>2314833</v>
      </c>
    </row>
    <row r="1179" spans="1:11" x14ac:dyDescent="0.2">
      <c r="A1179">
        <f t="shared" si="18"/>
        <v>2314833</v>
      </c>
      <c r="B1179">
        <v>2020</v>
      </c>
      <c r="C1179" t="s">
        <v>642</v>
      </c>
      <c r="D1179" t="s">
        <v>644</v>
      </c>
      <c r="E1179" t="s">
        <v>646</v>
      </c>
      <c r="F1179" t="s">
        <v>624</v>
      </c>
      <c r="G1179" t="s">
        <v>625</v>
      </c>
      <c r="H1179">
        <v>48837</v>
      </c>
      <c r="I1179">
        <v>1088182.4718644794</v>
      </c>
      <c r="J1179">
        <v>1137019.4718644794</v>
      </c>
      <c r="K1179">
        <f>IFERROR(VLOOKUP(F1179,'LEAID Match'!$A$2:$B$236,2,FALSE),"")</f>
        <v>2314833</v>
      </c>
    </row>
    <row r="1180" spans="1:11" x14ac:dyDescent="0.2">
      <c r="A1180">
        <f t="shared" si="18"/>
        <v>2314833</v>
      </c>
      <c r="B1180">
        <v>2021</v>
      </c>
      <c r="C1180" t="s">
        <v>642</v>
      </c>
      <c r="D1180" t="s">
        <v>644</v>
      </c>
      <c r="E1180" t="s">
        <v>646</v>
      </c>
      <c r="F1180" t="s">
        <v>624</v>
      </c>
      <c r="G1180" t="s">
        <v>625</v>
      </c>
      <c r="H1180">
        <v>64993</v>
      </c>
      <c r="I1180">
        <v>1091840.181608822</v>
      </c>
      <c r="J1180">
        <v>1156833.181608822</v>
      </c>
      <c r="K1180">
        <f>IFERROR(VLOOKUP(F1180,'LEAID Match'!$A$2:$B$236,2,FALSE),"")</f>
        <v>2314833</v>
      </c>
    </row>
    <row r="1181" spans="1:11" x14ac:dyDescent="0.2">
      <c r="A1181">
        <f t="shared" si="18"/>
        <v>2314833</v>
      </c>
      <c r="B1181">
        <v>2022</v>
      </c>
      <c r="C1181" t="s">
        <v>642</v>
      </c>
      <c r="D1181" t="s">
        <v>644</v>
      </c>
      <c r="E1181" t="s">
        <v>646</v>
      </c>
      <c r="F1181" t="s">
        <v>624</v>
      </c>
      <c r="G1181" t="s">
        <v>625</v>
      </c>
      <c r="H1181">
        <v>84530</v>
      </c>
      <c r="I1181">
        <v>1216807.0448040324</v>
      </c>
      <c r="J1181">
        <v>1301337.0448040324</v>
      </c>
      <c r="K1181">
        <f>IFERROR(VLOOKUP(F1181,'LEAID Match'!$A$2:$B$236,2,FALSE),"")</f>
        <v>2314833</v>
      </c>
    </row>
    <row r="1182" spans="1:11" x14ac:dyDescent="0.2">
      <c r="A1182">
        <f t="shared" si="18"/>
        <v>2314822</v>
      </c>
      <c r="B1182">
        <v>2016</v>
      </c>
      <c r="C1182" t="s">
        <v>642</v>
      </c>
      <c r="D1182" t="s">
        <v>644</v>
      </c>
      <c r="E1182" t="s">
        <v>646</v>
      </c>
      <c r="F1182" s="1" t="s">
        <v>568</v>
      </c>
      <c r="G1182" s="1" t="s">
        <v>569</v>
      </c>
      <c r="H1182" s="22">
        <v>55819</v>
      </c>
      <c r="I1182">
        <v>1060817.8933950493</v>
      </c>
      <c r="J1182">
        <v>1116636.8933950493</v>
      </c>
      <c r="K1182">
        <f>IFERROR(VLOOKUP(F1182,'LEAID Match'!$A$2:$B$236,2,FALSE),"")</f>
        <v>2314822</v>
      </c>
    </row>
    <row r="1183" spans="1:11" x14ac:dyDescent="0.2">
      <c r="A1183">
        <f t="shared" si="18"/>
        <v>2314822</v>
      </c>
      <c r="B1183">
        <v>2017</v>
      </c>
      <c r="C1183" t="s">
        <v>642</v>
      </c>
      <c r="D1183" t="s">
        <v>644</v>
      </c>
      <c r="E1183" t="s">
        <v>646</v>
      </c>
      <c r="F1183" t="s">
        <v>568</v>
      </c>
      <c r="G1183" t="s">
        <v>569</v>
      </c>
      <c r="H1183">
        <v>61466</v>
      </c>
      <c r="I1183">
        <v>1171996.681348389</v>
      </c>
      <c r="J1183">
        <v>1233462.681348389</v>
      </c>
      <c r="K1183">
        <f>IFERROR(VLOOKUP(F1183,'LEAID Match'!$A$2:$B$236,2,FALSE),"")</f>
        <v>2314822</v>
      </c>
    </row>
    <row r="1184" spans="1:11" x14ac:dyDescent="0.2">
      <c r="A1184">
        <f t="shared" si="18"/>
        <v>2314822</v>
      </c>
      <c r="B1184">
        <v>2018</v>
      </c>
      <c r="C1184" t="s">
        <v>642</v>
      </c>
      <c r="D1184" t="s">
        <v>644</v>
      </c>
      <c r="E1184" t="s">
        <v>646</v>
      </c>
      <c r="F1184" t="s">
        <v>568</v>
      </c>
      <c r="G1184" t="s">
        <v>569</v>
      </c>
      <c r="H1184">
        <v>51703</v>
      </c>
      <c r="I1184">
        <v>1047983.2988549465</v>
      </c>
      <c r="J1184">
        <v>1099686.2988549466</v>
      </c>
      <c r="K1184">
        <f>IFERROR(VLOOKUP(F1184,'LEAID Match'!$A$2:$B$236,2,FALSE),"")</f>
        <v>2314822</v>
      </c>
    </row>
    <row r="1185" spans="1:11" x14ac:dyDescent="0.2">
      <c r="A1185">
        <f t="shared" si="18"/>
        <v>2314822</v>
      </c>
      <c r="B1185">
        <v>2019</v>
      </c>
      <c r="C1185" t="s">
        <v>642</v>
      </c>
      <c r="D1185" t="s">
        <v>644</v>
      </c>
      <c r="E1185" t="s">
        <v>646</v>
      </c>
      <c r="F1185" t="s">
        <v>568</v>
      </c>
      <c r="G1185" t="s">
        <v>569</v>
      </c>
      <c r="H1185">
        <v>65200</v>
      </c>
      <c r="I1185">
        <v>1396847.1734655884</v>
      </c>
      <c r="J1185">
        <v>1462047.1734655884</v>
      </c>
      <c r="K1185">
        <f>IFERROR(VLOOKUP(F1185,'LEAID Match'!$A$2:$B$236,2,FALSE),"")</f>
        <v>2314822</v>
      </c>
    </row>
    <row r="1186" spans="1:11" x14ac:dyDescent="0.2">
      <c r="A1186">
        <f t="shared" si="18"/>
        <v>2314822</v>
      </c>
      <c r="B1186">
        <v>2020</v>
      </c>
      <c r="C1186" t="s">
        <v>642</v>
      </c>
      <c r="D1186" t="s">
        <v>644</v>
      </c>
      <c r="E1186" t="s">
        <v>646</v>
      </c>
      <c r="F1186" t="s">
        <v>568</v>
      </c>
      <c r="G1186" t="s">
        <v>569</v>
      </c>
      <c r="H1186">
        <v>51374</v>
      </c>
      <c r="I1186">
        <v>1144711.720817531</v>
      </c>
      <c r="J1186">
        <v>1196085.720817531</v>
      </c>
      <c r="K1186">
        <f>IFERROR(VLOOKUP(F1186,'LEAID Match'!$A$2:$B$236,2,FALSE),"")</f>
        <v>2314822</v>
      </c>
    </row>
    <row r="1187" spans="1:11" x14ac:dyDescent="0.2">
      <c r="A1187">
        <f t="shared" si="18"/>
        <v>2314822</v>
      </c>
      <c r="B1187">
        <v>2021</v>
      </c>
      <c r="C1187" t="s">
        <v>642</v>
      </c>
      <c r="D1187" t="s">
        <v>644</v>
      </c>
      <c r="E1187" t="s">
        <v>646</v>
      </c>
      <c r="F1187" t="s">
        <v>568</v>
      </c>
      <c r="G1187" t="s">
        <v>569</v>
      </c>
      <c r="H1187">
        <v>162136</v>
      </c>
      <c r="I1187">
        <v>2723779.4791027955</v>
      </c>
      <c r="J1187">
        <v>2885915.4791027955</v>
      </c>
      <c r="K1187">
        <f>IFERROR(VLOOKUP(F1187,'LEAID Match'!$A$2:$B$236,2,FALSE),"")</f>
        <v>2314822</v>
      </c>
    </row>
    <row r="1188" spans="1:11" x14ac:dyDescent="0.2">
      <c r="A1188">
        <f t="shared" si="18"/>
        <v>2314822</v>
      </c>
      <c r="B1188">
        <v>2022</v>
      </c>
      <c r="C1188" t="s">
        <v>642</v>
      </c>
      <c r="D1188" t="s">
        <v>644</v>
      </c>
      <c r="E1188" t="s">
        <v>646</v>
      </c>
      <c r="F1188" t="s">
        <v>568</v>
      </c>
      <c r="G1188" t="s">
        <v>569</v>
      </c>
      <c r="H1188">
        <v>166170</v>
      </c>
      <c r="I1188">
        <v>2392012.6184205143</v>
      </c>
      <c r="J1188">
        <v>2558182.6184205143</v>
      </c>
      <c r="K1188">
        <f>IFERROR(VLOOKUP(F1188,'LEAID Match'!$A$2:$B$236,2,FALSE),"")</f>
        <v>2314822</v>
      </c>
    </row>
    <row r="1189" spans="1:11" x14ac:dyDescent="0.2">
      <c r="A1189">
        <f t="shared" si="18"/>
        <v>2314805</v>
      </c>
      <c r="B1189">
        <v>2015</v>
      </c>
      <c r="C1189" t="s">
        <v>642</v>
      </c>
      <c r="D1189" t="s">
        <v>644</v>
      </c>
      <c r="E1189" t="s">
        <v>646</v>
      </c>
      <c r="F1189" t="s">
        <v>570</v>
      </c>
      <c r="G1189" t="s">
        <v>209</v>
      </c>
      <c r="H1189">
        <v>76371</v>
      </c>
      <c r="I1189">
        <v>1464310.1280849639</v>
      </c>
      <c r="J1189">
        <v>1540681.1280849639</v>
      </c>
      <c r="K1189">
        <f>IFERROR(VLOOKUP(F1189,'LEAID Match'!$A$2:$B$236,2,FALSE),"")</f>
        <v>2314805</v>
      </c>
    </row>
    <row r="1190" spans="1:11" x14ac:dyDescent="0.2">
      <c r="A1190">
        <f t="shared" si="18"/>
        <v>2314805</v>
      </c>
      <c r="B1190">
        <v>2016</v>
      </c>
      <c r="C1190" t="s">
        <v>642</v>
      </c>
      <c r="D1190" t="s">
        <v>644</v>
      </c>
      <c r="E1190" t="s">
        <v>646</v>
      </c>
      <c r="F1190" s="1" t="s">
        <v>570</v>
      </c>
      <c r="G1190" s="1" t="s">
        <v>209</v>
      </c>
      <c r="H1190" s="22">
        <v>64748</v>
      </c>
      <c r="I1190">
        <v>1230509.9869496524</v>
      </c>
      <c r="J1190">
        <v>1295257.9869496524</v>
      </c>
      <c r="K1190">
        <f>IFERROR(VLOOKUP(F1190,'LEAID Match'!$A$2:$B$236,2,FALSE),"")</f>
        <v>2314805</v>
      </c>
    </row>
    <row r="1191" spans="1:11" x14ac:dyDescent="0.2">
      <c r="A1191">
        <f t="shared" si="18"/>
        <v>2314805</v>
      </c>
      <c r="B1191">
        <v>2017</v>
      </c>
      <c r="C1191" t="s">
        <v>642</v>
      </c>
      <c r="D1191" t="s">
        <v>644</v>
      </c>
      <c r="E1191" t="s">
        <v>646</v>
      </c>
      <c r="F1191" t="s">
        <v>570</v>
      </c>
      <c r="G1191" t="s">
        <v>209</v>
      </c>
      <c r="H1191">
        <v>58837</v>
      </c>
      <c r="I1191">
        <v>1121868.4921825915</v>
      </c>
      <c r="J1191">
        <v>1180705.4921825915</v>
      </c>
      <c r="K1191">
        <f>IFERROR(VLOOKUP(F1191,'LEAID Match'!$A$2:$B$236,2,FALSE),"")</f>
        <v>2314805</v>
      </c>
    </row>
    <row r="1192" spans="1:11" x14ac:dyDescent="0.2">
      <c r="A1192">
        <f t="shared" si="18"/>
        <v>2314805</v>
      </c>
      <c r="B1192">
        <v>2018</v>
      </c>
      <c r="C1192" t="s">
        <v>642</v>
      </c>
      <c r="D1192" t="s">
        <v>644</v>
      </c>
      <c r="E1192" t="s">
        <v>646</v>
      </c>
      <c r="F1192" t="s">
        <v>570</v>
      </c>
      <c r="G1192" t="s">
        <v>209</v>
      </c>
      <c r="H1192">
        <v>60276</v>
      </c>
      <c r="I1192">
        <v>1221751.9548533114</v>
      </c>
      <c r="J1192">
        <v>1282027.9548533114</v>
      </c>
      <c r="K1192">
        <f>IFERROR(VLOOKUP(F1192,'LEAID Match'!$A$2:$B$236,2,FALSE),"")</f>
        <v>2314805</v>
      </c>
    </row>
    <row r="1193" spans="1:11" x14ac:dyDescent="0.2">
      <c r="A1193">
        <f t="shared" si="18"/>
        <v>2314805</v>
      </c>
      <c r="B1193">
        <v>2019</v>
      </c>
      <c r="C1193" t="s">
        <v>642</v>
      </c>
      <c r="D1193" t="s">
        <v>644</v>
      </c>
      <c r="E1193" t="s">
        <v>646</v>
      </c>
      <c r="F1193" t="s">
        <v>570</v>
      </c>
      <c r="G1193" t="s">
        <v>209</v>
      </c>
      <c r="H1193">
        <v>63393</v>
      </c>
      <c r="I1193">
        <v>1358133.9396856446</v>
      </c>
      <c r="J1193">
        <v>1421526.9396856446</v>
      </c>
      <c r="K1193">
        <f>IFERROR(VLOOKUP(F1193,'LEAID Match'!$A$2:$B$236,2,FALSE),"")</f>
        <v>2314805</v>
      </c>
    </row>
    <row r="1194" spans="1:11" x14ac:dyDescent="0.2">
      <c r="A1194">
        <f t="shared" si="18"/>
        <v>2314805</v>
      </c>
      <c r="B1194">
        <v>2020</v>
      </c>
      <c r="C1194" t="s">
        <v>642</v>
      </c>
      <c r="D1194" t="s">
        <v>644</v>
      </c>
      <c r="E1194" t="s">
        <v>646</v>
      </c>
      <c r="F1194" t="s">
        <v>570</v>
      </c>
      <c r="G1194" t="s">
        <v>209</v>
      </c>
      <c r="H1194">
        <v>79913</v>
      </c>
      <c r="I1194">
        <v>1780615.6372034755</v>
      </c>
      <c r="J1194">
        <v>1860528.6372034755</v>
      </c>
      <c r="K1194">
        <f>IFERROR(VLOOKUP(F1194,'LEAID Match'!$A$2:$B$236,2,FALSE),"")</f>
        <v>2314805</v>
      </c>
    </row>
    <row r="1195" spans="1:11" x14ac:dyDescent="0.2">
      <c r="A1195">
        <f t="shared" si="18"/>
        <v>2314805</v>
      </c>
      <c r="B1195">
        <v>2021</v>
      </c>
      <c r="C1195" t="s">
        <v>642</v>
      </c>
      <c r="D1195" t="s">
        <v>644</v>
      </c>
      <c r="E1195" t="s">
        <v>646</v>
      </c>
      <c r="F1195" t="s">
        <v>570</v>
      </c>
      <c r="G1195" t="s">
        <v>209</v>
      </c>
      <c r="H1195">
        <v>106722</v>
      </c>
      <c r="I1195">
        <v>1792860.2751320405</v>
      </c>
      <c r="J1195">
        <v>1899582.2751320405</v>
      </c>
      <c r="K1195">
        <f>IFERROR(VLOOKUP(F1195,'LEAID Match'!$A$2:$B$236,2,FALSE),"")</f>
        <v>2314805</v>
      </c>
    </row>
    <row r="1196" spans="1:11" x14ac:dyDescent="0.2">
      <c r="A1196">
        <f t="shared" si="18"/>
        <v>2314805</v>
      </c>
      <c r="B1196">
        <v>2022</v>
      </c>
      <c r="C1196" t="s">
        <v>642</v>
      </c>
      <c r="D1196" t="s">
        <v>644</v>
      </c>
      <c r="E1196" t="s">
        <v>646</v>
      </c>
      <c r="F1196" t="s">
        <v>570</v>
      </c>
      <c r="G1196" t="s">
        <v>209</v>
      </c>
      <c r="H1196">
        <v>150118</v>
      </c>
      <c r="I1196">
        <v>2160944.5161704924</v>
      </c>
      <c r="J1196">
        <v>2311062.5161704924</v>
      </c>
      <c r="K1196">
        <f>IFERROR(VLOOKUP(F1196,'LEAID Match'!$A$2:$B$236,2,FALSE),"")</f>
        <v>2314805</v>
      </c>
    </row>
    <row r="1197" spans="1:11" x14ac:dyDescent="0.2">
      <c r="A1197">
        <f t="shared" si="18"/>
        <v>2314803</v>
      </c>
      <c r="B1197">
        <v>2015</v>
      </c>
      <c r="C1197" t="s">
        <v>642</v>
      </c>
      <c r="D1197" t="s">
        <v>644</v>
      </c>
      <c r="E1197" t="s">
        <v>646</v>
      </c>
      <c r="F1197" t="s">
        <v>571</v>
      </c>
      <c r="G1197" t="s">
        <v>210</v>
      </c>
      <c r="H1197">
        <v>12268</v>
      </c>
      <c r="I1197">
        <v>235222.22638627666</v>
      </c>
      <c r="J1197">
        <v>247490.22638627666</v>
      </c>
      <c r="K1197">
        <f>IFERROR(VLOOKUP(F1197,'LEAID Match'!$A$2:$B$236,2,FALSE),"")</f>
        <v>2314803</v>
      </c>
    </row>
    <row r="1198" spans="1:11" x14ac:dyDescent="0.2">
      <c r="A1198">
        <f t="shared" si="18"/>
        <v>2314803</v>
      </c>
      <c r="B1198">
        <v>2016</v>
      </c>
      <c r="C1198" t="s">
        <v>642</v>
      </c>
      <c r="D1198" t="s">
        <v>644</v>
      </c>
      <c r="E1198" t="s">
        <v>646</v>
      </c>
      <c r="F1198" s="1" t="s">
        <v>571</v>
      </c>
      <c r="G1198" s="1" t="s">
        <v>210</v>
      </c>
      <c r="H1198" s="22">
        <v>6282</v>
      </c>
      <c r="I1198">
        <v>119386.9113797757</v>
      </c>
      <c r="J1198">
        <v>125668.9113797757</v>
      </c>
      <c r="K1198">
        <f>IFERROR(VLOOKUP(F1198,'LEAID Match'!$A$2:$B$236,2,FALSE),"")</f>
        <v>2314803</v>
      </c>
    </row>
    <row r="1199" spans="1:11" x14ac:dyDescent="0.2">
      <c r="A1199">
        <f t="shared" si="18"/>
        <v>2314803</v>
      </c>
      <c r="B1199">
        <v>2017</v>
      </c>
      <c r="C1199" t="s">
        <v>642</v>
      </c>
      <c r="D1199" t="s">
        <v>644</v>
      </c>
      <c r="E1199" t="s">
        <v>646</v>
      </c>
      <c r="F1199" t="s">
        <v>571</v>
      </c>
      <c r="G1199" t="s">
        <v>210</v>
      </c>
      <c r="H1199">
        <v>7615</v>
      </c>
      <c r="I1199">
        <v>145198.23525962292</v>
      </c>
      <c r="J1199">
        <v>152813.23525962292</v>
      </c>
      <c r="K1199">
        <f>IFERROR(VLOOKUP(F1199,'LEAID Match'!$A$2:$B$236,2,FALSE),"")</f>
        <v>2314803</v>
      </c>
    </row>
    <row r="1200" spans="1:11" x14ac:dyDescent="0.2">
      <c r="A1200">
        <f t="shared" si="18"/>
        <v>2314803</v>
      </c>
      <c r="B1200">
        <v>2018</v>
      </c>
      <c r="C1200" t="s">
        <v>642</v>
      </c>
      <c r="D1200" t="s">
        <v>644</v>
      </c>
      <c r="E1200" t="s">
        <v>646</v>
      </c>
      <c r="F1200" t="s">
        <v>571</v>
      </c>
      <c r="G1200" t="s">
        <v>210</v>
      </c>
      <c r="H1200">
        <v>9206</v>
      </c>
      <c r="I1200">
        <v>186599.1189922952</v>
      </c>
      <c r="J1200">
        <v>195805.1189922952</v>
      </c>
      <c r="K1200">
        <f>IFERROR(VLOOKUP(F1200,'LEAID Match'!$A$2:$B$236,2,FALSE),"")</f>
        <v>2314803</v>
      </c>
    </row>
    <row r="1201" spans="1:11" x14ac:dyDescent="0.2">
      <c r="A1201">
        <f t="shared" si="18"/>
        <v>2314803</v>
      </c>
      <c r="B1201">
        <v>2019</v>
      </c>
      <c r="C1201" t="s">
        <v>642</v>
      </c>
      <c r="D1201" t="s">
        <v>644</v>
      </c>
      <c r="E1201" t="s">
        <v>646</v>
      </c>
      <c r="F1201" t="s">
        <v>571</v>
      </c>
      <c r="G1201" t="s">
        <v>210</v>
      </c>
      <c r="H1201">
        <v>8507</v>
      </c>
      <c r="I1201">
        <v>182254.27767901472</v>
      </c>
      <c r="J1201">
        <v>190761.27767901472</v>
      </c>
      <c r="K1201">
        <f>IFERROR(VLOOKUP(F1201,'LEAID Match'!$A$2:$B$236,2,FALSE),"")</f>
        <v>2314803</v>
      </c>
    </row>
    <row r="1202" spans="1:11" x14ac:dyDescent="0.2">
      <c r="A1202">
        <f t="shared" si="18"/>
        <v>2314803</v>
      </c>
      <c r="B1202">
        <v>2020</v>
      </c>
      <c r="C1202" t="s">
        <v>642</v>
      </c>
      <c r="D1202" t="s">
        <v>644</v>
      </c>
      <c r="E1202" t="s">
        <v>646</v>
      </c>
      <c r="F1202" t="s">
        <v>571</v>
      </c>
      <c r="G1202" t="s">
        <v>210</v>
      </c>
      <c r="H1202">
        <v>7135</v>
      </c>
      <c r="I1202">
        <v>158981.54957825132</v>
      </c>
      <c r="J1202">
        <v>166116.54957825132</v>
      </c>
      <c r="K1202">
        <f>IFERROR(VLOOKUP(F1202,'LEAID Match'!$A$2:$B$236,2,FALSE),"")</f>
        <v>2314803</v>
      </c>
    </row>
    <row r="1203" spans="1:11" x14ac:dyDescent="0.2">
      <c r="A1203">
        <f t="shared" si="18"/>
        <v>2314803</v>
      </c>
      <c r="B1203">
        <v>2021</v>
      </c>
      <c r="C1203" t="s">
        <v>642</v>
      </c>
      <c r="D1203" t="s">
        <v>644</v>
      </c>
      <c r="E1203" t="s">
        <v>646</v>
      </c>
      <c r="F1203" t="s">
        <v>571</v>
      </c>
      <c r="G1203" t="s">
        <v>210</v>
      </c>
      <c r="H1203">
        <v>27492</v>
      </c>
      <c r="I1203">
        <v>461847.74164586555</v>
      </c>
      <c r="J1203">
        <v>489339.74164586555</v>
      </c>
      <c r="K1203">
        <f>IFERROR(VLOOKUP(F1203,'LEAID Match'!$A$2:$B$236,2,FALSE),"")</f>
        <v>2314803</v>
      </c>
    </row>
    <row r="1204" spans="1:11" x14ac:dyDescent="0.2">
      <c r="A1204">
        <f t="shared" si="18"/>
        <v>2314803</v>
      </c>
      <c r="B1204">
        <v>2022</v>
      </c>
      <c r="C1204" t="s">
        <v>642</v>
      </c>
      <c r="D1204" t="s">
        <v>644</v>
      </c>
      <c r="E1204" t="s">
        <v>646</v>
      </c>
      <c r="F1204" t="s">
        <v>571</v>
      </c>
      <c r="G1204" t="s">
        <v>210</v>
      </c>
      <c r="H1204">
        <v>23089</v>
      </c>
      <c r="I1204">
        <v>332365.525345798</v>
      </c>
      <c r="J1204">
        <v>355454.525345798</v>
      </c>
      <c r="K1204">
        <f>IFERROR(VLOOKUP(F1204,'LEAID Match'!$A$2:$B$236,2,FALSE),"")</f>
        <v>2314803</v>
      </c>
    </row>
    <row r="1205" spans="1:11" x14ac:dyDescent="0.2">
      <c r="A1205">
        <f t="shared" si="18"/>
        <v>2314838</v>
      </c>
      <c r="B1205">
        <v>2019</v>
      </c>
      <c r="C1205" t="s">
        <v>642</v>
      </c>
      <c r="D1205" t="s">
        <v>644</v>
      </c>
      <c r="E1205" t="s">
        <v>646</v>
      </c>
      <c r="F1205" t="s">
        <v>630</v>
      </c>
      <c r="G1205" t="s">
        <v>631</v>
      </c>
      <c r="H1205">
        <v>11912</v>
      </c>
      <c r="I1205">
        <v>255203.12163070685</v>
      </c>
      <c r="J1205">
        <v>267115.12163070682</v>
      </c>
      <c r="K1205">
        <f>IFERROR(VLOOKUP(F1205,'LEAID Match'!$A$2:$B$236,2,FALSE),"")</f>
        <v>2314838</v>
      </c>
    </row>
    <row r="1206" spans="1:11" x14ac:dyDescent="0.2">
      <c r="A1206">
        <f t="shared" si="18"/>
        <v>2314838</v>
      </c>
      <c r="B1206">
        <v>2020</v>
      </c>
      <c r="C1206" t="s">
        <v>642</v>
      </c>
      <c r="D1206" t="s">
        <v>644</v>
      </c>
      <c r="E1206" t="s">
        <v>646</v>
      </c>
      <c r="F1206" t="s">
        <v>630</v>
      </c>
      <c r="G1206" t="s">
        <v>631</v>
      </c>
      <c r="H1206">
        <v>15906</v>
      </c>
      <c r="I1206">
        <v>354416.33182784379</v>
      </c>
      <c r="J1206">
        <v>370322.33182784379</v>
      </c>
      <c r="K1206">
        <f>IFERROR(VLOOKUP(F1206,'LEAID Match'!$A$2:$B$236,2,FALSE),"")</f>
        <v>2314838</v>
      </c>
    </row>
    <row r="1207" spans="1:11" x14ac:dyDescent="0.2">
      <c r="A1207">
        <f t="shared" si="18"/>
        <v>2314838</v>
      </c>
      <c r="B1207">
        <v>2021</v>
      </c>
      <c r="C1207" t="s">
        <v>642</v>
      </c>
      <c r="D1207" t="s">
        <v>644</v>
      </c>
      <c r="E1207" t="s">
        <v>646</v>
      </c>
      <c r="F1207" t="s">
        <v>630</v>
      </c>
      <c r="G1207" t="s">
        <v>631</v>
      </c>
      <c r="H1207">
        <v>21790</v>
      </c>
      <c r="I1207">
        <v>366057.84557192674</v>
      </c>
      <c r="J1207">
        <v>387847.84557192674</v>
      </c>
      <c r="K1207">
        <f>IFERROR(VLOOKUP(F1207,'LEAID Match'!$A$2:$B$236,2,FALSE),"")</f>
        <v>2314838</v>
      </c>
    </row>
    <row r="1208" spans="1:11" x14ac:dyDescent="0.2">
      <c r="A1208">
        <f t="shared" si="18"/>
        <v>2314838</v>
      </c>
      <c r="B1208">
        <v>2022</v>
      </c>
      <c r="C1208" t="s">
        <v>642</v>
      </c>
      <c r="D1208" t="s">
        <v>644</v>
      </c>
      <c r="E1208" t="s">
        <v>646</v>
      </c>
      <c r="F1208" t="s">
        <v>630</v>
      </c>
      <c r="G1208" t="s">
        <v>631</v>
      </c>
      <c r="H1208">
        <v>37987</v>
      </c>
      <c r="I1208">
        <v>546821.82906625792</v>
      </c>
      <c r="J1208">
        <v>584808.82906625792</v>
      </c>
      <c r="K1208">
        <f>IFERROR(VLOOKUP(F1208,'LEAID Match'!$A$2:$B$236,2,FALSE),"")</f>
        <v>2314838</v>
      </c>
    </row>
    <row r="1209" spans="1:11" x14ac:dyDescent="0.2">
      <c r="A1209" t="str">
        <f t="shared" si="18"/>
        <v/>
      </c>
      <c r="B1209">
        <v>2015</v>
      </c>
      <c r="C1209" t="s">
        <v>642</v>
      </c>
      <c r="D1209" t="s">
        <v>644</v>
      </c>
      <c r="E1209" t="s">
        <v>646</v>
      </c>
      <c r="F1209" t="s">
        <v>621</v>
      </c>
      <c r="G1209" t="s">
        <v>211</v>
      </c>
      <c r="I1209">
        <v>0</v>
      </c>
      <c r="J1209">
        <v>0</v>
      </c>
      <c r="K1209" t="str">
        <f>IFERROR(VLOOKUP(F1209,'LEAID Match'!$A$2:$B$236,2,FALSE),"")</f>
        <v/>
      </c>
    </row>
    <row r="1210" spans="1:11" x14ac:dyDescent="0.2">
      <c r="A1210" t="str">
        <f t="shared" si="18"/>
        <v/>
      </c>
      <c r="B1210">
        <v>2016</v>
      </c>
      <c r="C1210" t="s">
        <v>642</v>
      </c>
      <c r="D1210" t="s">
        <v>644</v>
      </c>
      <c r="E1210" t="s">
        <v>646</v>
      </c>
      <c r="F1210" t="s">
        <v>621</v>
      </c>
      <c r="G1210" s="1" t="s">
        <v>211</v>
      </c>
      <c r="H1210" s="22"/>
      <c r="I1210">
        <v>0</v>
      </c>
      <c r="J1210">
        <v>0</v>
      </c>
      <c r="K1210" t="str">
        <f>IFERROR(VLOOKUP(F1210,'LEAID Match'!$A$2:$B$236,2,FALSE),"")</f>
        <v/>
      </c>
    </row>
    <row r="1211" spans="1:11" x14ac:dyDescent="0.2">
      <c r="A1211" t="str">
        <f t="shared" si="18"/>
        <v/>
      </c>
      <c r="B1211">
        <v>2017</v>
      </c>
      <c r="C1211" t="s">
        <v>642</v>
      </c>
      <c r="D1211" t="s">
        <v>644</v>
      </c>
      <c r="E1211" t="s">
        <v>646</v>
      </c>
      <c r="F1211" t="s">
        <v>621</v>
      </c>
      <c r="G1211" t="s">
        <v>211</v>
      </c>
      <c r="I1211">
        <v>0</v>
      </c>
      <c r="J1211">
        <v>0</v>
      </c>
      <c r="K1211" t="str">
        <f>IFERROR(VLOOKUP(F1211,'LEAID Match'!$A$2:$B$236,2,FALSE),"")</f>
        <v/>
      </c>
    </row>
    <row r="1212" spans="1:11" x14ac:dyDescent="0.2">
      <c r="A1212" t="str">
        <f t="shared" si="18"/>
        <v/>
      </c>
      <c r="B1212">
        <v>2018</v>
      </c>
      <c r="C1212" t="s">
        <v>642</v>
      </c>
      <c r="D1212" t="s">
        <v>644</v>
      </c>
      <c r="E1212" t="s">
        <v>646</v>
      </c>
      <c r="F1212" t="s">
        <v>621</v>
      </c>
      <c r="G1212" t="s">
        <v>211</v>
      </c>
      <c r="I1212">
        <v>0</v>
      </c>
      <c r="J1212">
        <v>0</v>
      </c>
      <c r="K1212" t="str">
        <f>IFERROR(VLOOKUP(F1212,'LEAID Match'!$A$2:$B$236,2,FALSE),"")</f>
        <v/>
      </c>
    </row>
    <row r="1213" spans="1:11" x14ac:dyDescent="0.2">
      <c r="A1213" t="str">
        <f t="shared" si="18"/>
        <v/>
      </c>
      <c r="B1213">
        <v>2019</v>
      </c>
      <c r="C1213" t="s">
        <v>642</v>
      </c>
      <c r="D1213" t="s">
        <v>644</v>
      </c>
      <c r="E1213" t="s">
        <v>646</v>
      </c>
      <c r="F1213" t="s">
        <v>621</v>
      </c>
      <c r="G1213" t="s">
        <v>211</v>
      </c>
      <c r="I1213">
        <v>0</v>
      </c>
      <c r="J1213">
        <v>0</v>
      </c>
      <c r="K1213" t="str">
        <f>IFERROR(VLOOKUP(F1213,'LEAID Match'!$A$2:$B$236,2,FALSE),"")</f>
        <v/>
      </c>
    </row>
    <row r="1214" spans="1:11" x14ac:dyDescent="0.2">
      <c r="A1214" t="str">
        <f t="shared" si="18"/>
        <v/>
      </c>
      <c r="B1214">
        <v>2020</v>
      </c>
      <c r="C1214" t="s">
        <v>642</v>
      </c>
      <c r="D1214" t="s">
        <v>644</v>
      </c>
      <c r="E1214" t="s">
        <v>646</v>
      </c>
      <c r="F1214" t="s">
        <v>621</v>
      </c>
      <c r="G1214" t="s">
        <v>211</v>
      </c>
      <c r="I1214">
        <v>0</v>
      </c>
      <c r="J1214">
        <v>0</v>
      </c>
      <c r="K1214" t="str">
        <f>IFERROR(VLOOKUP(F1214,'LEAID Match'!$A$2:$B$236,2,FALSE),"")</f>
        <v/>
      </c>
    </row>
    <row r="1215" spans="1:11" x14ac:dyDescent="0.2">
      <c r="A1215" t="str">
        <f t="shared" si="18"/>
        <v/>
      </c>
      <c r="B1215">
        <v>2021</v>
      </c>
      <c r="C1215" t="s">
        <v>642</v>
      </c>
      <c r="D1215" t="s">
        <v>644</v>
      </c>
      <c r="E1215" t="s">
        <v>646</v>
      </c>
      <c r="F1215" t="s">
        <v>621</v>
      </c>
      <c r="G1215" t="s">
        <v>211</v>
      </c>
      <c r="I1215">
        <v>0</v>
      </c>
      <c r="J1215">
        <v>0</v>
      </c>
      <c r="K1215" t="str">
        <f>IFERROR(VLOOKUP(F1215,'LEAID Match'!$A$2:$B$236,2,FALSE),"")</f>
        <v/>
      </c>
    </row>
    <row r="1216" spans="1:11" x14ac:dyDescent="0.2">
      <c r="A1216" t="str">
        <f t="shared" si="18"/>
        <v/>
      </c>
      <c r="B1216">
        <v>2022</v>
      </c>
      <c r="C1216" t="s">
        <v>642</v>
      </c>
      <c r="D1216" t="s">
        <v>644</v>
      </c>
      <c r="E1216" t="s">
        <v>646</v>
      </c>
      <c r="F1216" t="s">
        <v>621</v>
      </c>
      <c r="G1216" t="s">
        <v>211</v>
      </c>
      <c r="I1216">
        <v>0</v>
      </c>
      <c r="J1216">
        <v>0</v>
      </c>
      <c r="K1216" t="str">
        <f>IFERROR(VLOOKUP(F1216,'LEAID Match'!$A$2:$B$236,2,FALSE),"")</f>
        <v/>
      </c>
    </row>
    <row r="1217" spans="1:11" x14ac:dyDescent="0.2">
      <c r="A1217" t="str">
        <f t="shared" si="18"/>
        <v/>
      </c>
      <c r="B1217">
        <v>2015</v>
      </c>
      <c r="C1217" t="s">
        <v>642</v>
      </c>
      <c r="D1217" t="s">
        <v>644</v>
      </c>
      <c r="E1217" t="s">
        <v>646</v>
      </c>
      <c r="F1217" t="s">
        <v>573</v>
      </c>
      <c r="G1217" t="s">
        <v>212</v>
      </c>
      <c r="I1217">
        <v>0</v>
      </c>
      <c r="J1217">
        <v>0</v>
      </c>
      <c r="K1217" t="str">
        <f>IFERROR(VLOOKUP(F1217,'LEAID Match'!$A$2:$B$236,2,FALSE),"")</f>
        <v/>
      </c>
    </row>
    <row r="1218" spans="1:11" x14ac:dyDescent="0.2">
      <c r="A1218" t="str">
        <f t="shared" si="18"/>
        <v/>
      </c>
      <c r="B1218">
        <v>2016</v>
      </c>
      <c r="C1218" t="s">
        <v>642</v>
      </c>
      <c r="D1218" t="s">
        <v>644</v>
      </c>
      <c r="E1218" t="s">
        <v>646</v>
      </c>
      <c r="F1218" s="1" t="s">
        <v>573</v>
      </c>
      <c r="G1218" s="1" t="s">
        <v>212</v>
      </c>
      <c r="H1218" s="22"/>
      <c r="I1218">
        <v>0</v>
      </c>
      <c r="J1218">
        <v>0</v>
      </c>
      <c r="K1218" t="str">
        <f>IFERROR(VLOOKUP(F1218,'LEAID Match'!$A$2:$B$236,2,FALSE),"")</f>
        <v/>
      </c>
    </row>
    <row r="1219" spans="1:11" x14ac:dyDescent="0.2">
      <c r="A1219" t="str">
        <f t="shared" ref="A1219:A1282" si="19">K1219</f>
        <v/>
      </c>
      <c r="B1219">
        <v>2017</v>
      </c>
      <c r="C1219" t="s">
        <v>642</v>
      </c>
      <c r="D1219" t="s">
        <v>644</v>
      </c>
      <c r="E1219" t="s">
        <v>646</v>
      </c>
      <c r="F1219" t="s">
        <v>573</v>
      </c>
      <c r="G1219" t="s">
        <v>212</v>
      </c>
      <c r="I1219">
        <v>0</v>
      </c>
      <c r="J1219">
        <v>0</v>
      </c>
      <c r="K1219" t="str">
        <f>IFERROR(VLOOKUP(F1219,'LEAID Match'!$A$2:$B$236,2,FALSE),"")</f>
        <v/>
      </c>
    </row>
    <row r="1220" spans="1:11" x14ac:dyDescent="0.2">
      <c r="A1220" t="str">
        <f t="shared" si="19"/>
        <v/>
      </c>
      <c r="B1220">
        <v>2018</v>
      </c>
      <c r="C1220" t="s">
        <v>642</v>
      </c>
      <c r="D1220" t="s">
        <v>644</v>
      </c>
      <c r="E1220" t="s">
        <v>646</v>
      </c>
      <c r="F1220" t="s">
        <v>573</v>
      </c>
      <c r="G1220" t="s">
        <v>212</v>
      </c>
      <c r="I1220">
        <v>0</v>
      </c>
      <c r="J1220">
        <v>0</v>
      </c>
      <c r="K1220" t="str">
        <f>IFERROR(VLOOKUP(F1220,'LEAID Match'!$A$2:$B$236,2,FALSE),"")</f>
        <v/>
      </c>
    </row>
    <row r="1221" spans="1:11" x14ac:dyDescent="0.2">
      <c r="A1221" t="str">
        <f t="shared" si="19"/>
        <v/>
      </c>
      <c r="B1221">
        <v>2019</v>
      </c>
      <c r="C1221" t="s">
        <v>642</v>
      </c>
      <c r="D1221" t="s">
        <v>644</v>
      </c>
      <c r="E1221" t="s">
        <v>646</v>
      </c>
      <c r="F1221" t="s">
        <v>573</v>
      </c>
      <c r="G1221" t="s">
        <v>212</v>
      </c>
      <c r="I1221">
        <v>0</v>
      </c>
      <c r="J1221">
        <v>0</v>
      </c>
      <c r="K1221" t="str">
        <f>IFERROR(VLOOKUP(F1221,'LEAID Match'!$A$2:$B$236,2,FALSE),"")</f>
        <v/>
      </c>
    </row>
    <row r="1222" spans="1:11" x14ac:dyDescent="0.2">
      <c r="A1222" t="str">
        <f t="shared" si="19"/>
        <v/>
      </c>
      <c r="B1222">
        <v>2020</v>
      </c>
      <c r="C1222" t="s">
        <v>642</v>
      </c>
      <c r="D1222" t="s">
        <v>644</v>
      </c>
      <c r="E1222" t="s">
        <v>646</v>
      </c>
      <c r="F1222" t="s">
        <v>573</v>
      </c>
      <c r="G1222" t="s">
        <v>212</v>
      </c>
      <c r="I1222">
        <v>0</v>
      </c>
      <c r="J1222">
        <v>0</v>
      </c>
      <c r="K1222" t="str">
        <f>IFERROR(VLOOKUP(F1222,'LEAID Match'!$A$2:$B$236,2,FALSE),"")</f>
        <v/>
      </c>
    </row>
    <row r="1223" spans="1:11" x14ac:dyDescent="0.2">
      <c r="A1223" t="str">
        <f t="shared" si="19"/>
        <v/>
      </c>
      <c r="B1223">
        <v>2021</v>
      </c>
      <c r="C1223" t="s">
        <v>642</v>
      </c>
      <c r="D1223" t="s">
        <v>644</v>
      </c>
      <c r="E1223" t="s">
        <v>646</v>
      </c>
      <c r="F1223" t="s">
        <v>573</v>
      </c>
      <c r="G1223" t="s">
        <v>212</v>
      </c>
      <c r="I1223">
        <v>0</v>
      </c>
      <c r="J1223">
        <v>0</v>
      </c>
      <c r="K1223" t="str">
        <f>IFERROR(VLOOKUP(F1223,'LEAID Match'!$A$2:$B$236,2,FALSE),"")</f>
        <v/>
      </c>
    </row>
    <row r="1224" spans="1:11" x14ac:dyDescent="0.2">
      <c r="A1224" t="str">
        <f t="shared" si="19"/>
        <v/>
      </c>
      <c r="B1224">
        <v>2022</v>
      </c>
      <c r="C1224" t="s">
        <v>642</v>
      </c>
      <c r="D1224" t="s">
        <v>644</v>
      </c>
      <c r="E1224" t="s">
        <v>646</v>
      </c>
      <c r="F1224" t="s">
        <v>573</v>
      </c>
      <c r="G1224" t="s">
        <v>212</v>
      </c>
      <c r="I1224">
        <v>0</v>
      </c>
      <c r="J1224">
        <v>0</v>
      </c>
      <c r="K1224" t="str">
        <f>IFERROR(VLOOKUP(F1224,'LEAID Match'!$A$2:$B$236,2,FALSE),"")</f>
        <v/>
      </c>
    </row>
    <row r="1225" spans="1:11" x14ac:dyDescent="0.2">
      <c r="A1225" t="str">
        <f t="shared" si="19"/>
        <v/>
      </c>
      <c r="B1225">
        <v>2015</v>
      </c>
      <c r="C1225" t="s">
        <v>642</v>
      </c>
      <c r="D1225" t="s">
        <v>644</v>
      </c>
      <c r="E1225" t="s">
        <v>646</v>
      </c>
      <c r="F1225" t="s">
        <v>574</v>
      </c>
      <c r="G1225" t="s">
        <v>213</v>
      </c>
      <c r="I1225">
        <v>0</v>
      </c>
      <c r="J1225">
        <v>0</v>
      </c>
      <c r="K1225" t="str">
        <f>IFERROR(VLOOKUP(F1225,'LEAID Match'!$A$2:$B$236,2,FALSE),"")</f>
        <v/>
      </c>
    </row>
    <row r="1226" spans="1:11" x14ac:dyDescent="0.2">
      <c r="A1226" t="str">
        <f t="shared" si="19"/>
        <v/>
      </c>
      <c r="B1226">
        <v>2016</v>
      </c>
      <c r="C1226" t="s">
        <v>642</v>
      </c>
      <c r="D1226" t="s">
        <v>644</v>
      </c>
      <c r="E1226" t="s">
        <v>646</v>
      </c>
      <c r="F1226" s="1" t="s">
        <v>574</v>
      </c>
      <c r="G1226" s="1" t="s">
        <v>213</v>
      </c>
      <c r="H1226" s="22"/>
      <c r="I1226">
        <v>0</v>
      </c>
      <c r="J1226">
        <v>0</v>
      </c>
      <c r="K1226" t="str">
        <f>IFERROR(VLOOKUP(F1226,'LEAID Match'!$A$2:$B$236,2,FALSE),"")</f>
        <v/>
      </c>
    </row>
    <row r="1227" spans="1:11" x14ac:dyDescent="0.2">
      <c r="A1227" t="str">
        <f t="shared" si="19"/>
        <v/>
      </c>
      <c r="B1227">
        <v>2017</v>
      </c>
      <c r="C1227" t="s">
        <v>642</v>
      </c>
      <c r="D1227" t="s">
        <v>644</v>
      </c>
      <c r="E1227" t="s">
        <v>646</v>
      </c>
      <c r="F1227" t="s">
        <v>574</v>
      </c>
      <c r="G1227" t="s">
        <v>213</v>
      </c>
      <c r="I1227">
        <v>0</v>
      </c>
      <c r="J1227">
        <v>0</v>
      </c>
      <c r="K1227" t="str">
        <f>IFERROR(VLOOKUP(F1227,'LEAID Match'!$A$2:$B$236,2,FALSE),"")</f>
        <v/>
      </c>
    </row>
    <row r="1228" spans="1:11" x14ac:dyDescent="0.2">
      <c r="A1228" t="str">
        <f t="shared" si="19"/>
        <v/>
      </c>
      <c r="B1228">
        <v>2018</v>
      </c>
      <c r="C1228" t="s">
        <v>642</v>
      </c>
      <c r="D1228" t="s">
        <v>644</v>
      </c>
      <c r="E1228" t="s">
        <v>646</v>
      </c>
      <c r="F1228" t="s">
        <v>574</v>
      </c>
      <c r="G1228" t="s">
        <v>213</v>
      </c>
      <c r="I1228">
        <v>0</v>
      </c>
      <c r="J1228">
        <v>0</v>
      </c>
      <c r="K1228" t="str">
        <f>IFERROR(VLOOKUP(F1228,'LEAID Match'!$A$2:$B$236,2,FALSE),"")</f>
        <v/>
      </c>
    </row>
    <row r="1229" spans="1:11" x14ac:dyDescent="0.2">
      <c r="A1229" t="str">
        <f t="shared" si="19"/>
        <v/>
      </c>
      <c r="B1229">
        <v>2019</v>
      </c>
      <c r="C1229" t="s">
        <v>642</v>
      </c>
      <c r="D1229" t="s">
        <v>644</v>
      </c>
      <c r="E1229" t="s">
        <v>646</v>
      </c>
      <c r="F1229" t="s">
        <v>574</v>
      </c>
      <c r="G1229" t="s">
        <v>213</v>
      </c>
      <c r="I1229">
        <v>0</v>
      </c>
      <c r="J1229">
        <v>0</v>
      </c>
      <c r="K1229" t="str">
        <f>IFERROR(VLOOKUP(F1229,'LEAID Match'!$A$2:$B$236,2,FALSE),"")</f>
        <v/>
      </c>
    </row>
    <row r="1230" spans="1:11" x14ac:dyDescent="0.2">
      <c r="A1230" t="str">
        <f t="shared" si="19"/>
        <v/>
      </c>
      <c r="B1230">
        <v>2020</v>
      </c>
      <c r="C1230" t="s">
        <v>642</v>
      </c>
      <c r="D1230" t="s">
        <v>644</v>
      </c>
      <c r="E1230" t="s">
        <v>646</v>
      </c>
      <c r="F1230" t="s">
        <v>574</v>
      </c>
      <c r="G1230" t="s">
        <v>213</v>
      </c>
      <c r="I1230">
        <v>0</v>
      </c>
      <c r="J1230">
        <v>0</v>
      </c>
      <c r="K1230" t="str">
        <f>IFERROR(VLOOKUP(F1230,'LEAID Match'!$A$2:$B$236,2,FALSE),"")</f>
        <v/>
      </c>
    </row>
    <row r="1231" spans="1:11" x14ac:dyDescent="0.2">
      <c r="A1231" t="str">
        <f t="shared" si="19"/>
        <v/>
      </c>
      <c r="B1231">
        <v>2021</v>
      </c>
      <c r="C1231" t="s">
        <v>642</v>
      </c>
      <c r="D1231" t="s">
        <v>644</v>
      </c>
      <c r="E1231" t="s">
        <v>646</v>
      </c>
      <c r="F1231" t="s">
        <v>574</v>
      </c>
      <c r="G1231" t="s">
        <v>213</v>
      </c>
      <c r="I1231">
        <v>0</v>
      </c>
      <c r="J1231">
        <v>0</v>
      </c>
      <c r="K1231" t="str">
        <f>IFERROR(VLOOKUP(F1231,'LEAID Match'!$A$2:$B$236,2,FALSE),"")</f>
        <v/>
      </c>
    </row>
    <row r="1232" spans="1:11" x14ac:dyDescent="0.2">
      <c r="A1232" t="str">
        <f t="shared" si="19"/>
        <v/>
      </c>
      <c r="B1232">
        <v>2022</v>
      </c>
      <c r="C1232" t="s">
        <v>642</v>
      </c>
      <c r="D1232" t="s">
        <v>644</v>
      </c>
      <c r="E1232" t="s">
        <v>646</v>
      </c>
      <c r="F1232" t="s">
        <v>574</v>
      </c>
      <c r="G1232" t="s">
        <v>213</v>
      </c>
      <c r="I1232">
        <v>0</v>
      </c>
      <c r="J1232">
        <v>0</v>
      </c>
      <c r="K1232" t="str">
        <f>IFERROR(VLOOKUP(F1232,'LEAID Match'!$A$2:$B$236,2,FALSE),"")</f>
        <v/>
      </c>
    </row>
    <row r="1233" spans="1:11" x14ac:dyDescent="0.2">
      <c r="A1233">
        <f t="shared" si="19"/>
        <v>0</v>
      </c>
      <c r="B1233">
        <v>2022</v>
      </c>
      <c r="C1233" t="s">
        <v>642</v>
      </c>
      <c r="D1233" t="s">
        <v>644</v>
      </c>
      <c r="E1233" t="s">
        <v>646</v>
      </c>
      <c r="F1233" t="s">
        <v>635</v>
      </c>
      <c r="G1233" t="s">
        <v>636</v>
      </c>
      <c r="I1233">
        <v>0</v>
      </c>
      <c r="J1233">
        <v>0</v>
      </c>
      <c r="K1233">
        <f>IFERROR(VLOOKUP(F1233,'LEAID Match'!$A$2:$B$236,2,FALSE),"")</f>
        <v>0</v>
      </c>
    </row>
    <row r="1234" spans="1:11" x14ac:dyDescent="0.2">
      <c r="A1234" t="str">
        <f t="shared" si="19"/>
        <v/>
      </c>
      <c r="B1234">
        <v>2015</v>
      </c>
      <c r="C1234" t="s">
        <v>642</v>
      </c>
      <c r="D1234" t="s">
        <v>644</v>
      </c>
      <c r="E1234" t="s">
        <v>646</v>
      </c>
      <c r="F1234" t="s">
        <v>575</v>
      </c>
      <c r="G1234" t="s">
        <v>214</v>
      </c>
      <c r="I1234">
        <v>0</v>
      </c>
      <c r="J1234">
        <v>0</v>
      </c>
      <c r="K1234" t="str">
        <f>IFERROR(VLOOKUP(F1234,'LEAID Match'!$A$2:$B$236,2,FALSE),"")</f>
        <v/>
      </c>
    </row>
    <row r="1235" spans="1:11" x14ac:dyDescent="0.2">
      <c r="A1235" t="str">
        <f t="shared" si="19"/>
        <v/>
      </c>
      <c r="B1235">
        <v>2016</v>
      </c>
      <c r="C1235" t="s">
        <v>642</v>
      </c>
      <c r="D1235" t="s">
        <v>644</v>
      </c>
      <c r="E1235" t="s">
        <v>646</v>
      </c>
      <c r="F1235" s="1" t="s">
        <v>575</v>
      </c>
      <c r="G1235" s="1" t="s">
        <v>214</v>
      </c>
      <c r="H1235" s="22"/>
      <c r="I1235">
        <v>0</v>
      </c>
      <c r="J1235">
        <v>0</v>
      </c>
      <c r="K1235" t="str">
        <f>IFERROR(VLOOKUP(F1235,'LEAID Match'!$A$2:$B$236,2,FALSE),"")</f>
        <v/>
      </c>
    </row>
    <row r="1236" spans="1:11" x14ac:dyDescent="0.2">
      <c r="A1236" t="str">
        <f t="shared" si="19"/>
        <v/>
      </c>
      <c r="B1236">
        <v>2017</v>
      </c>
      <c r="C1236" t="s">
        <v>642</v>
      </c>
      <c r="D1236" t="s">
        <v>644</v>
      </c>
      <c r="E1236" t="s">
        <v>646</v>
      </c>
      <c r="F1236" t="s">
        <v>575</v>
      </c>
      <c r="G1236" t="s">
        <v>214</v>
      </c>
      <c r="I1236">
        <v>0</v>
      </c>
      <c r="J1236">
        <v>0</v>
      </c>
      <c r="K1236" t="str">
        <f>IFERROR(VLOOKUP(F1236,'LEAID Match'!$A$2:$B$236,2,FALSE),"")</f>
        <v/>
      </c>
    </row>
    <row r="1237" spans="1:11" x14ac:dyDescent="0.2">
      <c r="A1237" t="str">
        <f t="shared" si="19"/>
        <v/>
      </c>
      <c r="B1237">
        <v>2018</v>
      </c>
      <c r="C1237" t="s">
        <v>642</v>
      </c>
      <c r="D1237" t="s">
        <v>644</v>
      </c>
      <c r="E1237" t="s">
        <v>646</v>
      </c>
      <c r="F1237" t="s">
        <v>575</v>
      </c>
      <c r="G1237" t="s">
        <v>214</v>
      </c>
      <c r="I1237">
        <v>0</v>
      </c>
      <c r="J1237">
        <v>0</v>
      </c>
      <c r="K1237" t="str">
        <f>IFERROR(VLOOKUP(F1237,'LEAID Match'!$A$2:$B$236,2,FALSE),"")</f>
        <v/>
      </c>
    </row>
    <row r="1238" spans="1:11" x14ac:dyDescent="0.2">
      <c r="A1238" t="str">
        <f t="shared" si="19"/>
        <v/>
      </c>
      <c r="B1238">
        <v>2019</v>
      </c>
      <c r="C1238" t="s">
        <v>642</v>
      </c>
      <c r="D1238" t="s">
        <v>644</v>
      </c>
      <c r="E1238" t="s">
        <v>646</v>
      </c>
      <c r="F1238" t="s">
        <v>575</v>
      </c>
      <c r="G1238" t="s">
        <v>214</v>
      </c>
      <c r="I1238">
        <v>0</v>
      </c>
      <c r="J1238">
        <v>0</v>
      </c>
      <c r="K1238" t="str">
        <f>IFERROR(VLOOKUP(F1238,'LEAID Match'!$A$2:$B$236,2,FALSE),"")</f>
        <v/>
      </c>
    </row>
    <row r="1239" spans="1:11" x14ac:dyDescent="0.2">
      <c r="A1239" t="str">
        <f t="shared" si="19"/>
        <v/>
      </c>
      <c r="B1239">
        <v>2020</v>
      </c>
      <c r="C1239" t="s">
        <v>642</v>
      </c>
      <c r="D1239" t="s">
        <v>644</v>
      </c>
      <c r="E1239" t="s">
        <v>646</v>
      </c>
      <c r="F1239" t="s">
        <v>575</v>
      </c>
      <c r="G1239" t="s">
        <v>214</v>
      </c>
      <c r="I1239">
        <v>0</v>
      </c>
      <c r="J1239">
        <v>0</v>
      </c>
      <c r="K1239" t="str">
        <f>IFERROR(VLOOKUP(F1239,'LEAID Match'!$A$2:$B$236,2,FALSE),"")</f>
        <v/>
      </c>
    </row>
    <row r="1240" spans="1:11" x14ac:dyDescent="0.2">
      <c r="A1240" t="str">
        <f t="shared" si="19"/>
        <v/>
      </c>
      <c r="B1240">
        <v>2021</v>
      </c>
      <c r="C1240" t="s">
        <v>642</v>
      </c>
      <c r="D1240" t="s">
        <v>644</v>
      </c>
      <c r="E1240" t="s">
        <v>646</v>
      </c>
      <c r="F1240" t="s">
        <v>575</v>
      </c>
      <c r="G1240" t="s">
        <v>214</v>
      </c>
      <c r="I1240">
        <v>0</v>
      </c>
      <c r="J1240">
        <v>0</v>
      </c>
      <c r="K1240" t="str">
        <f>IFERROR(VLOOKUP(F1240,'LEAID Match'!$A$2:$B$236,2,FALSE),"")</f>
        <v/>
      </c>
    </row>
    <row r="1241" spans="1:11" x14ac:dyDescent="0.2">
      <c r="A1241" t="str">
        <f t="shared" si="19"/>
        <v/>
      </c>
      <c r="B1241">
        <v>2022</v>
      </c>
      <c r="C1241" t="s">
        <v>642</v>
      </c>
      <c r="D1241" t="s">
        <v>644</v>
      </c>
      <c r="E1241" t="s">
        <v>646</v>
      </c>
      <c r="F1241" t="s">
        <v>575</v>
      </c>
      <c r="G1241" t="s">
        <v>214</v>
      </c>
      <c r="I1241">
        <v>0</v>
      </c>
      <c r="J1241">
        <v>0</v>
      </c>
      <c r="K1241" t="str">
        <f>IFERROR(VLOOKUP(F1241,'LEAID Match'!$A$2:$B$236,2,FALSE),"")</f>
        <v/>
      </c>
    </row>
    <row r="1242" spans="1:11" x14ac:dyDescent="0.2">
      <c r="A1242">
        <f t="shared" si="19"/>
        <v>0</v>
      </c>
      <c r="B1242">
        <v>2015</v>
      </c>
      <c r="C1242" t="s">
        <v>642</v>
      </c>
      <c r="D1242" t="s">
        <v>644</v>
      </c>
      <c r="E1242" t="s">
        <v>646</v>
      </c>
      <c r="F1242" t="s">
        <v>576</v>
      </c>
      <c r="G1242" t="s">
        <v>215</v>
      </c>
      <c r="H1242">
        <v>39380</v>
      </c>
      <c r="I1242">
        <v>755057.97808050003</v>
      </c>
      <c r="J1242">
        <v>794437.97808050003</v>
      </c>
      <c r="K1242">
        <f>IFERROR(VLOOKUP(F1242,'LEAID Match'!$A$2:$B$236,2,FALSE),"")</f>
        <v>0</v>
      </c>
    </row>
    <row r="1243" spans="1:11" x14ac:dyDescent="0.2">
      <c r="A1243">
        <f t="shared" si="19"/>
        <v>0</v>
      </c>
      <c r="B1243">
        <v>2016</v>
      </c>
      <c r="C1243" t="s">
        <v>642</v>
      </c>
      <c r="D1243" t="s">
        <v>644</v>
      </c>
      <c r="E1243" t="s">
        <v>646</v>
      </c>
      <c r="F1243" s="1" t="s">
        <v>576</v>
      </c>
      <c r="G1243" s="1" t="s">
        <v>215</v>
      </c>
      <c r="H1243" s="22">
        <v>23466</v>
      </c>
      <c r="I1243">
        <v>445961.99656762433</v>
      </c>
      <c r="J1243">
        <v>469427.99656762433</v>
      </c>
      <c r="K1243">
        <f>IFERROR(VLOOKUP(F1243,'LEAID Match'!$A$2:$B$236,2,FALSE),"")</f>
        <v>0</v>
      </c>
    </row>
    <row r="1244" spans="1:11" x14ac:dyDescent="0.2">
      <c r="A1244">
        <f t="shared" si="19"/>
        <v>0</v>
      </c>
      <c r="B1244">
        <v>2017</v>
      </c>
      <c r="C1244" t="s">
        <v>642</v>
      </c>
      <c r="D1244" t="s">
        <v>644</v>
      </c>
      <c r="E1244" t="s">
        <v>646</v>
      </c>
      <c r="F1244" t="s">
        <v>576</v>
      </c>
      <c r="G1244" t="s">
        <v>215</v>
      </c>
      <c r="H1244">
        <v>21296</v>
      </c>
      <c r="I1244">
        <v>406059.30638068676</v>
      </c>
      <c r="J1244">
        <v>427355.30638068676</v>
      </c>
      <c r="K1244">
        <f>IFERROR(VLOOKUP(F1244,'LEAID Match'!$A$2:$B$236,2,FALSE),"")</f>
        <v>0</v>
      </c>
    </row>
    <row r="1245" spans="1:11" x14ac:dyDescent="0.2">
      <c r="A1245">
        <f t="shared" si="19"/>
        <v>0</v>
      </c>
      <c r="B1245">
        <v>2018</v>
      </c>
      <c r="C1245" t="s">
        <v>642</v>
      </c>
      <c r="D1245" t="s">
        <v>644</v>
      </c>
      <c r="E1245" t="s">
        <v>646</v>
      </c>
      <c r="F1245" t="s">
        <v>576</v>
      </c>
      <c r="G1245" t="s">
        <v>215</v>
      </c>
      <c r="H1245">
        <v>21933</v>
      </c>
      <c r="I1245">
        <v>444566.42155746365</v>
      </c>
      <c r="J1245">
        <v>466499.42155746365</v>
      </c>
      <c r="K1245">
        <f>IFERROR(VLOOKUP(F1245,'LEAID Match'!$A$2:$B$236,2,FALSE),"")</f>
        <v>0</v>
      </c>
    </row>
    <row r="1246" spans="1:11" x14ac:dyDescent="0.2">
      <c r="A1246">
        <f t="shared" si="19"/>
        <v>0</v>
      </c>
      <c r="B1246">
        <v>2019</v>
      </c>
      <c r="C1246" t="s">
        <v>642</v>
      </c>
      <c r="D1246" t="s">
        <v>644</v>
      </c>
      <c r="E1246" t="s">
        <v>646</v>
      </c>
      <c r="F1246" t="s">
        <v>576</v>
      </c>
      <c r="G1246" t="s">
        <v>215</v>
      </c>
      <c r="H1246">
        <v>22778</v>
      </c>
      <c r="I1246">
        <v>487996.70118403633</v>
      </c>
      <c r="J1246">
        <v>510774.70118403633</v>
      </c>
      <c r="K1246">
        <f>IFERROR(VLOOKUP(F1246,'LEAID Match'!$A$2:$B$236,2,FALSE),"")</f>
        <v>0</v>
      </c>
    </row>
    <row r="1247" spans="1:11" x14ac:dyDescent="0.2">
      <c r="A1247">
        <f t="shared" si="19"/>
        <v>0</v>
      </c>
      <c r="B1247">
        <v>2020</v>
      </c>
      <c r="C1247" t="s">
        <v>642</v>
      </c>
      <c r="D1247" t="s">
        <v>644</v>
      </c>
      <c r="E1247" t="s">
        <v>646</v>
      </c>
      <c r="F1247" t="s">
        <v>576</v>
      </c>
      <c r="G1247" t="s">
        <v>215</v>
      </c>
      <c r="H1247">
        <v>43997</v>
      </c>
      <c r="I1247">
        <v>980337.94489058491</v>
      </c>
      <c r="J1247">
        <v>1024334.9448905849</v>
      </c>
      <c r="K1247">
        <f>IFERROR(VLOOKUP(F1247,'LEAID Match'!$A$2:$B$236,2,FALSE),"")</f>
        <v>0</v>
      </c>
    </row>
    <row r="1248" spans="1:11" x14ac:dyDescent="0.2">
      <c r="A1248">
        <f t="shared" si="19"/>
        <v>0</v>
      </c>
      <c r="B1248">
        <v>2021</v>
      </c>
      <c r="C1248" t="s">
        <v>642</v>
      </c>
      <c r="D1248" t="s">
        <v>644</v>
      </c>
      <c r="E1248" t="s">
        <v>646</v>
      </c>
      <c r="F1248" t="s">
        <v>576</v>
      </c>
      <c r="G1248" t="s">
        <v>215</v>
      </c>
      <c r="H1248">
        <v>31971</v>
      </c>
      <c r="I1248">
        <v>537092.03216062731</v>
      </c>
      <c r="J1248">
        <v>569063.03216062731</v>
      </c>
      <c r="K1248">
        <f>IFERROR(VLOOKUP(F1248,'LEAID Match'!$A$2:$B$236,2,FALSE),"")</f>
        <v>0</v>
      </c>
    </row>
    <row r="1249" spans="1:11" x14ac:dyDescent="0.2">
      <c r="A1249">
        <f t="shared" si="19"/>
        <v>0</v>
      </c>
      <c r="B1249">
        <v>2022</v>
      </c>
      <c r="C1249" t="s">
        <v>642</v>
      </c>
      <c r="D1249" t="s">
        <v>644</v>
      </c>
      <c r="E1249" t="s">
        <v>646</v>
      </c>
      <c r="F1249" t="s">
        <v>576</v>
      </c>
      <c r="G1249" t="s">
        <v>215</v>
      </c>
      <c r="H1249">
        <v>32871</v>
      </c>
      <c r="I1249">
        <v>473177.14858338283</v>
      </c>
      <c r="J1249">
        <v>506048.14858338283</v>
      </c>
      <c r="K1249">
        <f>IFERROR(VLOOKUP(F1249,'LEAID Match'!$A$2:$B$236,2,FALSE),"")</f>
        <v>0</v>
      </c>
    </row>
    <row r="1250" spans="1:11" x14ac:dyDescent="0.2">
      <c r="A1250">
        <f t="shared" si="19"/>
        <v>0</v>
      </c>
      <c r="B1250">
        <v>2015</v>
      </c>
      <c r="C1250" t="s">
        <v>642</v>
      </c>
      <c r="D1250" t="s">
        <v>644</v>
      </c>
      <c r="E1250" t="s">
        <v>646</v>
      </c>
      <c r="F1250" t="s">
        <v>216</v>
      </c>
      <c r="G1250" t="s">
        <v>217</v>
      </c>
      <c r="H1250">
        <v>39654</v>
      </c>
      <c r="I1250">
        <v>760311.55568319326</v>
      </c>
      <c r="J1250">
        <v>799965.55568319326</v>
      </c>
      <c r="K1250">
        <f>IFERROR(VLOOKUP(F1250,'LEAID Match'!$A$2:$B$236,2,FALSE),"")</f>
        <v>0</v>
      </c>
    </row>
    <row r="1251" spans="1:11" x14ac:dyDescent="0.2">
      <c r="A1251">
        <f t="shared" si="19"/>
        <v>0</v>
      </c>
      <c r="B1251">
        <v>2016</v>
      </c>
      <c r="C1251" t="s">
        <v>642</v>
      </c>
      <c r="D1251" t="s">
        <v>644</v>
      </c>
      <c r="E1251" t="s">
        <v>646</v>
      </c>
      <c r="F1251" s="1" t="s">
        <v>216</v>
      </c>
      <c r="G1251" s="1" t="s">
        <v>217</v>
      </c>
      <c r="H1251" s="22">
        <v>27404</v>
      </c>
      <c r="I1251">
        <v>520802.12025650637</v>
      </c>
      <c r="J1251">
        <v>548206.12025650637</v>
      </c>
      <c r="K1251">
        <f>IFERROR(VLOOKUP(F1251,'LEAID Match'!$A$2:$B$236,2,FALSE),"")</f>
        <v>0</v>
      </c>
    </row>
    <row r="1252" spans="1:11" x14ac:dyDescent="0.2">
      <c r="A1252">
        <f t="shared" si="19"/>
        <v>0</v>
      </c>
      <c r="B1252">
        <v>2017</v>
      </c>
      <c r="C1252" t="s">
        <v>642</v>
      </c>
      <c r="D1252" t="s">
        <v>644</v>
      </c>
      <c r="E1252" t="s">
        <v>646</v>
      </c>
      <c r="F1252" t="s">
        <v>216</v>
      </c>
      <c r="G1252" t="s">
        <v>217</v>
      </c>
      <c r="H1252">
        <v>28152</v>
      </c>
      <c r="I1252">
        <v>536785.38660917978</v>
      </c>
      <c r="J1252">
        <v>564937.38660917978</v>
      </c>
      <c r="K1252">
        <f>IFERROR(VLOOKUP(F1252,'LEAID Match'!$A$2:$B$236,2,FALSE),"")</f>
        <v>0</v>
      </c>
    </row>
    <row r="1253" spans="1:11" x14ac:dyDescent="0.2">
      <c r="A1253">
        <f t="shared" si="19"/>
        <v>0</v>
      </c>
      <c r="B1253">
        <v>2018</v>
      </c>
      <c r="C1253" t="s">
        <v>642</v>
      </c>
      <c r="D1253" t="s">
        <v>644</v>
      </c>
      <c r="E1253" t="s">
        <v>646</v>
      </c>
      <c r="F1253" t="s">
        <v>216</v>
      </c>
      <c r="G1253" t="s">
        <v>217</v>
      </c>
      <c r="H1253">
        <v>35443</v>
      </c>
      <c r="I1253">
        <v>718404.5811909535</v>
      </c>
      <c r="J1253">
        <v>753847.5811909535</v>
      </c>
      <c r="K1253">
        <f>IFERROR(VLOOKUP(F1253,'LEAID Match'!$A$2:$B$236,2,FALSE),"")</f>
        <v>0</v>
      </c>
    </row>
    <row r="1254" spans="1:11" x14ac:dyDescent="0.2">
      <c r="A1254">
        <f t="shared" si="19"/>
        <v>0</v>
      </c>
      <c r="B1254">
        <v>2019</v>
      </c>
      <c r="C1254" t="s">
        <v>642</v>
      </c>
      <c r="D1254" t="s">
        <v>644</v>
      </c>
      <c r="E1254" t="s">
        <v>646</v>
      </c>
      <c r="F1254" t="s">
        <v>216</v>
      </c>
      <c r="G1254" t="s">
        <v>217</v>
      </c>
      <c r="H1254">
        <v>38869</v>
      </c>
      <c r="I1254">
        <v>832730.87094223837</v>
      </c>
      <c r="J1254">
        <v>871599.87094223837</v>
      </c>
      <c r="K1254">
        <f>IFERROR(VLOOKUP(F1254,'LEAID Match'!$A$2:$B$236,2,FALSE),"")</f>
        <v>0</v>
      </c>
    </row>
    <row r="1255" spans="1:11" x14ac:dyDescent="0.2">
      <c r="A1255">
        <f t="shared" si="19"/>
        <v>0</v>
      </c>
      <c r="B1255">
        <v>2020</v>
      </c>
      <c r="C1255" t="s">
        <v>642</v>
      </c>
      <c r="D1255" t="s">
        <v>644</v>
      </c>
      <c r="E1255" t="s">
        <v>646</v>
      </c>
      <c r="F1255" t="s">
        <v>216</v>
      </c>
      <c r="G1255" t="s">
        <v>217</v>
      </c>
      <c r="H1255">
        <v>55357</v>
      </c>
      <c r="I1255">
        <v>1233460.6363003866</v>
      </c>
      <c r="J1255">
        <v>1288817.6363003866</v>
      </c>
      <c r="K1255">
        <f>IFERROR(VLOOKUP(F1255,'LEAID Match'!$A$2:$B$236,2,FALSE),"")</f>
        <v>0</v>
      </c>
    </row>
    <row r="1256" spans="1:11" x14ac:dyDescent="0.2">
      <c r="A1256">
        <f t="shared" si="19"/>
        <v>0</v>
      </c>
      <c r="B1256">
        <v>2021</v>
      </c>
      <c r="C1256" t="s">
        <v>642</v>
      </c>
      <c r="D1256" t="s">
        <v>644</v>
      </c>
      <c r="E1256" t="s">
        <v>646</v>
      </c>
      <c r="F1256" t="s">
        <v>216</v>
      </c>
      <c r="G1256" t="s">
        <v>217</v>
      </c>
      <c r="H1256">
        <v>57871</v>
      </c>
      <c r="I1256">
        <v>972195.20794368838</v>
      </c>
      <c r="J1256">
        <v>1030066.2079436884</v>
      </c>
      <c r="K1256">
        <f>IFERROR(VLOOKUP(F1256,'LEAID Match'!$A$2:$B$236,2,FALSE),"")</f>
        <v>0</v>
      </c>
    </row>
    <row r="1257" spans="1:11" x14ac:dyDescent="0.2">
      <c r="A1257">
        <f t="shared" si="19"/>
        <v>0</v>
      </c>
      <c r="B1257">
        <v>2022</v>
      </c>
      <c r="C1257" t="s">
        <v>642</v>
      </c>
      <c r="D1257" t="s">
        <v>644</v>
      </c>
      <c r="E1257" t="s">
        <v>646</v>
      </c>
      <c r="F1257" t="s">
        <v>216</v>
      </c>
      <c r="G1257" t="s">
        <v>217</v>
      </c>
      <c r="H1257">
        <v>67093</v>
      </c>
      <c r="I1257">
        <v>965801.90532399097</v>
      </c>
      <c r="J1257">
        <v>1032894.905323991</v>
      </c>
      <c r="K1257">
        <f>IFERROR(VLOOKUP(F1257,'LEAID Match'!$A$2:$B$236,2,FALSE),"")</f>
        <v>0</v>
      </c>
    </row>
    <row r="1258" spans="1:11" x14ac:dyDescent="0.2">
      <c r="A1258" t="str">
        <f t="shared" si="19"/>
        <v/>
      </c>
      <c r="B1258">
        <v>2015</v>
      </c>
      <c r="C1258" t="s">
        <v>642</v>
      </c>
      <c r="D1258" t="s">
        <v>644</v>
      </c>
      <c r="E1258" t="s">
        <v>646</v>
      </c>
      <c r="F1258" t="s">
        <v>218</v>
      </c>
      <c r="G1258" t="s">
        <v>219</v>
      </c>
      <c r="I1258">
        <v>0</v>
      </c>
      <c r="J1258">
        <v>0</v>
      </c>
      <c r="K1258" t="str">
        <f>IFERROR(VLOOKUP(F1258,'LEAID Match'!$A$2:$B$236,2,FALSE),"")</f>
        <v/>
      </c>
    </row>
    <row r="1259" spans="1:11" x14ac:dyDescent="0.2">
      <c r="A1259" t="str">
        <f t="shared" si="19"/>
        <v/>
      </c>
      <c r="B1259">
        <v>2016</v>
      </c>
      <c r="C1259" t="s">
        <v>642</v>
      </c>
      <c r="D1259" t="s">
        <v>644</v>
      </c>
      <c r="E1259" t="s">
        <v>646</v>
      </c>
      <c r="F1259" s="1" t="s">
        <v>218</v>
      </c>
      <c r="G1259" s="1" t="s">
        <v>219</v>
      </c>
      <c r="H1259" s="22"/>
      <c r="I1259">
        <v>0</v>
      </c>
      <c r="J1259">
        <v>0</v>
      </c>
      <c r="K1259" t="str">
        <f>IFERROR(VLOOKUP(F1259,'LEAID Match'!$A$2:$B$236,2,FALSE),"")</f>
        <v/>
      </c>
    </row>
    <row r="1260" spans="1:11" x14ac:dyDescent="0.2">
      <c r="A1260" t="str">
        <f t="shared" si="19"/>
        <v/>
      </c>
      <c r="B1260">
        <v>2017</v>
      </c>
      <c r="C1260" t="s">
        <v>642</v>
      </c>
      <c r="D1260" t="s">
        <v>644</v>
      </c>
      <c r="E1260" t="s">
        <v>646</v>
      </c>
      <c r="F1260" t="s">
        <v>218</v>
      </c>
      <c r="G1260" t="s">
        <v>219</v>
      </c>
      <c r="I1260">
        <v>0</v>
      </c>
      <c r="J1260">
        <v>0</v>
      </c>
      <c r="K1260" t="str">
        <f>IFERROR(VLOOKUP(F1260,'LEAID Match'!$A$2:$B$236,2,FALSE),"")</f>
        <v/>
      </c>
    </row>
    <row r="1261" spans="1:11" x14ac:dyDescent="0.2">
      <c r="A1261" t="str">
        <f t="shared" si="19"/>
        <v/>
      </c>
      <c r="B1261">
        <v>2018</v>
      </c>
      <c r="C1261" t="s">
        <v>642</v>
      </c>
      <c r="D1261" t="s">
        <v>644</v>
      </c>
      <c r="E1261" t="s">
        <v>646</v>
      </c>
      <c r="F1261" t="s">
        <v>218</v>
      </c>
      <c r="G1261" t="s">
        <v>219</v>
      </c>
      <c r="I1261">
        <v>0</v>
      </c>
      <c r="J1261">
        <v>0</v>
      </c>
      <c r="K1261" t="str">
        <f>IFERROR(VLOOKUP(F1261,'LEAID Match'!$A$2:$B$236,2,FALSE),"")</f>
        <v/>
      </c>
    </row>
    <row r="1262" spans="1:11" x14ac:dyDescent="0.2">
      <c r="A1262" t="str">
        <f t="shared" si="19"/>
        <v/>
      </c>
      <c r="B1262">
        <v>2019</v>
      </c>
      <c r="C1262" t="s">
        <v>642</v>
      </c>
      <c r="D1262" t="s">
        <v>644</v>
      </c>
      <c r="E1262" t="s">
        <v>646</v>
      </c>
      <c r="F1262" t="s">
        <v>218</v>
      </c>
      <c r="G1262" t="s">
        <v>219</v>
      </c>
      <c r="I1262">
        <v>0</v>
      </c>
      <c r="J1262">
        <v>0</v>
      </c>
      <c r="K1262" t="str">
        <f>IFERROR(VLOOKUP(F1262,'LEAID Match'!$A$2:$B$236,2,FALSE),"")</f>
        <v/>
      </c>
    </row>
    <row r="1263" spans="1:11" x14ac:dyDescent="0.2">
      <c r="A1263" t="str">
        <f t="shared" si="19"/>
        <v/>
      </c>
      <c r="B1263">
        <v>2020</v>
      </c>
      <c r="C1263" t="s">
        <v>642</v>
      </c>
      <c r="D1263" t="s">
        <v>644</v>
      </c>
      <c r="E1263" t="s">
        <v>646</v>
      </c>
      <c r="F1263" t="s">
        <v>218</v>
      </c>
      <c r="G1263" t="s">
        <v>219</v>
      </c>
      <c r="I1263">
        <v>0</v>
      </c>
      <c r="J1263">
        <v>0</v>
      </c>
      <c r="K1263" t="str">
        <f>IFERROR(VLOOKUP(F1263,'LEAID Match'!$A$2:$B$236,2,FALSE),"")</f>
        <v/>
      </c>
    </row>
    <row r="1264" spans="1:11" x14ac:dyDescent="0.2">
      <c r="A1264" t="str">
        <f t="shared" si="19"/>
        <v/>
      </c>
      <c r="B1264">
        <v>2021</v>
      </c>
      <c r="C1264" t="s">
        <v>642</v>
      </c>
      <c r="D1264" t="s">
        <v>644</v>
      </c>
      <c r="E1264" t="s">
        <v>646</v>
      </c>
      <c r="F1264" t="s">
        <v>218</v>
      </c>
      <c r="G1264" t="s">
        <v>219</v>
      </c>
      <c r="I1264">
        <v>0</v>
      </c>
      <c r="J1264">
        <v>0</v>
      </c>
      <c r="K1264" t="str">
        <f>IFERROR(VLOOKUP(F1264,'LEAID Match'!$A$2:$B$236,2,FALSE),"")</f>
        <v/>
      </c>
    </row>
    <row r="1265" spans="1:11" x14ac:dyDescent="0.2">
      <c r="A1265" t="str">
        <f t="shared" si="19"/>
        <v/>
      </c>
      <c r="B1265">
        <v>2022</v>
      </c>
      <c r="C1265" t="s">
        <v>642</v>
      </c>
      <c r="D1265" t="s">
        <v>644</v>
      </c>
      <c r="E1265" t="s">
        <v>646</v>
      </c>
      <c r="F1265" t="s">
        <v>218</v>
      </c>
      <c r="G1265" t="s">
        <v>219</v>
      </c>
      <c r="I1265">
        <v>0</v>
      </c>
      <c r="J1265">
        <v>0</v>
      </c>
      <c r="K1265" t="str">
        <f>IFERROR(VLOOKUP(F1265,'LEAID Match'!$A$2:$B$236,2,FALSE),"")</f>
        <v/>
      </c>
    </row>
    <row r="1266" spans="1:11" x14ac:dyDescent="0.2">
      <c r="A1266">
        <f t="shared" si="19"/>
        <v>2309330</v>
      </c>
      <c r="B1266">
        <v>2015</v>
      </c>
      <c r="C1266" t="s">
        <v>642</v>
      </c>
      <c r="D1266" t="s">
        <v>644</v>
      </c>
      <c r="E1266" t="s">
        <v>646</v>
      </c>
      <c r="F1266" t="s">
        <v>220</v>
      </c>
      <c r="G1266" t="s">
        <v>221</v>
      </c>
      <c r="H1266">
        <v>229</v>
      </c>
      <c r="I1266">
        <v>4390.7637628348029</v>
      </c>
      <c r="J1266">
        <v>4619.7637628348029</v>
      </c>
      <c r="K1266">
        <f>IFERROR(VLOOKUP(F1266,'LEAID Match'!$A$2:$B$236,2,FALSE),"")</f>
        <v>2309330</v>
      </c>
    </row>
    <row r="1267" spans="1:11" x14ac:dyDescent="0.2">
      <c r="A1267">
        <f t="shared" si="19"/>
        <v>2309330</v>
      </c>
      <c r="B1267">
        <v>2016</v>
      </c>
      <c r="C1267" t="s">
        <v>642</v>
      </c>
      <c r="D1267" t="s">
        <v>644</v>
      </c>
      <c r="E1267" t="s">
        <v>646</v>
      </c>
      <c r="F1267" s="1" t="s">
        <v>220</v>
      </c>
      <c r="G1267" s="1" t="s">
        <v>221</v>
      </c>
      <c r="H1267" s="22">
        <v>92</v>
      </c>
      <c r="I1267">
        <v>1748.4234076630635</v>
      </c>
      <c r="J1267">
        <v>1840.4234076630635</v>
      </c>
      <c r="K1267">
        <f>IFERROR(VLOOKUP(F1267,'LEAID Match'!$A$2:$B$236,2,FALSE),"")</f>
        <v>2309330</v>
      </c>
    </row>
    <row r="1268" spans="1:11" x14ac:dyDescent="0.2">
      <c r="A1268">
        <f t="shared" si="19"/>
        <v>2309330</v>
      </c>
      <c r="B1268">
        <v>2017</v>
      </c>
      <c r="C1268" t="s">
        <v>642</v>
      </c>
      <c r="D1268" t="s">
        <v>644</v>
      </c>
      <c r="E1268" t="s">
        <v>646</v>
      </c>
      <c r="F1268" t="s">
        <v>220</v>
      </c>
      <c r="G1268" t="s">
        <v>221</v>
      </c>
      <c r="I1268">
        <v>0</v>
      </c>
      <c r="J1268">
        <v>0</v>
      </c>
      <c r="K1268">
        <f>IFERROR(VLOOKUP(F1268,'LEAID Match'!$A$2:$B$236,2,FALSE),"")</f>
        <v>2309330</v>
      </c>
    </row>
    <row r="1269" spans="1:11" x14ac:dyDescent="0.2">
      <c r="A1269">
        <f t="shared" si="19"/>
        <v>2309330</v>
      </c>
      <c r="B1269">
        <v>2018</v>
      </c>
      <c r="C1269" t="s">
        <v>642</v>
      </c>
      <c r="D1269" t="s">
        <v>644</v>
      </c>
      <c r="E1269" t="s">
        <v>646</v>
      </c>
      <c r="F1269" t="s">
        <v>220</v>
      </c>
      <c r="G1269" t="s">
        <v>221</v>
      </c>
      <c r="I1269">
        <v>0</v>
      </c>
      <c r="J1269">
        <v>0</v>
      </c>
      <c r="K1269">
        <f>IFERROR(VLOOKUP(F1269,'LEAID Match'!$A$2:$B$236,2,FALSE),"")</f>
        <v>2309330</v>
      </c>
    </row>
    <row r="1270" spans="1:11" x14ac:dyDescent="0.2">
      <c r="A1270">
        <f t="shared" si="19"/>
        <v>2309330</v>
      </c>
      <c r="B1270">
        <v>2019</v>
      </c>
      <c r="C1270" t="s">
        <v>642</v>
      </c>
      <c r="D1270" t="s">
        <v>644</v>
      </c>
      <c r="E1270" t="s">
        <v>646</v>
      </c>
      <c r="F1270" t="s">
        <v>220</v>
      </c>
      <c r="G1270" t="s">
        <v>221</v>
      </c>
      <c r="I1270">
        <v>0</v>
      </c>
      <c r="J1270">
        <v>0</v>
      </c>
      <c r="K1270">
        <f>IFERROR(VLOOKUP(F1270,'LEAID Match'!$A$2:$B$236,2,FALSE),"")</f>
        <v>2309330</v>
      </c>
    </row>
    <row r="1271" spans="1:11" x14ac:dyDescent="0.2">
      <c r="A1271">
        <f t="shared" si="19"/>
        <v>2309330</v>
      </c>
      <c r="B1271">
        <v>2020</v>
      </c>
      <c r="C1271" t="s">
        <v>642</v>
      </c>
      <c r="D1271" t="s">
        <v>644</v>
      </c>
      <c r="E1271" t="s">
        <v>646</v>
      </c>
      <c r="F1271" t="s">
        <v>220</v>
      </c>
      <c r="G1271" t="s">
        <v>221</v>
      </c>
      <c r="I1271">
        <v>0</v>
      </c>
      <c r="J1271">
        <v>0</v>
      </c>
      <c r="K1271">
        <f>IFERROR(VLOOKUP(F1271,'LEAID Match'!$A$2:$B$236,2,FALSE),"")</f>
        <v>2309330</v>
      </c>
    </row>
    <row r="1272" spans="1:11" x14ac:dyDescent="0.2">
      <c r="A1272">
        <f t="shared" si="19"/>
        <v>2309330</v>
      </c>
      <c r="B1272">
        <v>2021</v>
      </c>
      <c r="C1272" t="s">
        <v>642</v>
      </c>
      <c r="D1272" t="s">
        <v>644</v>
      </c>
      <c r="E1272" t="s">
        <v>646</v>
      </c>
      <c r="F1272" t="s">
        <v>220</v>
      </c>
      <c r="G1272" t="s">
        <v>221</v>
      </c>
      <c r="H1272">
        <v>3466</v>
      </c>
      <c r="I1272">
        <v>58226.548543015051</v>
      </c>
      <c r="J1272">
        <v>61692.548543015051</v>
      </c>
      <c r="K1272">
        <f>IFERROR(VLOOKUP(F1272,'LEAID Match'!$A$2:$B$236,2,FALSE),"")</f>
        <v>2309330</v>
      </c>
    </row>
    <row r="1273" spans="1:11" x14ac:dyDescent="0.2">
      <c r="A1273">
        <f t="shared" si="19"/>
        <v>2309330</v>
      </c>
      <c r="B1273">
        <v>2022</v>
      </c>
      <c r="C1273" t="s">
        <v>642</v>
      </c>
      <c r="D1273" t="s">
        <v>644</v>
      </c>
      <c r="E1273" t="s">
        <v>646</v>
      </c>
      <c r="F1273" t="s">
        <v>220</v>
      </c>
      <c r="G1273" t="s">
        <v>221</v>
      </c>
      <c r="H1273">
        <v>3332</v>
      </c>
      <c r="I1273">
        <v>47964.04913388189</v>
      </c>
      <c r="J1273">
        <v>51296.04913388189</v>
      </c>
      <c r="K1273">
        <f>IFERROR(VLOOKUP(F1273,'LEAID Match'!$A$2:$B$236,2,FALSE),"")</f>
        <v>2309330</v>
      </c>
    </row>
    <row r="1274" spans="1:11" x14ac:dyDescent="0.2">
      <c r="A1274">
        <f t="shared" si="19"/>
        <v>2304890</v>
      </c>
      <c r="B1274">
        <v>2015</v>
      </c>
      <c r="C1274" t="s">
        <v>642</v>
      </c>
      <c r="D1274" t="s">
        <v>644</v>
      </c>
      <c r="E1274" t="s">
        <v>646</v>
      </c>
      <c r="F1274" t="s">
        <v>222</v>
      </c>
      <c r="G1274" t="s">
        <v>223</v>
      </c>
      <c r="I1274">
        <v>0</v>
      </c>
      <c r="J1274">
        <v>0</v>
      </c>
      <c r="K1274">
        <f>IFERROR(VLOOKUP(F1274,'LEAID Match'!$A$2:$B$236,2,FALSE),"")</f>
        <v>2304890</v>
      </c>
    </row>
    <row r="1275" spans="1:11" x14ac:dyDescent="0.2">
      <c r="A1275">
        <f t="shared" si="19"/>
        <v>2304890</v>
      </c>
      <c r="B1275">
        <v>2016</v>
      </c>
      <c r="C1275" t="s">
        <v>642</v>
      </c>
      <c r="D1275" t="s">
        <v>644</v>
      </c>
      <c r="E1275" t="s">
        <v>646</v>
      </c>
      <c r="F1275" s="1" t="s">
        <v>222</v>
      </c>
      <c r="G1275" s="1" t="s">
        <v>223</v>
      </c>
      <c r="H1275" s="22">
        <v>2943</v>
      </c>
      <c r="I1275">
        <v>55930.544442960811</v>
      </c>
      <c r="J1275">
        <v>58873.544442960811</v>
      </c>
      <c r="K1275">
        <f>IFERROR(VLOOKUP(F1275,'LEAID Match'!$A$2:$B$236,2,FALSE),"")</f>
        <v>2304890</v>
      </c>
    </row>
    <row r="1276" spans="1:11" x14ac:dyDescent="0.2">
      <c r="A1276">
        <f t="shared" si="19"/>
        <v>2304890</v>
      </c>
      <c r="B1276">
        <v>2017</v>
      </c>
      <c r="C1276" t="s">
        <v>642</v>
      </c>
      <c r="D1276" t="s">
        <v>644</v>
      </c>
      <c r="E1276" t="s">
        <v>646</v>
      </c>
      <c r="F1276" t="s">
        <v>222</v>
      </c>
      <c r="G1276" t="s">
        <v>223</v>
      </c>
      <c r="H1276">
        <v>2594</v>
      </c>
      <c r="I1276">
        <v>49460.830238143382</v>
      </c>
      <c r="J1276">
        <v>52054.830238143382</v>
      </c>
      <c r="K1276">
        <f>IFERROR(VLOOKUP(F1276,'LEAID Match'!$A$2:$B$236,2,FALSE),"")</f>
        <v>2304890</v>
      </c>
    </row>
    <row r="1277" spans="1:11" x14ac:dyDescent="0.2">
      <c r="A1277">
        <f t="shared" si="19"/>
        <v>2304890</v>
      </c>
      <c r="B1277">
        <v>2018</v>
      </c>
      <c r="C1277" t="s">
        <v>642</v>
      </c>
      <c r="D1277" t="s">
        <v>644</v>
      </c>
      <c r="E1277" t="s">
        <v>646</v>
      </c>
      <c r="F1277" t="s">
        <v>222</v>
      </c>
      <c r="G1277" t="s">
        <v>223</v>
      </c>
      <c r="H1277">
        <v>4185</v>
      </c>
      <c r="I1277">
        <v>84826.994675511116</v>
      </c>
      <c r="J1277">
        <v>89011.994675511116</v>
      </c>
      <c r="K1277">
        <f>IFERROR(VLOOKUP(F1277,'LEAID Match'!$A$2:$B$236,2,FALSE),"")</f>
        <v>2304890</v>
      </c>
    </row>
    <row r="1278" spans="1:11" x14ac:dyDescent="0.2">
      <c r="A1278">
        <f t="shared" si="19"/>
        <v>2304890</v>
      </c>
      <c r="B1278">
        <v>2019</v>
      </c>
      <c r="C1278" t="s">
        <v>642</v>
      </c>
      <c r="D1278" t="s">
        <v>644</v>
      </c>
      <c r="E1278" t="s">
        <v>646</v>
      </c>
      <c r="F1278" t="s">
        <v>222</v>
      </c>
      <c r="G1278" t="s">
        <v>223</v>
      </c>
      <c r="H1278">
        <v>7221</v>
      </c>
      <c r="I1278">
        <v>154702.96686495419</v>
      </c>
      <c r="J1278">
        <v>161923.96686495419</v>
      </c>
      <c r="K1278">
        <f>IFERROR(VLOOKUP(F1278,'LEAID Match'!$A$2:$B$236,2,FALSE),"")</f>
        <v>2304890</v>
      </c>
    </row>
    <row r="1279" spans="1:11" x14ac:dyDescent="0.2">
      <c r="A1279">
        <f t="shared" si="19"/>
        <v>2304890</v>
      </c>
      <c r="B1279">
        <v>2020</v>
      </c>
      <c r="C1279" t="s">
        <v>642</v>
      </c>
      <c r="D1279" t="s">
        <v>644</v>
      </c>
      <c r="E1279" t="s">
        <v>646</v>
      </c>
      <c r="F1279" t="s">
        <v>222</v>
      </c>
      <c r="G1279" t="s">
        <v>223</v>
      </c>
      <c r="H1279">
        <v>9529</v>
      </c>
      <c r="I1279">
        <v>212324.48296161977</v>
      </c>
      <c r="J1279">
        <v>221853.48296161977</v>
      </c>
      <c r="K1279">
        <f>IFERROR(VLOOKUP(F1279,'LEAID Match'!$A$2:$B$236,2,FALSE),"")</f>
        <v>2304890</v>
      </c>
    </row>
    <row r="1280" spans="1:11" x14ac:dyDescent="0.2">
      <c r="A1280">
        <f t="shared" si="19"/>
        <v>2304890</v>
      </c>
      <c r="B1280">
        <v>2021</v>
      </c>
      <c r="C1280" t="s">
        <v>642</v>
      </c>
      <c r="D1280" t="s">
        <v>644</v>
      </c>
      <c r="E1280" t="s">
        <v>646</v>
      </c>
      <c r="F1280" t="s">
        <v>222</v>
      </c>
      <c r="G1280" t="s">
        <v>223</v>
      </c>
      <c r="H1280">
        <v>9701</v>
      </c>
      <c r="I1280">
        <v>162970.49838886008</v>
      </c>
      <c r="J1280">
        <v>172671.49838886008</v>
      </c>
      <c r="K1280">
        <f>IFERROR(VLOOKUP(F1280,'LEAID Match'!$A$2:$B$236,2,FALSE),"")</f>
        <v>2304890</v>
      </c>
    </row>
    <row r="1281" spans="1:11" x14ac:dyDescent="0.2">
      <c r="A1281">
        <f t="shared" si="19"/>
        <v>2304890</v>
      </c>
      <c r="B1281">
        <v>2022</v>
      </c>
      <c r="C1281" t="s">
        <v>642</v>
      </c>
      <c r="D1281" t="s">
        <v>644</v>
      </c>
      <c r="E1281" t="s">
        <v>646</v>
      </c>
      <c r="F1281" t="s">
        <v>222</v>
      </c>
      <c r="G1281" t="s">
        <v>223</v>
      </c>
      <c r="H1281">
        <v>10162</v>
      </c>
      <c r="I1281">
        <v>146281.71287470221</v>
      </c>
      <c r="J1281">
        <v>156443.71287470221</v>
      </c>
      <c r="K1281">
        <f>IFERROR(VLOOKUP(F1281,'LEAID Match'!$A$2:$B$236,2,FALSE),"")</f>
        <v>2304890</v>
      </c>
    </row>
    <row r="1282" spans="1:11" x14ac:dyDescent="0.2">
      <c r="A1282" t="str">
        <f t="shared" si="19"/>
        <v/>
      </c>
      <c r="B1282">
        <v>2015</v>
      </c>
      <c r="C1282" t="s">
        <v>642</v>
      </c>
      <c r="D1282" t="s">
        <v>644</v>
      </c>
      <c r="E1282" t="s">
        <v>646</v>
      </c>
      <c r="F1282" t="s">
        <v>224</v>
      </c>
      <c r="G1282" t="s">
        <v>225</v>
      </c>
      <c r="I1282">
        <v>0</v>
      </c>
      <c r="J1282">
        <v>0</v>
      </c>
      <c r="K1282" t="str">
        <f>IFERROR(VLOOKUP(F1282,'LEAID Match'!$A$2:$B$236,2,FALSE),"")</f>
        <v/>
      </c>
    </row>
    <row r="1283" spans="1:11" x14ac:dyDescent="0.2">
      <c r="A1283" t="str">
        <f t="shared" ref="A1283:A1346" si="20">K1283</f>
        <v/>
      </c>
      <c r="B1283">
        <v>2016</v>
      </c>
      <c r="C1283" t="s">
        <v>642</v>
      </c>
      <c r="D1283" t="s">
        <v>644</v>
      </c>
      <c r="E1283" t="s">
        <v>646</v>
      </c>
      <c r="F1283" s="1" t="s">
        <v>224</v>
      </c>
      <c r="G1283" s="1" t="s">
        <v>225</v>
      </c>
      <c r="H1283" s="22"/>
      <c r="I1283">
        <v>0</v>
      </c>
      <c r="J1283">
        <v>0</v>
      </c>
      <c r="K1283" t="str">
        <f>IFERROR(VLOOKUP(F1283,'LEAID Match'!$A$2:$B$236,2,FALSE),"")</f>
        <v/>
      </c>
    </row>
    <row r="1284" spans="1:11" x14ac:dyDescent="0.2">
      <c r="A1284" t="str">
        <f t="shared" si="20"/>
        <v/>
      </c>
      <c r="B1284">
        <v>2017</v>
      </c>
      <c r="C1284" t="s">
        <v>642</v>
      </c>
      <c r="D1284" t="s">
        <v>644</v>
      </c>
      <c r="E1284" t="s">
        <v>646</v>
      </c>
      <c r="F1284" t="s">
        <v>224</v>
      </c>
      <c r="G1284" t="s">
        <v>225</v>
      </c>
      <c r="I1284">
        <v>0</v>
      </c>
      <c r="J1284">
        <v>0</v>
      </c>
      <c r="K1284" t="str">
        <f>IFERROR(VLOOKUP(F1284,'LEAID Match'!$A$2:$B$236,2,FALSE),"")</f>
        <v/>
      </c>
    </row>
    <row r="1285" spans="1:11" x14ac:dyDescent="0.2">
      <c r="A1285" t="str">
        <f t="shared" si="20"/>
        <v/>
      </c>
      <c r="B1285">
        <v>2018</v>
      </c>
      <c r="C1285" t="s">
        <v>642</v>
      </c>
      <c r="D1285" t="s">
        <v>644</v>
      </c>
      <c r="E1285" t="s">
        <v>646</v>
      </c>
      <c r="F1285" t="s">
        <v>224</v>
      </c>
      <c r="G1285" t="s">
        <v>225</v>
      </c>
      <c r="I1285">
        <v>0</v>
      </c>
      <c r="J1285">
        <v>0</v>
      </c>
      <c r="K1285" t="str">
        <f>IFERROR(VLOOKUP(F1285,'LEAID Match'!$A$2:$B$236,2,FALSE),"")</f>
        <v/>
      </c>
    </row>
    <row r="1286" spans="1:11" x14ac:dyDescent="0.2">
      <c r="A1286" t="str">
        <f t="shared" si="20"/>
        <v/>
      </c>
      <c r="B1286">
        <v>2019</v>
      </c>
      <c r="C1286" t="s">
        <v>642</v>
      </c>
      <c r="D1286" t="s">
        <v>644</v>
      </c>
      <c r="E1286" t="s">
        <v>646</v>
      </c>
      <c r="F1286" t="s">
        <v>224</v>
      </c>
      <c r="G1286" t="s">
        <v>225</v>
      </c>
      <c r="I1286">
        <v>0</v>
      </c>
      <c r="J1286">
        <v>0</v>
      </c>
      <c r="K1286" t="str">
        <f>IFERROR(VLOOKUP(F1286,'LEAID Match'!$A$2:$B$236,2,FALSE),"")</f>
        <v/>
      </c>
    </row>
    <row r="1287" spans="1:11" x14ac:dyDescent="0.2">
      <c r="A1287" t="str">
        <f t="shared" si="20"/>
        <v/>
      </c>
      <c r="B1287">
        <v>2020</v>
      </c>
      <c r="C1287" t="s">
        <v>642</v>
      </c>
      <c r="D1287" t="s">
        <v>644</v>
      </c>
      <c r="E1287" t="s">
        <v>646</v>
      </c>
      <c r="F1287" t="s">
        <v>224</v>
      </c>
      <c r="G1287" t="s">
        <v>225</v>
      </c>
      <c r="I1287">
        <v>0</v>
      </c>
      <c r="J1287">
        <v>0</v>
      </c>
      <c r="K1287" t="str">
        <f>IFERROR(VLOOKUP(F1287,'LEAID Match'!$A$2:$B$236,2,FALSE),"")</f>
        <v/>
      </c>
    </row>
    <row r="1288" spans="1:11" x14ac:dyDescent="0.2">
      <c r="A1288" t="str">
        <f t="shared" si="20"/>
        <v/>
      </c>
      <c r="B1288">
        <v>2021</v>
      </c>
      <c r="C1288" t="s">
        <v>642</v>
      </c>
      <c r="D1288" t="s">
        <v>644</v>
      </c>
      <c r="E1288" t="s">
        <v>646</v>
      </c>
      <c r="F1288" t="s">
        <v>224</v>
      </c>
      <c r="G1288" t="s">
        <v>225</v>
      </c>
      <c r="I1288">
        <v>0</v>
      </c>
      <c r="J1288">
        <v>0</v>
      </c>
      <c r="K1288" t="str">
        <f>IFERROR(VLOOKUP(F1288,'LEAID Match'!$A$2:$B$236,2,FALSE),"")</f>
        <v/>
      </c>
    </row>
    <row r="1289" spans="1:11" x14ac:dyDescent="0.2">
      <c r="A1289" t="str">
        <f t="shared" si="20"/>
        <v/>
      </c>
      <c r="B1289">
        <v>2022</v>
      </c>
      <c r="C1289" t="s">
        <v>642</v>
      </c>
      <c r="D1289" t="s">
        <v>644</v>
      </c>
      <c r="E1289" t="s">
        <v>646</v>
      </c>
      <c r="F1289" t="s">
        <v>224</v>
      </c>
      <c r="G1289" t="s">
        <v>225</v>
      </c>
      <c r="I1289">
        <v>0</v>
      </c>
      <c r="J1289">
        <v>0</v>
      </c>
      <c r="K1289" t="str">
        <f>IFERROR(VLOOKUP(F1289,'LEAID Match'!$A$2:$B$236,2,FALSE),"")</f>
        <v/>
      </c>
    </row>
    <row r="1290" spans="1:11" x14ac:dyDescent="0.2">
      <c r="A1290">
        <f t="shared" si="20"/>
        <v>2314762</v>
      </c>
      <c r="B1290">
        <v>2015</v>
      </c>
      <c r="C1290" t="s">
        <v>642</v>
      </c>
      <c r="D1290" t="s">
        <v>644</v>
      </c>
      <c r="E1290" t="s">
        <v>646</v>
      </c>
      <c r="F1290" s="1" t="s">
        <v>577</v>
      </c>
      <c r="G1290" t="s">
        <v>227</v>
      </c>
      <c r="H1290">
        <v>37127</v>
      </c>
      <c r="I1290">
        <v>711859.76516492455</v>
      </c>
      <c r="J1290">
        <v>748986.76516492455</v>
      </c>
      <c r="K1290">
        <f>IFERROR(VLOOKUP(F1290,'LEAID Match'!$A$2:$B$236,2,FALSE),"")</f>
        <v>2314762</v>
      </c>
    </row>
    <row r="1291" spans="1:11" x14ac:dyDescent="0.2">
      <c r="A1291">
        <f t="shared" si="20"/>
        <v>2314762</v>
      </c>
      <c r="B1291">
        <v>2016</v>
      </c>
      <c r="C1291" t="s">
        <v>642</v>
      </c>
      <c r="D1291" t="s">
        <v>644</v>
      </c>
      <c r="E1291" t="s">
        <v>646</v>
      </c>
      <c r="F1291" s="1" t="s">
        <v>577</v>
      </c>
      <c r="G1291" s="1" t="s">
        <v>227</v>
      </c>
      <c r="H1291" s="22">
        <v>36338</v>
      </c>
      <c r="I1291">
        <v>690589.23682239559</v>
      </c>
      <c r="J1291">
        <v>726927.23682239559</v>
      </c>
      <c r="K1291">
        <f>IFERROR(VLOOKUP(F1291,'LEAID Match'!$A$2:$B$236,2,FALSE),"")</f>
        <v>2314762</v>
      </c>
    </row>
    <row r="1292" spans="1:11" x14ac:dyDescent="0.2">
      <c r="A1292">
        <f t="shared" si="20"/>
        <v>2314762</v>
      </c>
      <c r="B1292">
        <v>2017</v>
      </c>
      <c r="C1292" t="s">
        <v>642</v>
      </c>
      <c r="D1292" t="s">
        <v>644</v>
      </c>
      <c r="E1292" t="s">
        <v>646</v>
      </c>
      <c r="F1292" t="s">
        <v>577</v>
      </c>
      <c r="G1292" t="s">
        <v>227</v>
      </c>
      <c r="H1292">
        <v>34745</v>
      </c>
      <c r="I1292">
        <v>662496.74118129979</v>
      </c>
      <c r="J1292">
        <v>697241.74118129979</v>
      </c>
      <c r="K1292">
        <f>IFERROR(VLOOKUP(F1292,'LEAID Match'!$A$2:$B$236,2,FALSE),"")</f>
        <v>2314762</v>
      </c>
    </row>
    <row r="1293" spans="1:11" x14ac:dyDescent="0.2">
      <c r="A1293">
        <f t="shared" si="20"/>
        <v>2314762</v>
      </c>
      <c r="B1293">
        <v>2018</v>
      </c>
      <c r="C1293" t="s">
        <v>642</v>
      </c>
      <c r="D1293" t="s">
        <v>644</v>
      </c>
      <c r="E1293" t="s">
        <v>646</v>
      </c>
      <c r="F1293" t="s">
        <v>577</v>
      </c>
      <c r="G1293" t="s">
        <v>227</v>
      </c>
      <c r="H1293">
        <v>40737</v>
      </c>
      <c r="I1293">
        <v>825710.22272312944</v>
      </c>
      <c r="J1293">
        <v>866447.22272312944</v>
      </c>
      <c r="K1293">
        <f>IFERROR(VLOOKUP(F1293,'LEAID Match'!$A$2:$B$236,2,FALSE),"")</f>
        <v>2314762</v>
      </c>
    </row>
    <row r="1294" spans="1:11" x14ac:dyDescent="0.2">
      <c r="A1294">
        <f t="shared" si="20"/>
        <v>2314762</v>
      </c>
      <c r="B1294">
        <v>2019</v>
      </c>
      <c r="C1294" t="s">
        <v>642</v>
      </c>
      <c r="D1294" t="s">
        <v>644</v>
      </c>
      <c r="E1294" t="s">
        <v>646</v>
      </c>
      <c r="F1294" t="s">
        <v>577</v>
      </c>
      <c r="G1294" t="s">
        <v>227</v>
      </c>
      <c r="H1294">
        <v>34456</v>
      </c>
      <c r="I1294">
        <v>738186.59829647711</v>
      </c>
      <c r="J1294">
        <v>772642.59829647711</v>
      </c>
      <c r="K1294">
        <f>IFERROR(VLOOKUP(F1294,'LEAID Match'!$A$2:$B$236,2,FALSE),"")</f>
        <v>2314762</v>
      </c>
    </row>
    <row r="1295" spans="1:11" x14ac:dyDescent="0.2">
      <c r="A1295">
        <f t="shared" si="20"/>
        <v>2314762</v>
      </c>
      <c r="B1295">
        <v>2020</v>
      </c>
      <c r="C1295" t="s">
        <v>642</v>
      </c>
      <c r="D1295" t="s">
        <v>644</v>
      </c>
      <c r="E1295" t="s">
        <v>646</v>
      </c>
      <c r="F1295" t="s">
        <v>577</v>
      </c>
      <c r="G1295" t="s">
        <v>227</v>
      </c>
      <c r="H1295">
        <v>38050</v>
      </c>
      <c r="I1295">
        <v>847827.32466047129</v>
      </c>
      <c r="J1295">
        <v>885877.32466047129</v>
      </c>
      <c r="K1295">
        <f>IFERROR(VLOOKUP(F1295,'LEAID Match'!$A$2:$B$236,2,FALSE),"")</f>
        <v>2314762</v>
      </c>
    </row>
    <row r="1296" spans="1:11" x14ac:dyDescent="0.2">
      <c r="A1296">
        <f t="shared" si="20"/>
        <v>2314762</v>
      </c>
      <c r="B1296">
        <v>2021</v>
      </c>
      <c r="C1296" t="s">
        <v>642</v>
      </c>
      <c r="D1296" t="s">
        <v>644</v>
      </c>
      <c r="E1296" t="s">
        <v>646</v>
      </c>
      <c r="F1296" t="s">
        <v>577</v>
      </c>
      <c r="G1296" t="s">
        <v>227</v>
      </c>
      <c r="H1296">
        <v>57145</v>
      </c>
      <c r="I1296">
        <v>959998.87954142969</v>
      </c>
      <c r="J1296">
        <v>1017143.8795414297</v>
      </c>
      <c r="K1296">
        <f>IFERROR(VLOOKUP(F1296,'LEAID Match'!$A$2:$B$236,2,FALSE),"")</f>
        <v>2314762</v>
      </c>
    </row>
    <row r="1297" spans="1:11" x14ac:dyDescent="0.2">
      <c r="A1297">
        <f t="shared" si="20"/>
        <v>2314762</v>
      </c>
      <c r="B1297">
        <v>2022</v>
      </c>
      <c r="C1297" t="s">
        <v>642</v>
      </c>
      <c r="D1297" t="s">
        <v>644</v>
      </c>
      <c r="E1297" t="s">
        <v>646</v>
      </c>
      <c r="F1297" t="s">
        <v>577</v>
      </c>
      <c r="G1297" t="s">
        <v>227</v>
      </c>
      <c r="H1297">
        <v>73180</v>
      </c>
      <c r="I1297">
        <v>1053424.1043269739</v>
      </c>
      <c r="J1297">
        <v>1126604.1043269739</v>
      </c>
      <c r="K1297">
        <f>IFERROR(VLOOKUP(F1297,'LEAID Match'!$A$2:$B$236,2,FALSE),"")</f>
        <v>2314762</v>
      </c>
    </row>
    <row r="1298" spans="1:11" x14ac:dyDescent="0.2">
      <c r="A1298">
        <f t="shared" si="20"/>
        <v>2310680</v>
      </c>
      <c r="B1298">
        <v>2015</v>
      </c>
      <c r="C1298" t="s">
        <v>642</v>
      </c>
      <c r="D1298" t="s">
        <v>644</v>
      </c>
      <c r="E1298" t="s">
        <v>646</v>
      </c>
      <c r="F1298" t="s">
        <v>578</v>
      </c>
      <c r="G1298" t="s">
        <v>228</v>
      </c>
      <c r="H1298">
        <v>11667</v>
      </c>
      <c r="I1298">
        <v>223698.86821394603</v>
      </c>
      <c r="J1298">
        <v>235365.86821394603</v>
      </c>
      <c r="K1298">
        <f>IFERROR(VLOOKUP(F1298,'LEAID Match'!$A$2:$B$236,2,FALSE),"")</f>
        <v>2310680</v>
      </c>
    </row>
    <row r="1299" spans="1:11" x14ac:dyDescent="0.2">
      <c r="A1299">
        <f t="shared" si="20"/>
        <v>2310680</v>
      </c>
      <c r="B1299">
        <v>2016</v>
      </c>
      <c r="C1299" t="s">
        <v>642</v>
      </c>
      <c r="D1299" t="s">
        <v>644</v>
      </c>
      <c r="E1299" t="s">
        <v>646</v>
      </c>
      <c r="F1299" s="1" t="s">
        <v>578</v>
      </c>
      <c r="G1299" s="1" t="s">
        <v>228</v>
      </c>
      <c r="H1299" s="22">
        <v>10952</v>
      </c>
      <c r="I1299">
        <v>208138.40392093334</v>
      </c>
      <c r="J1299">
        <v>219090.40392093334</v>
      </c>
      <c r="K1299">
        <f>IFERROR(VLOOKUP(F1299,'LEAID Match'!$A$2:$B$236,2,FALSE),"")</f>
        <v>2310680</v>
      </c>
    </row>
    <row r="1300" spans="1:11" x14ac:dyDescent="0.2">
      <c r="A1300">
        <f t="shared" si="20"/>
        <v>2310680</v>
      </c>
      <c r="B1300">
        <v>2017</v>
      </c>
      <c r="C1300" t="s">
        <v>642</v>
      </c>
      <c r="D1300" t="s">
        <v>644</v>
      </c>
      <c r="E1300" t="s">
        <v>646</v>
      </c>
      <c r="F1300" t="s">
        <v>578</v>
      </c>
      <c r="G1300" t="s">
        <v>228</v>
      </c>
      <c r="H1300">
        <v>14805</v>
      </c>
      <c r="I1300">
        <v>282292.82639773045</v>
      </c>
      <c r="J1300">
        <v>297097.82639773045</v>
      </c>
      <c r="K1300">
        <f>IFERROR(VLOOKUP(F1300,'LEAID Match'!$A$2:$B$236,2,FALSE),"")</f>
        <v>2310680</v>
      </c>
    </row>
    <row r="1301" spans="1:11" x14ac:dyDescent="0.2">
      <c r="A1301">
        <f t="shared" si="20"/>
        <v>2310680</v>
      </c>
      <c r="B1301">
        <v>2018</v>
      </c>
      <c r="C1301" t="s">
        <v>642</v>
      </c>
      <c r="D1301" t="s">
        <v>644</v>
      </c>
      <c r="E1301" t="s">
        <v>646</v>
      </c>
      <c r="F1301" t="s">
        <v>578</v>
      </c>
      <c r="G1301" t="s">
        <v>228</v>
      </c>
      <c r="H1301">
        <v>18472</v>
      </c>
      <c r="I1301">
        <v>374414.39561434684</v>
      </c>
      <c r="J1301">
        <v>392886.39561434684</v>
      </c>
      <c r="K1301">
        <f>IFERROR(VLOOKUP(F1301,'LEAID Match'!$A$2:$B$236,2,FALSE),"")</f>
        <v>2310680</v>
      </c>
    </row>
    <row r="1302" spans="1:11" x14ac:dyDescent="0.2">
      <c r="A1302">
        <f t="shared" si="20"/>
        <v>2310680</v>
      </c>
      <c r="B1302">
        <v>2019</v>
      </c>
      <c r="C1302" t="s">
        <v>642</v>
      </c>
      <c r="D1302" t="s">
        <v>644</v>
      </c>
      <c r="E1302" t="s">
        <v>646</v>
      </c>
      <c r="F1302" t="s">
        <v>578</v>
      </c>
      <c r="G1302" t="s">
        <v>228</v>
      </c>
      <c r="H1302">
        <v>10533</v>
      </c>
      <c r="I1302">
        <v>225659.3754311816</v>
      </c>
      <c r="J1302">
        <v>236192.3754311816</v>
      </c>
      <c r="K1302">
        <f>IFERROR(VLOOKUP(F1302,'LEAID Match'!$A$2:$B$236,2,FALSE),"")</f>
        <v>2310680</v>
      </c>
    </row>
    <row r="1303" spans="1:11" x14ac:dyDescent="0.2">
      <c r="A1303">
        <f t="shared" si="20"/>
        <v>2310680</v>
      </c>
      <c r="B1303">
        <v>2020</v>
      </c>
      <c r="C1303" t="s">
        <v>642</v>
      </c>
      <c r="D1303" t="s">
        <v>644</v>
      </c>
      <c r="E1303" t="s">
        <v>646</v>
      </c>
      <c r="F1303" t="s">
        <v>578</v>
      </c>
      <c r="G1303" t="s">
        <v>228</v>
      </c>
      <c r="H1303">
        <v>15404</v>
      </c>
      <c r="I1303">
        <v>343230.80444336135</v>
      </c>
      <c r="J1303">
        <v>358634.80444336135</v>
      </c>
      <c r="K1303">
        <f>IFERROR(VLOOKUP(F1303,'LEAID Match'!$A$2:$B$236,2,FALSE),"")</f>
        <v>2310680</v>
      </c>
    </row>
    <row r="1304" spans="1:11" x14ac:dyDescent="0.2">
      <c r="A1304">
        <f t="shared" si="20"/>
        <v>2310680</v>
      </c>
      <c r="B1304">
        <v>2021</v>
      </c>
      <c r="C1304" t="s">
        <v>642</v>
      </c>
      <c r="D1304" t="s">
        <v>644</v>
      </c>
      <c r="E1304" t="s">
        <v>646</v>
      </c>
      <c r="F1304" t="s">
        <v>578</v>
      </c>
      <c r="G1304" t="s">
        <v>228</v>
      </c>
      <c r="H1304">
        <v>6566</v>
      </c>
      <c r="I1304">
        <v>110304.53483365172</v>
      </c>
      <c r="J1304">
        <v>116870.53483365172</v>
      </c>
      <c r="K1304">
        <f>IFERROR(VLOOKUP(F1304,'LEAID Match'!$A$2:$B$236,2,FALSE),"")</f>
        <v>2310680</v>
      </c>
    </row>
    <row r="1305" spans="1:11" x14ac:dyDescent="0.2">
      <c r="A1305">
        <f t="shared" si="20"/>
        <v>2310680</v>
      </c>
      <c r="B1305">
        <v>2022</v>
      </c>
      <c r="C1305" t="s">
        <v>642</v>
      </c>
      <c r="D1305" t="s">
        <v>644</v>
      </c>
      <c r="E1305" t="s">
        <v>646</v>
      </c>
      <c r="F1305" t="s">
        <v>578</v>
      </c>
      <c r="G1305" t="s">
        <v>228</v>
      </c>
      <c r="H1305">
        <v>7539</v>
      </c>
      <c r="I1305">
        <v>108523.69940586302</v>
      </c>
      <c r="J1305">
        <v>116062.69940586302</v>
      </c>
      <c r="K1305">
        <f>IFERROR(VLOOKUP(F1305,'LEAID Match'!$A$2:$B$236,2,FALSE),"")</f>
        <v>2310680</v>
      </c>
    </row>
    <row r="1306" spans="1:11" x14ac:dyDescent="0.2">
      <c r="A1306" t="str">
        <f t="shared" si="20"/>
        <v/>
      </c>
      <c r="B1306">
        <v>2015</v>
      </c>
      <c r="C1306" t="s">
        <v>642</v>
      </c>
      <c r="D1306" t="s">
        <v>644</v>
      </c>
      <c r="E1306" t="s">
        <v>646</v>
      </c>
      <c r="F1306" t="s">
        <v>229</v>
      </c>
      <c r="G1306" t="s">
        <v>230</v>
      </c>
      <c r="I1306">
        <v>0</v>
      </c>
      <c r="J1306">
        <v>0</v>
      </c>
      <c r="K1306" t="str">
        <f>IFERROR(VLOOKUP(F1306,'LEAID Match'!$A$2:$B$236,2,FALSE),"")</f>
        <v/>
      </c>
    </row>
    <row r="1307" spans="1:11" x14ac:dyDescent="0.2">
      <c r="A1307" t="str">
        <f t="shared" si="20"/>
        <v/>
      </c>
      <c r="B1307">
        <v>2016</v>
      </c>
      <c r="C1307" t="s">
        <v>642</v>
      </c>
      <c r="D1307" t="s">
        <v>644</v>
      </c>
      <c r="E1307" t="s">
        <v>646</v>
      </c>
      <c r="F1307" s="1" t="s">
        <v>229</v>
      </c>
      <c r="G1307" s="1" t="s">
        <v>230</v>
      </c>
      <c r="H1307" s="22"/>
      <c r="I1307">
        <v>0</v>
      </c>
      <c r="J1307">
        <v>0</v>
      </c>
      <c r="K1307" t="str">
        <f>IFERROR(VLOOKUP(F1307,'LEAID Match'!$A$2:$B$236,2,FALSE),"")</f>
        <v/>
      </c>
    </row>
    <row r="1308" spans="1:11" x14ac:dyDescent="0.2">
      <c r="A1308" t="str">
        <f t="shared" si="20"/>
        <v/>
      </c>
      <c r="B1308">
        <v>2017</v>
      </c>
      <c r="C1308" t="s">
        <v>642</v>
      </c>
      <c r="D1308" t="s">
        <v>644</v>
      </c>
      <c r="E1308" t="s">
        <v>646</v>
      </c>
      <c r="F1308" t="s">
        <v>229</v>
      </c>
      <c r="G1308" t="s">
        <v>230</v>
      </c>
      <c r="I1308">
        <v>0</v>
      </c>
      <c r="J1308">
        <v>0</v>
      </c>
      <c r="K1308" t="str">
        <f>IFERROR(VLOOKUP(F1308,'LEAID Match'!$A$2:$B$236,2,FALSE),"")</f>
        <v/>
      </c>
    </row>
    <row r="1309" spans="1:11" x14ac:dyDescent="0.2">
      <c r="A1309" t="str">
        <f t="shared" si="20"/>
        <v/>
      </c>
      <c r="B1309">
        <v>2018</v>
      </c>
      <c r="C1309" t="s">
        <v>642</v>
      </c>
      <c r="D1309" t="s">
        <v>644</v>
      </c>
      <c r="E1309" t="s">
        <v>646</v>
      </c>
      <c r="F1309" t="s">
        <v>229</v>
      </c>
      <c r="G1309" t="s">
        <v>230</v>
      </c>
      <c r="I1309">
        <v>0</v>
      </c>
      <c r="J1309">
        <v>0</v>
      </c>
      <c r="K1309" t="str">
        <f>IFERROR(VLOOKUP(F1309,'LEAID Match'!$A$2:$B$236,2,FALSE),"")</f>
        <v/>
      </c>
    </row>
    <row r="1310" spans="1:11" x14ac:dyDescent="0.2">
      <c r="A1310" t="str">
        <f t="shared" si="20"/>
        <v/>
      </c>
      <c r="B1310">
        <v>2019</v>
      </c>
      <c r="C1310" t="s">
        <v>642</v>
      </c>
      <c r="D1310" t="s">
        <v>644</v>
      </c>
      <c r="E1310" t="s">
        <v>646</v>
      </c>
      <c r="F1310" t="s">
        <v>229</v>
      </c>
      <c r="G1310" t="s">
        <v>230</v>
      </c>
      <c r="I1310">
        <v>0</v>
      </c>
      <c r="J1310">
        <v>0</v>
      </c>
      <c r="K1310" t="str">
        <f>IFERROR(VLOOKUP(F1310,'LEAID Match'!$A$2:$B$236,2,FALSE),"")</f>
        <v/>
      </c>
    </row>
    <row r="1311" spans="1:11" x14ac:dyDescent="0.2">
      <c r="A1311" t="str">
        <f t="shared" si="20"/>
        <v/>
      </c>
      <c r="B1311">
        <v>2020</v>
      </c>
      <c r="C1311" t="s">
        <v>642</v>
      </c>
      <c r="D1311" t="s">
        <v>644</v>
      </c>
      <c r="E1311" t="s">
        <v>646</v>
      </c>
      <c r="F1311" t="s">
        <v>229</v>
      </c>
      <c r="G1311" t="s">
        <v>230</v>
      </c>
      <c r="I1311">
        <v>0</v>
      </c>
      <c r="J1311">
        <v>0</v>
      </c>
      <c r="K1311" t="str">
        <f>IFERROR(VLOOKUP(F1311,'LEAID Match'!$A$2:$B$236,2,FALSE),"")</f>
        <v/>
      </c>
    </row>
    <row r="1312" spans="1:11" x14ac:dyDescent="0.2">
      <c r="A1312" t="str">
        <f t="shared" si="20"/>
        <v/>
      </c>
      <c r="B1312">
        <v>2021</v>
      </c>
      <c r="C1312" t="s">
        <v>642</v>
      </c>
      <c r="D1312" t="s">
        <v>644</v>
      </c>
      <c r="E1312" t="s">
        <v>646</v>
      </c>
      <c r="F1312" t="s">
        <v>229</v>
      </c>
      <c r="G1312" t="s">
        <v>230</v>
      </c>
      <c r="I1312">
        <v>0</v>
      </c>
      <c r="J1312">
        <v>0</v>
      </c>
      <c r="K1312" t="str">
        <f>IFERROR(VLOOKUP(F1312,'LEAID Match'!$A$2:$B$236,2,FALSE),"")</f>
        <v/>
      </c>
    </row>
    <row r="1313" spans="1:11" x14ac:dyDescent="0.2">
      <c r="A1313" t="str">
        <f t="shared" si="20"/>
        <v/>
      </c>
      <c r="B1313">
        <v>2022</v>
      </c>
      <c r="C1313" t="s">
        <v>642</v>
      </c>
      <c r="D1313" t="s">
        <v>644</v>
      </c>
      <c r="E1313" t="s">
        <v>646</v>
      </c>
      <c r="F1313" t="s">
        <v>229</v>
      </c>
      <c r="G1313" t="s">
        <v>230</v>
      </c>
      <c r="I1313">
        <v>0</v>
      </c>
      <c r="J1313">
        <v>0</v>
      </c>
      <c r="K1313" t="str">
        <f>IFERROR(VLOOKUP(F1313,'LEAID Match'!$A$2:$B$236,2,FALSE),"")</f>
        <v/>
      </c>
    </row>
    <row r="1314" spans="1:11" x14ac:dyDescent="0.2">
      <c r="A1314" t="str">
        <f t="shared" si="20"/>
        <v/>
      </c>
      <c r="B1314">
        <v>2015</v>
      </c>
      <c r="C1314" t="s">
        <v>642</v>
      </c>
      <c r="D1314" t="s">
        <v>644</v>
      </c>
      <c r="E1314" t="s">
        <v>646</v>
      </c>
      <c r="F1314" t="s">
        <v>231</v>
      </c>
      <c r="G1314" t="s">
        <v>232</v>
      </c>
      <c r="I1314">
        <v>0</v>
      </c>
      <c r="J1314">
        <v>0</v>
      </c>
      <c r="K1314" t="str">
        <f>IFERROR(VLOOKUP(F1314,'LEAID Match'!$A$2:$B$236,2,FALSE),"")</f>
        <v/>
      </c>
    </row>
    <row r="1315" spans="1:11" x14ac:dyDescent="0.2">
      <c r="A1315" t="str">
        <f t="shared" si="20"/>
        <v/>
      </c>
      <c r="B1315">
        <v>2016</v>
      </c>
      <c r="C1315" t="s">
        <v>642</v>
      </c>
      <c r="D1315" t="s">
        <v>644</v>
      </c>
      <c r="E1315" t="s">
        <v>646</v>
      </c>
      <c r="F1315" s="1" t="s">
        <v>231</v>
      </c>
      <c r="G1315" s="1" t="s">
        <v>232</v>
      </c>
      <c r="H1315" s="22"/>
      <c r="I1315">
        <v>0</v>
      </c>
      <c r="J1315">
        <v>0</v>
      </c>
      <c r="K1315" t="str">
        <f>IFERROR(VLOOKUP(F1315,'LEAID Match'!$A$2:$B$236,2,FALSE),"")</f>
        <v/>
      </c>
    </row>
    <row r="1316" spans="1:11" x14ac:dyDescent="0.2">
      <c r="A1316" t="str">
        <f t="shared" si="20"/>
        <v/>
      </c>
      <c r="B1316">
        <v>2017</v>
      </c>
      <c r="C1316" t="s">
        <v>642</v>
      </c>
      <c r="D1316" t="s">
        <v>644</v>
      </c>
      <c r="E1316" t="s">
        <v>646</v>
      </c>
      <c r="F1316" t="s">
        <v>231</v>
      </c>
      <c r="G1316" t="s">
        <v>232</v>
      </c>
      <c r="I1316">
        <v>0</v>
      </c>
      <c r="J1316">
        <v>0</v>
      </c>
      <c r="K1316" t="str">
        <f>IFERROR(VLOOKUP(F1316,'LEAID Match'!$A$2:$B$236,2,FALSE),"")</f>
        <v/>
      </c>
    </row>
    <row r="1317" spans="1:11" x14ac:dyDescent="0.2">
      <c r="A1317" t="str">
        <f t="shared" si="20"/>
        <v/>
      </c>
      <c r="B1317">
        <v>2018</v>
      </c>
      <c r="C1317" t="s">
        <v>642</v>
      </c>
      <c r="D1317" t="s">
        <v>644</v>
      </c>
      <c r="E1317" t="s">
        <v>646</v>
      </c>
      <c r="F1317" t="s">
        <v>231</v>
      </c>
      <c r="G1317" t="s">
        <v>232</v>
      </c>
      <c r="I1317">
        <v>0</v>
      </c>
      <c r="J1317">
        <v>0</v>
      </c>
      <c r="K1317" t="str">
        <f>IFERROR(VLOOKUP(F1317,'LEAID Match'!$A$2:$B$236,2,FALSE),"")</f>
        <v/>
      </c>
    </row>
    <row r="1318" spans="1:11" x14ac:dyDescent="0.2">
      <c r="A1318" t="str">
        <f t="shared" si="20"/>
        <v/>
      </c>
      <c r="B1318">
        <v>2019</v>
      </c>
      <c r="C1318" t="s">
        <v>642</v>
      </c>
      <c r="D1318" t="s">
        <v>644</v>
      </c>
      <c r="E1318" t="s">
        <v>646</v>
      </c>
      <c r="F1318" t="s">
        <v>231</v>
      </c>
      <c r="G1318" t="s">
        <v>232</v>
      </c>
      <c r="I1318">
        <v>0</v>
      </c>
      <c r="J1318">
        <v>0</v>
      </c>
      <c r="K1318" t="str">
        <f>IFERROR(VLOOKUP(F1318,'LEAID Match'!$A$2:$B$236,2,FALSE),"")</f>
        <v/>
      </c>
    </row>
    <row r="1319" spans="1:11" x14ac:dyDescent="0.2">
      <c r="A1319" t="str">
        <f t="shared" si="20"/>
        <v/>
      </c>
      <c r="B1319">
        <v>2020</v>
      </c>
      <c r="C1319" t="s">
        <v>642</v>
      </c>
      <c r="D1319" t="s">
        <v>644</v>
      </c>
      <c r="E1319" t="s">
        <v>646</v>
      </c>
      <c r="F1319" t="s">
        <v>231</v>
      </c>
      <c r="G1319" t="s">
        <v>232</v>
      </c>
      <c r="I1319">
        <v>0</v>
      </c>
      <c r="J1319">
        <v>0</v>
      </c>
      <c r="K1319" t="str">
        <f>IFERROR(VLOOKUP(F1319,'LEAID Match'!$A$2:$B$236,2,FALSE),"")</f>
        <v/>
      </c>
    </row>
    <row r="1320" spans="1:11" x14ac:dyDescent="0.2">
      <c r="A1320" t="str">
        <f t="shared" si="20"/>
        <v/>
      </c>
      <c r="B1320">
        <v>2021</v>
      </c>
      <c r="C1320" t="s">
        <v>642</v>
      </c>
      <c r="D1320" t="s">
        <v>644</v>
      </c>
      <c r="E1320" t="s">
        <v>646</v>
      </c>
      <c r="F1320" t="s">
        <v>231</v>
      </c>
      <c r="G1320" t="s">
        <v>232</v>
      </c>
      <c r="I1320">
        <v>0</v>
      </c>
      <c r="J1320">
        <v>0</v>
      </c>
      <c r="K1320" t="str">
        <f>IFERROR(VLOOKUP(F1320,'LEAID Match'!$A$2:$B$236,2,FALSE),"")</f>
        <v/>
      </c>
    </row>
    <row r="1321" spans="1:11" x14ac:dyDescent="0.2">
      <c r="A1321" t="str">
        <f t="shared" si="20"/>
        <v/>
      </c>
      <c r="B1321">
        <v>2022</v>
      </c>
      <c r="C1321" t="s">
        <v>642</v>
      </c>
      <c r="D1321" t="s">
        <v>644</v>
      </c>
      <c r="E1321" t="s">
        <v>646</v>
      </c>
      <c r="F1321" t="s">
        <v>231</v>
      </c>
      <c r="G1321" t="s">
        <v>232</v>
      </c>
      <c r="I1321">
        <v>0</v>
      </c>
      <c r="J1321">
        <v>0</v>
      </c>
      <c r="K1321" t="str">
        <f>IFERROR(VLOOKUP(F1321,'LEAID Match'!$A$2:$B$236,2,FALSE),"")</f>
        <v/>
      </c>
    </row>
    <row r="1322" spans="1:11" x14ac:dyDescent="0.2">
      <c r="A1322" t="str">
        <f t="shared" si="20"/>
        <v/>
      </c>
      <c r="B1322">
        <v>2015</v>
      </c>
      <c r="C1322" t="s">
        <v>642</v>
      </c>
      <c r="D1322" t="s">
        <v>644</v>
      </c>
      <c r="E1322" t="s">
        <v>646</v>
      </c>
      <c r="F1322" t="s">
        <v>579</v>
      </c>
      <c r="G1322" t="s">
        <v>233</v>
      </c>
      <c r="I1322">
        <v>0</v>
      </c>
      <c r="J1322">
        <v>0</v>
      </c>
      <c r="K1322" t="str">
        <f>IFERROR(VLOOKUP(F1322,'LEAID Match'!$A$2:$B$236,2,FALSE),"")</f>
        <v/>
      </c>
    </row>
    <row r="1323" spans="1:11" x14ac:dyDescent="0.2">
      <c r="A1323" t="str">
        <f t="shared" si="20"/>
        <v/>
      </c>
      <c r="B1323">
        <v>2016</v>
      </c>
      <c r="C1323" t="s">
        <v>642</v>
      </c>
      <c r="D1323" t="s">
        <v>644</v>
      </c>
      <c r="E1323" t="s">
        <v>646</v>
      </c>
      <c r="F1323" s="1" t="s">
        <v>579</v>
      </c>
      <c r="G1323" s="1" t="s">
        <v>233</v>
      </c>
      <c r="H1323" s="22"/>
      <c r="I1323">
        <v>0</v>
      </c>
      <c r="J1323">
        <v>0</v>
      </c>
      <c r="K1323" t="str">
        <f>IFERROR(VLOOKUP(F1323,'LEAID Match'!$A$2:$B$236,2,FALSE),"")</f>
        <v/>
      </c>
    </row>
    <row r="1324" spans="1:11" x14ac:dyDescent="0.2">
      <c r="A1324" t="str">
        <f t="shared" si="20"/>
        <v/>
      </c>
      <c r="B1324">
        <v>2017</v>
      </c>
      <c r="C1324" t="s">
        <v>642</v>
      </c>
      <c r="D1324" t="s">
        <v>644</v>
      </c>
      <c r="E1324" t="s">
        <v>646</v>
      </c>
      <c r="F1324" t="s">
        <v>579</v>
      </c>
      <c r="G1324" t="s">
        <v>233</v>
      </c>
      <c r="I1324">
        <v>0</v>
      </c>
      <c r="J1324">
        <v>0</v>
      </c>
      <c r="K1324" t="str">
        <f>IFERROR(VLOOKUP(F1324,'LEAID Match'!$A$2:$B$236,2,FALSE),"")</f>
        <v/>
      </c>
    </row>
    <row r="1325" spans="1:11" x14ac:dyDescent="0.2">
      <c r="A1325" t="str">
        <f t="shared" si="20"/>
        <v/>
      </c>
      <c r="B1325">
        <v>2018</v>
      </c>
      <c r="C1325" t="s">
        <v>642</v>
      </c>
      <c r="D1325" t="s">
        <v>644</v>
      </c>
      <c r="E1325" t="s">
        <v>646</v>
      </c>
      <c r="F1325" t="s">
        <v>579</v>
      </c>
      <c r="G1325" t="s">
        <v>233</v>
      </c>
      <c r="I1325">
        <v>0</v>
      </c>
      <c r="J1325">
        <v>0</v>
      </c>
      <c r="K1325" t="str">
        <f>IFERROR(VLOOKUP(F1325,'LEAID Match'!$A$2:$B$236,2,FALSE),"")</f>
        <v/>
      </c>
    </row>
    <row r="1326" spans="1:11" x14ac:dyDescent="0.2">
      <c r="A1326" t="str">
        <f t="shared" si="20"/>
        <v/>
      </c>
      <c r="B1326">
        <v>2019</v>
      </c>
      <c r="C1326" t="s">
        <v>642</v>
      </c>
      <c r="D1326" t="s">
        <v>644</v>
      </c>
      <c r="E1326" t="s">
        <v>646</v>
      </c>
      <c r="F1326" t="s">
        <v>579</v>
      </c>
      <c r="G1326" t="s">
        <v>233</v>
      </c>
      <c r="I1326">
        <v>0</v>
      </c>
      <c r="J1326">
        <v>0</v>
      </c>
      <c r="K1326" t="str">
        <f>IFERROR(VLOOKUP(F1326,'LEAID Match'!$A$2:$B$236,2,FALSE),"")</f>
        <v/>
      </c>
    </row>
    <row r="1327" spans="1:11" x14ac:dyDescent="0.2">
      <c r="A1327" t="str">
        <f t="shared" si="20"/>
        <v/>
      </c>
      <c r="B1327">
        <v>2020</v>
      </c>
      <c r="C1327" t="s">
        <v>642</v>
      </c>
      <c r="D1327" t="s">
        <v>644</v>
      </c>
      <c r="E1327" t="s">
        <v>646</v>
      </c>
      <c r="F1327" t="s">
        <v>579</v>
      </c>
      <c r="G1327" t="s">
        <v>233</v>
      </c>
      <c r="I1327">
        <v>0</v>
      </c>
      <c r="J1327">
        <v>0</v>
      </c>
      <c r="K1327" t="str">
        <f>IFERROR(VLOOKUP(F1327,'LEAID Match'!$A$2:$B$236,2,FALSE),"")</f>
        <v/>
      </c>
    </row>
    <row r="1328" spans="1:11" x14ac:dyDescent="0.2">
      <c r="A1328" t="str">
        <f t="shared" si="20"/>
        <v/>
      </c>
      <c r="B1328">
        <v>2021</v>
      </c>
      <c r="C1328" t="s">
        <v>642</v>
      </c>
      <c r="D1328" t="s">
        <v>644</v>
      </c>
      <c r="E1328" t="s">
        <v>646</v>
      </c>
      <c r="F1328" t="s">
        <v>579</v>
      </c>
      <c r="G1328" t="s">
        <v>233</v>
      </c>
      <c r="I1328">
        <v>0</v>
      </c>
      <c r="J1328">
        <v>0</v>
      </c>
      <c r="K1328" t="str">
        <f>IFERROR(VLOOKUP(F1328,'LEAID Match'!$A$2:$B$236,2,FALSE),"")</f>
        <v/>
      </c>
    </row>
    <row r="1329" spans="1:11" x14ac:dyDescent="0.2">
      <c r="A1329" t="str">
        <f t="shared" si="20"/>
        <v/>
      </c>
      <c r="B1329">
        <v>2022</v>
      </c>
      <c r="C1329" t="s">
        <v>642</v>
      </c>
      <c r="D1329" t="s">
        <v>644</v>
      </c>
      <c r="E1329" t="s">
        <v>646</v>
      </c>
      <c r="F1329" t="s">
        <v>579</v>
      </c>
      <c r="G1329" t="s">
        <v>233</v>
      </c>
      <c r="I1329">
        <v>0</v>
      </c>
      <c r="J1329">
        <v>0</v>
      </c>
      <c r="K1329" t="str">
        <f>IFERROR(VLOOKUP(F1329,'LEAID Match'!$A$2:$B$236,2,FALSE),"")</f>
        <v/>
      </c>
    </row>
    <row r="1330" spans="1:11" x14ac:dyDescent="0.2">
      <c r="A1330">
        <f t="shared" si="20"/>
        <v>0</v>
      </c>
      <c r="B1330">
        <v>2015</v>
      </c>
      <c r="C1330" t="s">
        <v>642</v>
      </c>
      <c r="D1330" t="s">
        <v>644</v>
      </c>
      <c r="E1330" t="s">
        <v>646</v>
      </c>
      <c r="F1330" t="s">
        <v>580</v>
      </c>
      <c r="G1330" t="s">
        <v>234</v>
      </c>
      <c r="H1330">
        <v>14767</v>
      </c>
      <c r="I1330">
        <v>283137.15495974466</v>
      </c>
      <c r="J1330">
        <v>297904.15495974466</v>
      </c>
      <c r="K1330">
        <f>IFERROR(VLOOKUP(F1330,'LEAID Match'!$A$2:$B$236,2,FALSE),"")</f>
        <v>0</v>
      </c>
    </row>
    <row r="1331" spans="1:11" x14ac:dyDescent="0.2">
      <c r="A1331">
        <f t="shared" si="20"/>
        <v>0</v>
      </c>
      <c r="B1331">
        <v>2016</v>
      </c>
      <c r="C1331" t="s">
        <v>642</v>
      </c>
      <c r="D1331" t="s">
        <v>644</v>
      </c>
      <c r="E1331" t="s">
        <v>646</v>
      </c>
      <c r="F1331" s="1" t="s">
        <v>580</v>
      </c>
      <c r="G1331" s="1" t="s">
        <v>234</v>
      </c>
      <c r="H1331" s="22">
        <v>11396</v>
      </c>
      <c r="I1331">
        <v>216576.44732313335</v>
      </c>
      <c r="J1331">
        <v>227972.44732313335</v>
      </c>
      <c r="K1331">
        <f>IFERROR(VLOOKUP(F1331,'LEAID Match'!$A$2:$B$236,2,FALSE),"")</f>
        <v>0</v>
      </c>
    </row>
    <row r="1332" spans="1:11" x14ac:dyDescent="0.2">
      <c r="A1332">
        <f t="shared" si="20"/>
        <v>0</v>
      </c>
      <c r="B1332">
        <v>2017</v>
      </c>
      <c r="C1332" t="s">
        <v>642</v>
      </c>
      <c r="D1332" t="s">
        <v>644</v>
      </c>
      <c r="E1332" t="s">
        <v>646</v>
      </c>
      <c r="F1332" t="s">
        <v>580</v>
      </c>
      <c r="G1332" t="s">
        <v>234</v>
      </c>
      <c r="H1332">
        <v>10370</v>
      </c>
      <c r="I1332">
        <v>197728.91656497566</v>
      </c>
      <c r="J1332">
        <v>208098.91656497566</v>
      </c>
      <c r="K1332">
        <f>IFERROR(VLOOKUP(F1332,'LEAID Match'!$A$2:$B$236,2,FALSE),"")</f>
        <v>0</v>
      </c>
    </row>
    <row r="1333" spans="1:11" x14ac:dyDescent="0.2">
      <c r="A1333">
        <f t="shared" si="20"/>
        <v>0</v>
      </c>
      <c r="B1333">
        <v>2018</v>
      </c>
      <c r="C1333" t="s">
        <v>642</v>
      </c>
      <c r="D1333" t="s">
        <v>644</v>
      </c>
      <c r="E1333" t="s">
        <v>646</v>
      </c>
      <c r="F1333" t="s">
        <v>580</v>
      </c>
      <c r="G1333" t="s">
        <v>234</v>
      </c>
      <c r="H1333">
        <v>11922</v>
      </c>
      <c r="I1333">
        <v>241650.52103260299</v>
      </c>
      <c r="J1333">
        <v>253572.52103260299</v>
      </c>
      <c r="K1333">
        <f>IFERROR(VLOOKUP(F1333,'LEAID Match'!$A$2:$B$236,2,FALSE),"")</f>
        <v>0</v>
      </c>
    </row>
    <row r="1334" spans="1:11" x14ac:dyDescent="0.2">
      <c r="A1334">
        <f t="shared" si="20"/>
        <v>0</v>
      </c>
      <c r="B1334">
        <v>2019</v>
      </c>
      <c r="C1334" t="s">
        <v>642</v>
      </c>
      <c r="D1334" t="s">
        <v>644</v>
      </c>
      <c r="E1334" t="s">
        <v>646</v>
      </c>
      <c r="F1334" t="s">
        <v>580</v>
      </c>
      <c r="G1334" t="s">
        <v>234</v>
      </c>
      <c r="H1334">
        <v>11751</v>
      </c>
      <c r="I1334">
        <v>251753.85176984855</v>
      </c>
      <c r="J1334">
        <v>263504.85176984855</v>
      </c>
      <c r="K1334">
        <f>IFERROR(VLOOKUP(F1334,'LEAID Match'!$A$2:$B$236,2,FALSE),"")</f>
        <v>0</v>
      </c>
    </row>
    <row r="1335" spans="1:11" x14ac:dyDescent="0.2">
      <c r="A1335">
        <f t="shared" si="20"/>
        <v>0</v>
      </c>
      <c r="B1335">
        <v>2020</v>
      </c>
      <c r="C1335" t="s">
        <v>642</v>
      </c>
      <c r="D1335" t="s">
        <v>644</v>
      </c>
      <c r="E1335" t="s">
        <v>646</v>
      </c>
      <c r="F1335" t="s">
        <v>580</v>
      </c>
      <c r="G1335" t="s">
        <v>234</v>
      </c>
      <c r="H1335">
        <v>14537</v>
      </c>
      <c r="I1335">
        <v>323912.3736817154</v>
      </c>
      <c r="J1335">
        <v>338449.3736817154</v>
      </c>
      <c r="K1335">
        <f>IFERROR(VLOOKUP(F1335,'LEAID Match'!$A$2:$B$236,2,FALSE),"")</f>
        <v>0</v>
      </c>
    </row>
    <row r="1336" spans="1:11" x14ac:dyDescent="0.2">
      <c r="A1336">
        <f t="shared" si="20"/>
        <v>0</v>
      </c>
      <c r="B1336">
        <v>2021</v>
      </c>
      <c r="C1336" t="s">
        <v>642</v>
      </c>
      <c r="D1336" t="s">
        <v>644</v>
      </c>
      <c r="E1336" t="s">
        <v>646</v>
      </c>
      <c r="F1336" t="s">
        <v>580</v>
      </c>
      <c r="G1336" t="s">
        <v>234</v>
      </c>
      <c r="H1336">
        <v>15847</v>
      </c>
      <c r="I1336">
        <v>266219.30604765133</v>
      </c>
      <c r="J1336">
        <v>282066.30604765133</v>
      </c>
      <c r="K1336">
        <f>IFERROR(VLOOKUP(F1336,'LEAID Match'!$A$2:$B$236,2,FALSE),"")</f>
        <v>0</v>
      </c>
    </row>
    <row r="1337" spans="1:11" x14ac:dyDescent="0.2">
      <c r="A1337">
        <f t="shared" si="20"/>
        <v>0</v>
      </c>
      <c r="B1337">
        <v>2022</v>
      </c>
      <c r="C1337" t="s">
        <v>642</v>
      </c>
      <c r="D1337" t="s">
        <v>644</v>
      </c>
      <c r="E1337" t="s">
        <v>646</v>
      </c>
      <c r="F1337" t="s">
        <v>580</v>
      </c>
      <c r="G1337" t="s">
        <v>234</v>
      </c>
      <c r="H1337">
        <v>13976</v>
      </c>
      <c r="I1337">
        <v>201184.13886408563</v>
      </c>
      <c r="J1337">
        <v>215160.13886408563</v>
      </c>
      <c r="K1337">
        <f>IFERROR(VLOOKUP(F1337,'LEAID Match'!$A$2:$B$236,2,FALSE),"")</f>
        <v>0</v>
      </c>
    </row>
    <row r="1338" spans="1:11" x14ac:dyDescent="0.2">
      <c r="A1338">
        <f t="shared" si="20"/>
        <v>2304160</v>
      </c>
      <c r="B1338">
        <v>2015</v>
      </c>
      <c r="C1338" t="s">
        <v>642</v>
      </c>
      <c r="D1338" t="s">
        <v>644</v>
      </c>
      <c r="E1338" t="s">
        <v>646</v>
      </c>
      <c r="F1338" t="s">
        <v>581</v>
      </c>
      <c r="G1338" t="s">
        <v>235</v>
      </c>
      <c r="H1338">
        <v>1490</v>
      </c>
      <c r="I1338">
        <v>28568.72491975483</v>
      </c>
      <c r="J1338">
        <v>30058.72491975483</v>
      </c>
      <c r="K1338">
        <f>IFERROR(VLOOKUP(F1338,'LEAID Match'!$A$2:$B$236,2,FALSE),"")</f>
        <v>2304160</v>
      </c>
    </row>
    <row r="1339" spans="1:11" x14ac:dyDescent="0.2">
      <c r="A1339">
        <f t="shared" si="20"/>
        <v>2304160</v>
      </c>
      <c r="B1339">
        <v>2016</v>
      </c>
      <c r="C1339" t="s">
        <v>642</v>
      </c>
      <c r="D1339" t="s">
        <v>644</v>
      </c>
      <c r="E1339" t="s">
        <v>646</v>
      </c>
      <c r="F1339" s="1" t="s">
        <v>581</v>
      </c>
      <c r="G1339" s="1" t="s">
        <v>235</v>
      </c>
      <c r="H1339" s="22">
        <v>1707</v>
      </c>
      <c r="I1339">
        <v>32440.856053052707</v>
      </c>
      <c r="J1339">
        <v>34147.856053052703</v>
      </c>
      <c r="K1339">
        <f>IFERROR(VLOOKUP(F1339,'LEAID Match'!$A$2:$B$236,2,FALSE),"")</f>
        <v>2304160</v>
      </c>
    </row>
    <row r="1340" spans="1:11" x14ac:dyDescent="0.2">
      <c r="A1340">
        <f t="shared" si="20"/>
        <v>2304160</v>
      </c>
      <c r="B1340">
        <v>2017</v>
      </c>
      <c r="C1340" t="s">
        <v>642</v>
      </c>
      <c r="D1340" t="s">
        <v>644</v>
      </c>
      <c r="E1340" t="s">
        <v>646</v>
      </c>
      <c r="F1340" t="s">
        <v>581</v>
      </c>
      <c r="G1340" t="s">
        <v>235</v>
      </c>
      <c r="H1340">
        <v>2269</v>
      </c>
      <c r="I1340">
        <v>43263.925909925725</v>
      </c>
      <c r="J1340">
        <v>45532.925909925725</v>
      </c>
      <c r="K1340">
        <f>IFERROR(VLOOKUP(F1340,'LEAID Match'!$A$2:$B$236,2,FALSE),"")</f>
        <v>2304160</v>
      </c>
    </row>
    <row r="1341" spans="1:11" x14ac:dyDescent="0.2">
      <c r="A1341">
        <f t="shared" si="20"/>
        <v>2304160</v>
      </c>
      <c r="B1341">
        <v>2018</v>
      </c>
      <c r="C1341" t="s">
        <v>642</v>
      </c>
      <c r="D1341" t="s">
        <v>644</v>
      </c>
      <c r="E1341" t="s">
        <v>646</v>
      </c>
      <c r="F1341" t="s">
        <v>581</v>
      </c>
      <c r="G1341" t="s">
        <v>235</v>
      </c>
      <c r="H1341">
        <v>2097</v>
      </c>
      <c r="I1341">
        <v>42504.709159987295</v>
      </c>
      <c r="J1341">
        <v>44601.709159987295</v>
      </c>
      <c r="K1341">
        <f>IFERROR(VLOOKUP(F1341,'LEAID Match'!$A$2:$B$236,2,FALSE),"")</f>
        <v>2304160</v>
      </c>
    </row>
    <row r="1342" spans="1:11" x14ac:dyDescent="0.2">
      <c r="A1342">
        <f t="shared" si="20"/>
        <v>2304160</v>
      </c>
      <c r="B1342">
        <v>2019</v>
      </c>
      <c r="C1342" t="s">
        <v>642</v>
      </c>
      <c r="D1342" t="s">
        <v>644</v>
      </c>
      <c r="E1342" t="s">
        <v>646</v>
      </c>
      <c r="F1342" t="s">
        <v>581</v>
      </c>
      <c r="G1342" t="s">
        <v>235</v>
      </c>
      <c r="H1342">
        <v>1544</v>
      </c>
      <c r="I1342">
        <v>33078.712205994911</v>
      </c>
      <c r="J1342">
        <v>34622.712205994911</v>
      </c>
      <c r="K1342">
        <f>IFERROR(VLOOKUP(F1342,'LEAID Match'!$A$2:$B$236,2,FALSE),"")</f>
        <v>2304160</v>
      </c>
    </row>
    <row r="1343" spans="1:11" x14ac:dyDescent="0.2">
      <c r="A1343">
        <f t="shared" si="20"/>
        <v>2304160</v>
      </c>
      <c r="B1343">
        <v>2020</v>
      </c>
      <c r="C1343" t="s">
        <v>642</v>
      </c>
      <c r="D1343" t="s">
        <v>644</v>
      </c>
      <c r="E1343" t="s">
        <v>646</v>
      </c>
      <c r="F1343" t="s">
        <v>581</v>
      </c>
      <c r="G1343" t="s">
        <v>235</v>
      </c>
      <c r="H1343">
        <v>1927</v>
      </c>
      <c r="I1343">
        <v>42937.273446011262</v>
      </c>
      <c r="J1343">
        <v>44864.273446011262</v>
      </c>
      <c r="K1343">
        <f>IFERROR(VLOOKUP(F1343,'LEAID Match'!$A$2:$B$236,2,FALSE),"")</f>
        <v>2304160</v>
      </c>
    </row>
    <row r="1344" spans="1:11" x14ac:dyDescent="0.2">
      <c r="A1344">
        <f t="shared" si="20"/>
        <v>2304160</v>
      </c>
      <c r="B1344">
        <v>2021</v>
      </c>
      <c r="C1344" t="s">
        <v>642</v>
      </c>
      <c r="D1344" t="s">
        <v>644</v>
      </c>
      <c r="E1344" t="s">
        <v>646</v>
      </c>
      <c r="F1344" t="s">
        <v>581</v>
      </c>
      <c r="G1344" t="s">
        <v>235</v>
      </c>
      <c r="H1344">
        <v>1833</v>
      </c>
      <c r="I1344">
        <v>30793.209313140971</v>
      </c>
      <c r="J1344">
        <v>32626.209313140971</v>
      </c>
      <c r="K1344">
        <f>IFERROR(VLOOKUP(F1344,'LEAID Match'!$A$2:$B$236,2,FALSE),"")</f>
        <v>2304160</v>
      </c>
    </row>
    <row r="1345" spans="1:11" x14ac:dyDescent="0.2">
      <c r="A1345">
        <f t="shared" si="20"/>
        <v>2304160</v>
      </c>
      <c r="B1345">
        <v>2022</v>
      </c>
      <c r="C1345" t="s">
        <v>642</v>
      </c>
      <c r="D1345" t="s">
        <v>644</v>
      </c>
      <c r="E1345" t="s">
        <v>646</v>
      </c>
      <c r="F1345" t="s">
        <v>581</v>
      </c>
      <c r="G1345" t="s">
        <v>235</v>
      </c>
      <c r="H1345">
        <v>4037</v>
      </c>
      <c r="I1345">
        <v>58112.504908007562</v>
      </c>
      <c r="J1345">
        <v>62149.504908007562</v>
      </c>
      <c r="K1345">
        <f>IFERROR(VLOOKUP(F1345,'LEAID Match'!$A$2:$B$236,2,FALSE),"")</f>
        <v>2304160</v>
      </c>
    </row>
    <row r="1346" spans="1:11" x14ac:dyDescent="0.2">
      <c r="A1346">
        <f t="shared" si="20"/>
        <v>2305360</v>
      </c>
      <c r="B1346">
        <v>2015</v>
      </c>
      <c r="C1346" t="s">
        <v>642</v>
      </c>
      <c r="D1346" t="s">
        <v>644</v>
      </c>
      <c r="E1346" t="s">
        <v>646</v>
      </c>
      <c r="F1346" t="s">
        <v>582</v>
      </c>
      <c r="G1346" t="s">
        <v>236</v>
      </c>
      <c r="H1346">
        <v>14201</v>
      </c>
      <c r="I1346">
        <v>272284.87421841495</v>
      </c>
      <c r="J1346">
        <v>286485.87421841495</v>
      </c>
      <c r="K1346">
        <f>IFERROR(VLOOKUP(F1346,'LEAID Match'!$A$2:$B$236,2,FALSE),"")</f>
        <v>2305360</v>
      </c>
    </row>
    <row r="1347" spans="1:11" x14ac:dyDescent="0.2">
      <c r="A1347">
        <f t="shared" ref="A1347:A1410" si="21">K1347</f>
        <v>2305360</v>
      </c>
      <c r="B1347">
        <v>2016</v>
      </c>
      <c r="C1347" t="s">
        <v>642</v>
      </c>
      <c r="D1347" t="s">
        <v>644</v>
      </c>
      <c r="E1347" t="s">
        <v>646</v>
      </c>
      <c r="F1347" s="1" t="s">
        <v>582</v>
      </c>
      <c r="G1347" s="1" t="s">
        <v>236</v>
      </c>
      <c r="H1347" s="22">
        <v>9795</v>
      </c>
      <c r="I1347">
        <v>186150.07910934463</v>
      </c>
      <c r="J1347">
        <v>195945.07910934463</v>
      </c>
      <c r="K1347">
        <f>IFERROR(VLOOKUP(F1347,'LEAID Match'!$A$2:$B$236,2,FALSE),"")</f>
        <v>2305360</v>
      </c>
    </row>
    <row r="1348" spans="1:11" x14ac:dyDescent="0.2">
      <c r="A1348">
        <f t="shared" si="21"/>
        <v>2305360</v>
      </c>
      <c r="B1348">
        <v>2017</v>
      </c>
      <c r="C1348" t="s">
        <v>642</v>
      </c>
      <c r="D1348" t="s">
        <v>644</v>
      </c>
      <c r="E1348" t="s">
        <v>646</v>
      </c>
      <c r="F1348" t="s">
        <v>582</v>
      </c>
      <c r="G1348" t="s">
        <v>236</v>
      </c>
      <c r="H1348">
        <v>9150</v>
      </c>
      <c r="I1348">
        <v>174466.69108674323</v>
      </c>
      <c r="J1348">
        <v>183616.69108674323</v>
      </c>
      <c r="K1348">
        <f>IFERROR(VLOOKUP(F1348,'LEAID Match'!$A$2:$B$236,2,FALSE),"")</f>
        <v>2305360</v>
      </c>
    </row>
    <row r="1349" spans="1:11" x14ac:dyDescent="0.2">
      <c r="A1349">
        <f t="shared" si="21"/>
        <v>2305360</v>
      </c>
      <c r="B1349">
        <v>2018</v>
      </c>
      <c r="C1349" t="s">
        <v>642</v>
      </c>
      <c r="D1349" t="s">
        <v>644</v>
      </c>
      <c r="E1349" t="s">
        <v>646</v>
      </c>
      <c r="F1349" t="s">
        <v>582</v>
      </c>
      <c r="G1349" t="s">
        <v>236</v>
      </c>
      <c r="H1349">
        <v>13202</v>
      </c>
      <c r="I1349">
        <v>267595.21713407355</v>
      </c>
      <c r="J1349">
        <v>280797.21713407355</v>
      </c>
      <c r="K1349">
        <f>IFERROR(VLOOKUP(F1349,'LEAID Match'!$A$2:$B$236,2,FALSE),"")</f>
        <v>2305360</v>
      </c>
    </row>
    <row r="1350" spans="1:11" x14ac:dyDescent="0.2">
      <c r="A1350">
        <f t="shared" si="21"/>
        <v>2305360</v>
      </c>
      <c r="B1350">
        <v>2019</v>
      </c>
      <c r="C1350" t="s">
        <v>642</v>
      </c>
      <c r="D1350" t="s">
        <v>644</v>
      </c>
      <c r="E1350" t="s">
        <v>646</v>
      </c>
      <c r="F1350" t="s">
        <v>582</v>
      </c>
      <c r="G1350" t="s">
        <v>236</v>
      </c>
      <c r="H1350">
        <v>13337</v>
      </c>
      <c r="I1350">
        <v>285732.37350476306</v>
      </c>
      <c r="J1350">
        <v>299069.37350476306</v>
      </c>
      <c r="K1350">
        <f>IFERROR(VLOOKUP(F1350,'LEAID Match'!$A$2:$B$236,2,FALSE),"")</f>
        <v>2305360</v>
      </c>
    </row>
    <row r="1351" spans="1:11" x14ac:dyDescent="0.2">
      <c r="A1351">
        <f t="shared" si="21"/>
        <v>2305360</v>
      </c>
      <c r="B1351">
        <v>2020</v>
      </c>
      <c r="C1351" t="s">
        <v>642</v>
      </c>
      <c r="D1351" t="s">
        <v>644</v>
      </c>
      <c r="E1351" t="s">
        <v>646</v>
      </c>
      <c r="F1351" t="s">
        <v>582</v>
      </c>
      <c r="G1351" t="s">
        <v>236</v>
      </c>
      <c r="H1351">
        <v>14622</v>
      </c>
      <c r="I1351">
        <v>325806.33748187678</v>
      </c>
      <c r="J1351">
        <v>340428.33748187678</v>
      </c>
      <c r="K1351">
        <f>IFERROR(VLOOKUP(F1351,'LEAID Match'!$A$2:$B$236,2,FALSE),"")</f>
        <v>2305360</v>
      </c>
    </row>
    <row r="1352" spans="1:11" x14ac:dyDescent="0.2">
      <c r="A1352">
        <f t="shared" si="21"/>
        <v>2305360</v>
      </c>
      <c r="B1352">
        <v>2021</v>
      </c>
      <c r="C1352" t="s">
        <v>642</v>
      </c>
      <c r="D1352" t="s">
        <v>644</v>
      </c>
      <c r="E1352" t="s">
        <v>646</v>
      </c>
      <c r="F1352" t="s">
        <v>582</v>
      </c>
      <c r="G1352" t="s">
        <v>236</v>
      </c>
      <c r="H1352">
        <v>18517</v>
      </c>
      <c r="I1352">
        <v>311073.57165926421</v>
      </c>
      <c r="J1352">
        <v>329590.57165926421</v>
      </c>
      <c r="K1352">
        <f>IFERROR(VLOOKUP(F1352,'LEAID Match'!$A$2:$B$236,2,FALSE),"")</f>
        <v>2305360</v>
      </c>
    </row>
    <row r="1353" spans="1:11" x14ac:dyDescent="0.2">
      <c r="A1353">
        <f t="shared" si="21"/>
        <v>2305360</v>
      </c>
      <c r="B1353">
        <v>2022</v>
      </c>
      <c r="C1353" t="s">
        <v>642</v>
      </c>
      <c r="D1353" t="s">
        <v>644</v>
      </c>
      <c r="E1353" t="s">
        <v>646</v>
      </c>
      <c r="F1353" t="s">
        <v>582</v>
      </c>
      <c r="G1353" t="s">
        <v>236</v>
      </c>
      <c r="H1353">
        <v>20013</v>
      </c>
      <c r="I1353">
        <v>288086.58923060569</v>
      </c>
      <c r="J1353">
        <v>308099.58923060569</v>
      </c>
      <c r="K1353">
        <f>IFERROR(VLOOKUP(F1353,'LEAID Match'!$A$2:$B$236,2,FALSE),"")</f>
        <v>2305360</v>
      </c>
    </row>
    <row r="1354" spans="1:11" x14ac:dyDescent="0.2">
      <c r="A1354">
        <f t="shared" si="21"/>
        <v>2309560</v>
      </c>
      <c r="B1354">
        <v>2015</v>
      </c>
      <c r="C1354" t="s">
        <v>642</v>
      </c>
      <c r="D1354" t="s">
        <v>644</v>
      </c>
      <c r="E1354" t="s">
        <v>646</v>
      </c>
      <c r="F1354" t="s">
        <v>583</v>
      </c>
      <c r="G1354" t="s">
        <v>237</v>
      </c>
      <c r="H1354">
        <v>6900</v>
      </c>
      <c r="I1354">
        <v>132298.12211161631</v>
      </c>
      <c r="J1354">
        <v>139198.12211161631</v>
      </c>
      <c r="K1354">
        <f>IFERROR(VLOOKUP(F1354,'LEAID Match'!$A$2:$B$236,2,FALSE),"")</f>
        <v>2309560</v>
      </c>
    </row>
    <row r="1355" spans="1:11" x14ac:dyDescent="0.2">
      <c r="A1355">
        <f t="shared" si="21"/>
        <v>2309560</v>
      </c>
      <c r="B1355">
        <v>2016</v>
      </c>
      <c r="C1355" t="s">
        <v>642</v>
      </c>
      <c r="D1355" t="s">
        <v>644</v>
      </c>
      <c r="E1355" t="s">
        <v>646</v>
      </c>
      <c r="F1355" s="1" t="s">
        <v>583</v>
      </c>
      <c r="G1355" s="1" t="s">
        <v>237</v>
      </c>
      <c r="H1355" s="22">
        <v>5871</v>
      </c>
      <c r="I1355">
        <v>111576.01985206352</v>
      </c>
      <c r="J1355">
        <v>117447.01985206352</v>
      </c>
      <c r="K1355">
        <f>IFERROR(VLOOKUP(F1355,'LEAID Match'!$A$2:$B$236,2,FALSE),"")</f>
        <v>2309560</v>
      </c>
    </row>
    <row r="1356" spans="1:11" x14ac:dyDescent="0.2">
      <c r="A1356">
        <f t="shared" si="21"/>
        <v>2309560</v>
      </c>
      <c r="B1356">
        <v>2017</v>
      </c>
      <c r="C1356" t="s">
        <v>642</v>
      </c>
      <c r="D1356" t="s">
        <v>644</v>
      </c>
      <c r="E1356" t="s">
        <v>646</v>
      </c>
      <c r="F1356" t="s">
        <v>583</v>
      </c>
      <c r="G1356" t="s">
        <v>237</v>
      </c>
      <c r="H1356">
        <v>7201</v>
      </c>
      <c r="I1356">
        <v>137304.33251537028</v>
      </c>
      <c r="J1356">
        <v>144505.33251537028</v>
      </c>
      <c r="K1356">
        <f>IFERROR(VLOOKUP(F1356,'LEAID Match'!$A$2:$B$236,2,FALSE),"")</f>
        <v>2309560</v>
      </c>
    </row>
    <row r="1357" spans="1:11" x14ac:dyDescent="0.2">
      <c r="A1357">
        <f t="shared" si="21"/>
        <v>2309560</v>
      </c>
      <c r="B1357">
        <v>2018</v>
      </c>
      <c r="C1357" t="s">
        <v>642</v>
      </c>
      <c r="D1357" t="s">
        <v>644</v>
      </c>
      <c r="E1357" t="s">
        <v>646</v>
      </c>
      <c r="F1357" t="s">
        <v>583</v>
      </c>
      <c r="G1357" t="s">
        <v>237</v>
      </c>
      <c r="H1357">
        <v>7544</v>
      </c>
      <c r="I1357">
        <v>152911.55264804204</v>
      </c>
      <c r="J1357">
        <v>160455.55264804204</v>
      </c>
      <c r="K1357">
        <f>IFERROR(VLOOKUP(F1357,'LEAID Match'!$A$2:$B$236,2,FALSE),"")</f>
        <v>2309560</v>
      </c>
    </row>
    <row r="1358" spans="1:11" x14ac:dyDescent="0.2">
      <c r="A1358">
        <f t="shared" si="21"/>
        <v>2309560</v>
      </c>
      <c r="B1358">
        <v>2019</v>
      </c>
      <c r="C1358" t="s">
        <v>642</v>
      </c>
      <c r="D1358" t="s">
        <v>644</v>
      </c>
      <c r="E1358" t="s">
        <v>646</v>
      </c>
      <c r="F1358" t="s">
        <v>583</v>
      </c>
      <c r="G1358" t="s">
        <v>237</v>
      </c>
      <c r="H1358">
        <v>6689</v>
      </c>
      <c r="I1358">
        <v>143305.37949863987</v>
      </c>
      <c r="J1358">
        <v>149994.37949863987</v>
      </c>
      <c r="K1358">
        <f>IFERROR(VLOOKUP(F1358,'LEAID Match'!$A$2:$B$236,2,FALSE),"")</f>
        <v>2309560</v>
      </c>
    </row>
    <row r="1359" spans="1:11" x14ac:dyDescent="0.2">
      <c r="A1359">
        <f t="shared" si="21"/>
        <v>2309560</v>
      </c>
      <c r="B1359">
        <v>2020</v>
      </c>
      <c r="C1359" t="s">
        <v>642</v>
      </c>
      <c r="D1359" t="s">
        <v>644</v>
      </c>
      <c r="E1359" t="s">
        <v>646</v>
      </c>
      <c r="F1359" t="s">
        <v>583</v>
      </c>
      <c r="G1359" t="s">
        <v>237</v>
      </c>
      <c r="H1359">
        <v>10899</v>
      </c>
      <c r="I1359">
        <v>242850.72303480885</v>
      </c>
      <c r="J1359">
        <v>253749.72303480885</v>
      </c>
      <c r="K1359">
        <f>IFERROR(VLOOKUP(F1359,'LEAID Match'!$A$2:$B$236,2,FALSE),"")</f>
        <v>2309560</v>
      </c>
    </row>
    <row r="1360" spans="1:11" x14ac:dyDescent="0.2">
      <c r="A1360">
        <f t="shared" si="21"/>
        <v>2309560</v>
      </c>
      <c r="B1360">
        <v>2021</v>
      </c>
      <c r="C1360" t="s">
        <v>642</v>
      </c>
      <c r="D1360" t="s">
        <v>644</v>
      </c>
      <c r="E1360" t="s">
        <v>646</v>
      </c>
      <c r="F1360" t="s">
        <v>583</v>
      </c>
      <c r="G1360" t="s">
        <v>237</v>
      </c>
      <c r="H1360">
        <v>10298</v>
      </c>
      <c r="I1360">
        <v>172999.71058741174</v>
      </c>
      <c r="J1360">
        <v>183297.71058741174</v>
      </c>
      <c r="K1360">
        <f>IFERROR(VLOOKUP(F1360,'LEAID Match'!$A$2:$B$236,2,FALSE),"")</f>
        <v>2309560</v>
      </c>
    </row>
    <row r="1361" spans="1:11" x14ac:dyDescent="0.2">
      <c r="A1361">
        <f t="shared" si="21"/>
        <v>2309560</v>
      </c>
      <c r="B1361">
        <v>2022</v>
      </c>
      <c r="C1361" t="s">
        <v>642</v>
      </c>
      <c r="D1361" t="s">
        <v>644</v>
      </c>
      <c r="E1361" t="s">
        <v>646</v>
      </c>
      <c r="F1361" t="s">
        <v>583</v>
      </c>
      <c r="G1361" t="s">
        <v>237</v>
      </c>
      <c r="H1361">
        <v>8706</v>
      </c>
      <c r="I1361">
        <v>125322.63258090508</v>
      </c>
      <c r="J1361">
        <v>134028.63258090508</v>
      </c>
      <c r="K1361">
        <f>IFERROR(VLOOKUP(F1361,'LEAID Match'!$A$2:$B$236,2,FALSE),"")</f>
        <v>2309560</v>
      </c>
    </row>
    <row r="1362" spans="1:11" x14ac:dyDescent="0.2">
      <c r="A1362">
        <f t="shared" si="21"/>
        <v>2309650</v>
      </c>
      <c r="B1362">
        <v>2015</v>
      </c>
      <c r="C1362" t="s">
        <v>642</v>
      </c>
      <c r="D1362" t="s">
        <v>644</v>
      </c>
      <c r="E1362" t="s">
        <v>646</v>
      </c>
      <c r="F1362" t="s">
        <v>238</v>
      </c>
      <c r="G1362" t="s">
        <v>239</v>
      </c>
      <c r="H1362">
        <v>5961</v>
      </c>
      <c r="I1362">
        <v>114294.07331990504</v>
      </c>
      <c r="J1362">
        <v>120255.07331990504</v>
      </c>
      <c r="K1362">
        <f>IFERROR(VLOOKUP(F1362,'LEAID Match'!$A$2:$B$236,2,FALSE),"")</f>
        <v>2309650</v>
      </c>
    </row>
    <row r="1363" spans="1:11" x14ac:dyDescent="0.2">
      <c r="A1363">
        <f t="shared" si="21"/>
        <v>2309650</v>
      </c>
      <c r="B1363">
        <v>2016</v>
      </c>
      <c r="C1363" t="s">
        <v>642</v>
      </c>
      <c r="D1363" t="s">
        <v>644</v>
      </c>
      <c r="E1363" t="s">
        <v>646</v>
      </c>
      <c r="F1363" s="1" t="s">
        <v>238</v>
      </c>
      <c r="G1363" s="1" t="s">
        <v>239</v>
      </c>
      <c r="H1363" s="22">
        <v>3857</v>
      </c>
      <c r="I1363">
        <v>73300.750906048212</v>
      </c>
      <c r="J1363">
        <v>77157.750906048212</v>
      </c>
      <c r="K1363">
        <f>IFERROR(VLOOKUP(F1363,'LEAID Match'!$A$2:$B$236,2,FALSE),"")</f>
        <v>2309650</v>
      </c>
    </row>
    <row r="1364" spans="1:11" x14ac:dyDescent="0.2">
      <c r="A1364">
        <f t="shared" si="21"/>
        <v>2309650</v>
      </c>
      <c r="B1364">
        <v>2017</v>
      </c>
      <c r="C1364" t="s">
        <v>642</v>
      </c>
      <c r="D1364" t="s">
        <v>644</v>
      </c>
      <c r="E1364" t="s">
        <v>646</v>
      </c>
      <c r="F1364" t="s">
        <v>238</v>
      </c>
      <c r="G1364" t="s">
        <v>239</v>
      </c>
      <c r="H1364">
        <v>3363</v>
      </c>
      <c r="I1364">
        <v>64123.659248602999</v>
      </c>
      <c r="J1364">
        <v>67486.659248602999</v>
      </c>
      <c r="K1364">
        <f>IFERROR(VLOOKUP(F1364,'LEAID Match'!$A$2:$B$236,2,FALSE),"")</f>
        <v>2309650</v>
      </c>
    </row>
    <row r="1365" spans="1:11" x14ac:dyDescent="0.2">
      <c r="A1365">
        <f t="shared" si="21"/>
        <v>2309650</v>
      </c>
      <c r="B1365">
        <v>2018</v>
      </c>
      <c r="C1365" t="s">
        <v>642</v>
      </c>
      <c r="D1365" t="s">
        <v>644</v>
      </c>
      <c r="E1365" t="s">
        <v>646</v>
      </c>
      <c r="F1365" t="s">
        <v>238</v>
      </c>
      <c r="G1365" t="s">
        <v>239</v>
      </c>
      <c r="H1365">
        <v>3761</v>
      </c>
      <c r="I1365">
        <v>76232.814091898996</v>
      </c>
      <c r="J1365">
        <v>79993.814091898996</v>
      </c>
      <c r="K1365">
        <f>IFERROR(VLOOKUP(F1365,'LEAID Match'!$A$2:$B$236,2,FALSE),"")</f>
        <v>2309650</v>
      </c>
    </row>
    <row r="1366" spans="1:11" x14ac:dyDescent="0.2">
      <c r="A1366">
        <f t="shared" si="21"/>
        <v>2309650</v>
      </c>
      <c r="B1366">
        <v>2019</v>
      </c>
      <c r="C1366" t="s">
        <v>642</v>
      </c>
      <c r="D1366" t="s">
        <v>644</v>
      </c>
      <c r="E1366" t="s">
        <v>646</v>
      </c>
      <c r="F1366" t="s">
        <v>238</v>
      </c>
      <c r="G1366" t="s">
        <v>239</v>
      </c>
      <c r="H1366">
        <v>4737</v>
      </c>
      <c r="I1366">
        <v>101485.66044028361</v>
      </c>
      <c r="J1366">
        <v>106222.66044028361</v>
      </c>
      <c r="K1366">
        <f>IFERROR(VLOOKUP(F1366,'LEAID Match'!$A$2:$B$236,2,FALSE),"")</f>
        <v>2309650</v>
      </c>
    </row>
    <row r="1367" spans="1:11" x14ac:dyDescent="0.2">
      <c r="A1367">
        <f t="shared" si="21"/>
        <v>2309650</v>
      </c>
      <c r="B1367">
        <v>2020</v>
      </c>
      <c r="C1367" t="s">
        <v>642</v>
      </c>
      <c r="D1367" t="s">
        <v>644</v>
      </c>
      <c r="E1367" t="s">
        <v>646</v>
      </c>
      <c r="F1367" t="s">
        <v>238</v>
      </c>
      <c r="G1367" t="s">
        <v>239</v>
      </c>
      <c r="H1367">
        <v>6451</v>
      </c>
      <c r="I1367">
        <v>143740.71146871749</v>
      </c>
      <c r="J1367">
        <v>150191.71146871749</v>
      </c>
      <c r="K1367">
        <f>IFERROR(VLOOKUP(F1367,'LEAID Match'!$A$2:$B$236,2,FALSE),"")</f>
        <v>2309650</v>
      </c>
    </row>
    <row r="1368" spans="1:11" x14ac:dyDescent="0.2">
      <c r="A1368">
        <f t="shared" si="21"/>
        <v>2309650</v>
      </c>
      <c r="B1368">
        <v>2021</v>
      </c>
      <c r="C1368" t="s">
        <v>642</v>
      </c>
      <c r="D1368" t="s">
        <v>644</v>
      </c>
      <c r="E1368" t="s">
        <v>646</v>
      </c>
      <c r="F1368" t="s">
        <v>238</v>
      </c>
      <c r="G1368" t="s">
        <v>239</v>
      </c>
      <c r="H1368">
        <v>6997</v>
      </c>
      <c r="I1368">
        <v>117545.05486309185</v>
      </c>
      <c r="J1368">
        <v>124542.05486309185</v>
      </c>
      <c r="K1368">
        <f>IFERROR(VLOOKUP(F1368,'LEAID Match'!$A$2:$B$236,2,FALSE),"")</f>
        <v>2309650</v>
      </c>
    </row>
    <row r="1369" spans="1:11" x14ac:dyDescent="0.2">
      <c r="A1369">
        <f t="shared" si="21"/>
        <v>2309650</v>
      </c>
      <c r="B1369">
        <v>2022</v>
      </c>
      <c r="C1369" t="s">
        <v>642</v>
      </c>
      <c r="D1369" t="s">
        <v>644</v>
      </c>
      <c r="E1369" t="s">
        <v>646</v>
      </c>
      <c r="F1369" t="s">
        <v>238</v>
      </c>
      <c r="G1369" t="s">
        <v>239</v>
      </c>
      <c r="H1369">
        <v>10408</v>
      </c>
      <c r="I1369">
        <v>149822.87616609925</v>
      </c>
      <c r="J1369">
        <v>160230.87616609925</v>
      </c>
      <c r="K1369">
        <f>IFERROR(VLOOKUP(F1369,'LEAID Match'!$A$2:$B$236,2,FALSE),"")</f>
        <v>2309650</v>
      </c>
    </row>
    <row r="1370" spans="1:11" x14ac:dyDescent="0.2">
      <c r="A1370">
        <f t="shared" si="21"/>
        <v>2302280</v>
      </c>
      <c r="B1370">
        <v>2015</v>
      </c>
      <c r="C1370" t="s">
        <v>642</v>
      </c>
      <c r="D1370" t="s">
        <v>644</v>
      </c>
      <c r="E1370" t="s">
        <v>646</v>
      </c>
      <c r="F1370" t="s">
        <v>240</v>
      </c>
      <c r="G1370" t="s">
        <v>241</v>
      </c>
      <c r="H1370">
        <v>4464</v>
      </c>
      <c r="I1370">
        <v>85591.13291395003</v>
      </c>
      <c r="J1370">
        <v>90055.13291395003</v>
      </c>
      <c r="K1370">
        <f>IFERROR(VLOOKUP(F1370,'LEAID Match'!$A$2:$B$236,2,FALSE),"")</f>
        <v>2302280</v>
      </c>
    </row>
    <row r="1371" spans="1:11" x14ac:dyDescent="0.2">
      <c r="A1371">
        <f t="shared" si="21"/>
        <v>2302280</v>
      </c>
      <c r="B1371">
        <v>2016</v>
      </c>
      <c r="C1371" t="s">
        <v>642</v>
      </c>
      <c r="D1371" t="s">
        <v>644</v>
      </c>
      <c r="E1371" t="s">
        <v>646</v>
      </c>
      <c r="F1371" s="1" t="s">
        <v>240</v>
      </c>
      <c r="G1371" s="1" t="s">
        <v>241</v>
      </c>
      <c r="H1371" s="22">
        <v>3789</v>
      </c>
      <c r="I1371">
        <v>72008.437952558117</v>
      </c>
      <c r="J1371">
        <v>75797.437952558117</v>
      </c>
      <c r="K1371">
        <f>IFERROR(VLOOKUP(F1371,'LEAID Match'!$A$2:$B$236,2,FALSE),"")</f>
        <v>2302280</v>
      </c>
    </row>
    <row r="1372" spans="1:11" x14ac:dyDescent="0.2">
      <c r="A1372">
        <f t="shared" si="21"/>
        <v>2302280</v>
      </c>
      <c r="B1372">
        <v>2017</v>
      </c>
      <c r="C1372" t="s">
        <v>642</v>
      </c>
      <c r="D1372" t="s">
        <v>644</v>
      </c>
      <c r="E1372" t="s">
        <v>646</v>
      </c>
      <c r="F1372" t="s">
        <v>240</v>
      </c>
      <c r="G1372" t="s">
        <v>241</v>
      </c>
      <c r="H1372">
        <v>4709</v>
      </c>
      <c r="I1372">
        <v>89788.376866390594</v>
      </c>
      <c r="J1372">
        <v>94497.376866390594</v>
      </c>
      <c r="K1372">
        <f>IFERROR(VLOOKUP(F1372,'LEAID Match'!$A$2:$B$236,2,FALSE),"")</f>
        <v>2302280</v>
      </c>
    </row>
    <row r="1373" spans="1:11" x14ac:dyDescent="0.2">
      <c r="A1373">
        <f t="shared" si="21"/>
        <v>2302280</v>
      </c>
      <c r="B1373">
        <v>2018</v>
      </c>
      <c r="C1373" t="s">
        <v>642</v>
      </c>
      <c r="D1373" t="s">
        <v>644</v>
      </c>
      <c r="E1373" t="s">
        <v>646</v>
      </c>
      <c r="F1373" t="s">
        <v>240</v>
      </c>
      <c r="G1373" t="s">
        <v>241</v>
      </c>
      <c r="H1373">
        <v>3867</v>
      </c>
      <c r="I1373">
        <v>78381.35923780204</v>
      </c>
      <c r="J1373">
        <v>82248.35923780204</v>
      </c>
      <c r="K1373">
        <f>IFERROR(VLOOKUP(F1373,'LEAID Match'!$A$2:$B$236,2,FALSE),"")</f>
        <v>2302280</v>
      </c>
    </row>
    <row r="1374" spans="1:11" x14ac:dyDescent="0.2">
      <c r="A1374">
        <f t="shared" si="21"/>
        <v>2302280</v>
      </c>
      <c r="B1374">
        <v>2019</v>
      </c>
      <c r="C1374" t="s">
        <v>642</v>
      </c>
      <c r="D1374" t="s">
        <v>644</v>
      </c>
      <c r="E1374" t="s">
        <v>646</v>
      </c>
      <c r="F1374" t="s">
        <v>240</v>
      </c>
      <c r="G1374" t="s">
        <v>241</v>
      </c>
      <c r="H1374">
        <v>25</v>
      </c>
      <c r="I1374">
        <v>535.60091007116114</v>
      </c>
      <c r="J1374">
        <v>560.60091007116114</v>
      </c>
      <c r="K1374">
        <f>IFERROR(VLOOKUP(F1374,'LEAID Match'!$A$2:$B$236,2,FALSE),"")</f>
        <v>2302280</v>
      </c>
    </row>
    <row r="1375" spans="1:11" x14ac:dyDescent="0.2">
      <c r="A1375">
        <f t="shared" si="21"/>
        <v>2302280</v>
      </c>
      <c r="B1375">
        <v>2020</v>
      </c>
      <c r="C1375" t="s">
        <v>642</v>
      </c>
      <c r="D1375" t="s">
        <v>644</v>
      </c>
      <c r="E1375" t="s">
        <v>646</v>
      </c>
      <c r="F1375" t="s">
        <v>240</v>
      </c>
      <c r="G1375" t="s">
        <v>241</v>
      </c>
      <c r="H1375">
        <v>3490</v>
      </c>
      <c r="I1375">
        <v>77763.92544191971</v>
      </c>
      <c r="J1375">
        <v>81253.92544191971</v>
      </c>
      <c r="K1375">
        <f>IFERROR(VLOOKUP(F1375,'LEAID Match'!$A$2:$B$236,2,FALSE),"")</f>
        <v>2302280</v>
      </c>
    </row>
    <row r="1376" spans="1:11" x14ac:dyDescent="0.2">
      <c r="A1376">
        <f t="shared" si="21"/>
        <v>2302280</v>
      </c>
      <c r="B1376">
        <v>2021</v>
      </c>
      <c r="C1376" t="s">
        <v>642</v>
      </c>
      <c r="D1376" t="s">
        <v>644</v>
      </c>
      <c r="E1376" t="s">
        <v>646</v>
      </c>
      <c r="F1376" t="s">
        <v>240</v>
      </c>
      <c r="G1376" t="s">
        <v>241</v>
      </c>
      <c r="H1376">
        <v>4496</v>
      </c>
      <c r="I1376">
        <v>75529.879471839493</v>
      </c>
      <c r="J1376">
        <v>80025.879471839493</v>
      </c>
      <c r="K1376">
        <f>IFERROR(VLOOKUP(F1376,'LEAID Match'!$A$2:$B$236,2,FALSE),"")</f>
        <v>2302280</v>
      </c>
    </row>
    <row r="1377" spans="1:11" x14ac:dyDescent="0.2">
      <c r="A1377">
        <f t="shared" si="21"/>
        <v>2302280</v>
      </c>
      <c r="B1377">
        <v>2022</v>
      </c>
      <c r="C1377" t="s">
        <v>642</v>
      </c>
      <c r="D1377" t="s">
        <v>644</v>
      </c>
      <c r="E1377" t="s">
        <v>646</v>
      </c>
      <c r="F1377" t="s">
        <v>240</v>
      </c>
      <c r="G1377" t="s">
        <v>241</v>
      </c>
      <c r="H1377">
        <v>6552</v>
      </c>
      <c r="I1377">
        <v>94315.861322087076</v>
      </c>
      <c r="J1377">
        <v>100867.86132208708</v>
      </c>
      <c r="K1377">
        <f>IFERROR(VLOOKUP(F1377,'LEAID Match'!$A$2:$B$236,2,FALSE),"")</f>
        <v>2302280</v>
      </c>
    </row>
    <row r="1378" spans="1:11" x14ac:dyDescent="0.2">
      <c r="A1378" t="str">
        <f t="shared" si="21"/>
        <v/>
      </c>
      <c r="B1378">
        <v>2015</v>
      </c>
      <c r="C1378" t="s">
        <v>642</v>
      </c>
      <c r="D1378" t="s">
        <v>644</v>
      </c>
      <c r="E1378" t="s">
        <v>646</v>
      </c>
      <c r="F1378" t="s">
        <v>242</v>
      </c>
      <c r="G1378" t="s">
        <v>243</v>
      </c>
      <c r="I1378">
        <v>0</v>
      </c>
      <c r="J1378">
        <v>0</v>
      </c>
      <c r="K1378" t="str">
        <f>IFERROR(VLOOKUP(F1378,'LEAID Match'!$A$2:$B$236,2,FALSE),"")</f>
        <v/>
      </c>
    </row>
    <row r="1379" spans="1:11" x14ac:dyDescent="0.2">
      <c r="A1379" t="str">
        <f t="shared" si="21"/>
        <v/>
      </c>
      <c r="B1379">
        <v>2016</v>
      </c>
      <c r="C1379" t="s">
        <v>642</v>
      </c>
      <c r="D1379" t="s">
        <v>644</v>
      </c>
      <c r="E1379" t="s">
        <v>646</v>
      </c>
      <c r="F1379" s="1" t="s">
        <v>242</v>
      </c>
      <c r="G1379" s="1" t="s">
        <v>243</v>
      </c>
      <c r="H1379" s="22"/>
      <c r="I1379">
        <v>0</v>
      </c>
      <c r="J1379">
        <v>0</v>
      </c>
      <c r="K1379" t="str">
        <f>IFERROR(VLOOKUP(F1379,'LEAID Match'!$A$2:$B$236,2,FALSE),"")</f>
        <v/>
      </c>
    </row>
    <row r="1380" spans="1:11" x14ac:dyDescent="0.2">
      <c r="A1380" t="str">
        <f t="shared" si="21"/>
        <v/>
      </c>
      <c r="B1380">
        <v>2017</v>
      </c>
      <c r="C1380" t="s">
        <v>642</v>
      </c>
      <c r="D1380" t="s">
        <v>644</v>
      </c>
      <c r="E1380" t="s">
        <v>646</v>
      </c>
      <c r="F1380" t="s">
        <v>242</v>
      </c>
      <c r="G1380" t="s">
        <v>243</v>
      </c>
      <c r="I1380">
        <v>0</v>
      </c>
      <c r="J1380">
        <v>0</v>
      </c>
      <c r="K1380" t="str">
        <f>IFERROR(VLOOKUP(F1380,'LEAID Match'!$A$2:$B$236,2,FALSE),"")</f>
        <v/>
      </c>
    </row>
    <row r="1381" spans="1:11" x14ac:dyDescent="0.2">
      <c r="A1381" t="str">
        <f t="shared" si="21"/>
        <v/>
      </c>
      <c r="B1381">
        <v>2018</v>
      </c>
      <c r="C1381" t="s">
        <v>642</v>
      </c>
      <c r="D1381" t="s">
        <v>644</v>
      </c>
      <c r="E1381" t="s">
        <v>646</v>
      </c>
      <c r="F1381" t="s">
        <v>242</v>
      </c>
      <c r="G1381" t="s">
        <v>243</v>
      </c>
      <c r="I1381">
        <v>0</v>
      </c>
      <c r="J1381">
        <v>0</v>
      </c>
      <c r="K1381" t="str">
        <f>IFERROR(VLOOKUP(F1381,'LEAID Match'!$A$2:$B$236,2,FALSE),"")</f>
        <v/>
      </c>
    </row>
    <row r="1382" spans="1:11" x14ac:dyDescent="0.2">
      <c r="A1382" t="str">
        <f t="shared" si="21"/>
        <v/>
      </c>
      <c r="B1382">
        <v>2019</v>
      </c>
      <c r="C1382" t="s">
        <v>642</v>
      </c>
      <c r="D1382" t="s">
        <v>644</v>
      </c>
      <c r="E1382" t="s">
        <v>646</v>
      </c>
      <c r="F1382" t="s">
        <v>242</v>
      </c>
      <c r="G1382" t="s">
        <v>243</v>
      </c>
      <c r="I1382">
        <v>0</v>
      </c>
      <c r="J1382">
        <v>0</v>
      </c>
      <c r="K1382" t="str">
        <f>IFERROR(VLOOKUP(F1382,'LEAID Match'!$A$2:$B$236,2,FALSE),"")</f>
        <v/>
      </c>
    </row>
    <row r="1383" spans="1:11" x14ac:dyDescent="0.2">
      <c r="A1383" t="str">
        <f t="shared" si="21"/>
        <v/>
      </c>
      <c r="B1383">
        <v>2020</v>
      </c>
      <c r="C1383" t="s">
        <v>642</v>
      </c>
      <c r="D1383" t="s">
        <v>644</v>
      </c>
      <c r="E1383" t="s">
        <v>646</v>
      </c>
      <c r="F1383" t="s">
        <v>242</v>
      </c>
      <c r="G1383" t="s">
        <v>243</v>
      </c>
      <c r="I1383">
        <v>0</v>
      </c>
      <c r="J1383">
        <v>0</v>
      </c>
      <c r="K1383" t="str">
        <f>IFERROR(VLOOKUP(F1383,'LEAID Match'!$A$2:$B$236,2,FALSE),"")</f>
        <v/>
      </c>
    </row>
    <row r="1384" spans="1:11" x14ac:dyDescent="0.2">
      <c r="A1384" t="str">
        <f t="shared" si="21"/>
        <v/>
      </c>
      <c r="B1384">
        <v>2021</v>
      </c>
      <c r="C1384" t="s">
        <v>642</v>
      </c>
      <c r="D1384" t="s">
        <v>644</v>
      </c>
      <c r="E1384" t="s">
        <v>646</v>
      </c>
      <c r="F1384" t="s">
        <v>242</v>
      </c>
      <c r="G1384" t="s">
        <v>243</v>
      </c>
      <c r="I1384">
        <v>0</v>
      </c>
      <c r="J1384">
        <v>0</v>
      </c>
      <c r="K1384" t="str">
        <f>IFERROR(VLOOKUP(F1384,'LEAID Match'!$A$2:$B$236,2,FALSE),"")</f>
        <v/>
      </c>
    </row>
    <row r="1385" spans="1:11" x14ac:dyDescent="0.2">
      <c r="A1385" t="str">
        <f t="shared" si="21"/>
        <v/>
      </c>
      <c r="B1385">
        <v>2022</v>
      </c>
      <c r="C1385" t="s">
        <v>642</v>
      </c>
      <c r="D1385" t="s">
        <v>644</v>
      </c>
      <c r="E1385" t="s">
        <v>646</v>
      </c>
      <c r="F1385" t="s">
        <v>242</v>
      </c>
      <c r="G1385" t="s">
        <v>243</v>
      </c>
      <c r="I1385">
        <v>0</v>
      </c>
      <c r="J1385">
        <v>0</v>
      </c>
      <c r="K1385" t="str">
        <f>IFERROR(VLOOKUP(F1385,'LEAID Match'!$A$2:$B$236,2,FALSE),"")</f>
        <v/>
      </c>
    </row>
    <row r="1386" spans="1:11" x14ac:dyDescent="0.2">
      <c r="A1386">
        <f t="shared" si="21"/>
        <v>2310190</v>
      </c>
      <c r="B1386">
        <v>2015</v>
      </c>
      <c r="C1386" t="s">
        <v>642</v>
      </c>
      <c r="D1386" t="s">
        <v>644</v>
      </c>
      <c r="E1386" t="s">
        <v>646</v>
      </c>
      <c r="F1386" t="s">
        <v>244</v>
      </c>
      <c r="G1386" t="s">
        <v>245</v>
      </c>
      <c r="H1386">
        <v>1777</v>
      </c>
      <c r="I1386">
        <v>34071.559853962637</v>
      </c>
      <c r="J1386">
        <v>35848.559853962637</v>
      </c>
      <c r="K1386">
        <f>IFERROR(VLOOKUP(F1386,'LEAID Match'!$A$2:$B$236,2,FALSE),"")</f>
        <v>2310190</v>
      </c>
    </row>
    <row r="1387" spans="1:11" x14ac:dyDescent="0.2">
      <c r="A1387">
        <f t="shared" si="21"/>
        <v>2310190</v>
      </c>
      <c r="B1387">
        <v>2016</v>
      </c>
      <c r="C1387" t="s">
        <v>642</v>
      </c>
      <c r="D1387" t="s">
        <v>644</v>
      </c>
      <c r="E1387" t="s">
        <v>646</v>
      </c>
      <c r="F1387" s="1" t="s">
        <v>244</v>
      </c>
      <c r="G1387" s="1" t="s">
        <v>245</v>
      </c>
      <c r="H1387" s="22"/>
      <c r="I1387">
        <v>0</v>
      </c>
      <c r="J1387">
        <v>0</v>
      </c>
      <c r="K1387">
        <f>IFERROR(VLOOKUP(F1387,'LEAID Match'!$A$2:$B$236,2,FALSE),"")</f>
        <v>2310190</v>
      </c>
    </row>
    <row r="1388" spans="1:11" x14ac:dyDescent="0.2">
      <c r="A1388">
        <f t="shared" si="21"/>
        <v>2310190</v>
      </c>
      <c r="B1388">
        <v>2017</v>
      </c>
      <c r="C1388" t="s">
        <v>642</v>
      </c>
      <c r="D1388" t="s">
        <v>644</v>
      </c>
      <c r="E1388" t="s">
        <v>646</v>
      </c>
      <c r="F1388" t="s">
        <v>244</v>
      </c>
      <c r="G1388" t="s">
        <v>245</v>
      </c>
      <c r="I1388">
        <v>0</v>
      </c>
      <c r="J1388">
        <v>0</v>
      </c>
      <c r="K1388">
        <f>IFERROR(VLOOKUP(F1388,'LEAID Match'!$A$2:$B$236,2,FALSE),"")</f>
        <v>2310190</v>
      </c>
    </row>
    <row r="1389" spans="1:11" x14ac:dyDescent="0.2">
      <c r="A1389">
        <f t="shared" si="21"/>
        <v>2310190</v>
      </c>
      <c r="B1389">
        <v>2018</v>
      </c>
      <c r="C1389" t="s">
        <v>642</v>
      </c>
      <c r="D1389" t="s">
        <v>644</v>
      </c>
      <c r="E1389" t="s">
        <v>646</v>
      </c>
      <c r="F1389" t="s">
        <v>244</v>
      </c>
      <c r="G1389" t="s">
        <v>245</v>
      </c>
      <c r="I1389">
        <v>0</v>
      </c>
      <c r="J1389">
        <v>0</v>
      </c>
      <c r="K1389">
        <f>IFERROR(VLOOKUP(F1389,'LEAID Match'!$A$2:$B$236,2,FALSE),"")</f>
        <v>2310190</v>
      </c>
    </row>
    <row r="1390" spans="1:11" x14ac:dyDescent="0.2">
      <c r="A1390">
        <f t="shared" si="21"/>
        <v>2310190</v>
      </c>
      <c r="B1390">
        <v>2019</v>
      </c>
      <c r="C1390" t="s">
        <v>642</v>
      </c>
      <c r="D1390" t="s">
        <v>644</v>
      </c>
      <c r="E1390" t="s">
        <v>646</v>
      </c>
      <c r="F1390" t="s">
        <v>244</v>
      </c>
      <c r="G1390" t="s">
        <v>245</v>
      </c>
      <c r="I1390">
        <v>0</v>
      </c>
      <c r="J1390">
        <v>0</v>
      </c>
      <c r="K1390">
        <f>IFERROR(VLOOKUP(F1390,'LEAID Match'!$A$2:$B$236,2,FALSE),"")</f>
        <v>2310190</v>
      </c>
    </row>
    <row r="1391" spans="1:11" x14ac:dyDescent="0.2">
      <c r="A1391">
        <f t="shared" si="21"/>
        <v>2310190</v>
      </c>
      <c r="B1391">
        <v>2020</v>
      </c>
      <c r="C1391" t="s">
        <v>642</v>
      </c>
      <c r="D1391" t="s">
        <v>644</v>
      </c>
      <c r="E1391" t="s">
        <v>646</v>
      </c>
      <c r="F1391" t="s">
        <v>244</v>
      </c>
      <c r="G1391" t="s">
        <v>245</v>
      </c>
      <c r="I1391">
        <v>0</v>
      </c>
      <c r="J1391">
        <v>0</v>
      </c>
      <c r="K1391">
        <f>IFERROR(VLOOKUP(F1391,'LEAID Match'!$A$2:$B$236,2,FALSE),"")</f>
        <v>2310190</v>
      </c>
    </row>
    <row r="1392" spans="1:11" x14ac:dyDescent="0.2">
      <c r="A1392">
        <f t="shared" si="21"/>
        <v>2310190</v>
      </c>
      <c r="B1392">
        <v>2021</v>
      </c>
      <c r="C1392" t="s">
        <v>642</v>
      </c>
      <c r="D1392" t="s">
        <v>644</v>
      </c>
      <c r="E1392" t="s">
        <v>646</v>
      </c>
      <c r="F1392" t="s">
        <v>244</v>
      </c>
      <c r="G1392" t="s">
        <v>245</v>
      </c>
      <c r="I1392">
        <v>0</v>
      </c>
      <c r="J1392">
        <v>0</v>
      </c>
      <c r="K1392">
        <f>IFERROR(VLOOKUP(F1392,'LEAID Match'!$A$2:$B$236,2,FALSE),"")</f>
        <v>2310190</v>
      </c>
    </row>
    <row r="1393" spans="1:11" x14ac:dyDescent="0.2">
      <c r="A1393">
        <f t="shared" si="21"/>
        <v>2310190</v>
      </c>
      <c r="B1393">
        <v>2022</v>
      </c>
      <c r="C1393" t="s">
        <v>642</v>
      </c>
      <c r="D1393" t="s">
        <v>644</v>
      </c>
      <c r="E1393" t="s">
        <v>646</v>
      </c>
      <c r="F1393" t="s">
        <v>244</v>
      </c>
      <c r="G1393" t="s">
        <v>245</v>
      </c>
      <c r="I1393">
        <v>0</v>
      </c>
      <c r="J1393">
        <v>0</v>
      </c>
      <c r="K1393">
        <f>IFERROR(VLOOKUP(F1393,'LEAID Match'!$A$2:$B$236,2,FALSE),"")</f>
        <v>2310190</v>
      </c>
    </row>
    <row r="1394" spans="1:11" x14ac:dyDescent="0.2">
      <c r="A1394" t="str">
        <f t="shared" si="21"/>
        <v/>
      </c>
      <c r="B1394">
        <v>2015</v>
      </c>
      <c r="C1394" t="s">
        <v>642</v>
      </c>
      <c r="D1394" t="s">
        <v>644</v>
      </c>
      <c r="E1394" t="s">
        <v>646</v>
      </c>
      <c r="F1394" t="s">
        <v>246</v>
      </c>
      <c r="G1394" t="s">
        <v>247</v>
      </c>
      <c r="I1394">
        <v>0</v>
      </c>
      <c r="J1394">
        <v>0</v>
      </c>
      <c r="K1394" t="str">
        <f>IFERROR(VLOOKUP(F1394,'LEAID Match'!$A$2:$B$236,2,FALSE),"")</f>
        <v/>
      </c>
    </row>
    <row r="1395" spans="1:11" x14ac:dyDescent="0.2">
      <c r="A1395" t="str">
        <f t="shared" si="21"/>
        <v/>
      </c>
      <c r="B1395">
        <v>2016</v>
      </c>
      <c r="C1395" t="s">
        <v>642</v>
      </c>
      <c r="D1395" t="s">
        <v>644</v>
      </c>
      <c r="E1395" t="s">
        <v>646</v>
      </c>
      <c r="F1395" s="1" t="s">
        <v>246</v>
      </c>
      <c r="G1395" s="1" t="s">
        <v>247</v>
      </c>
      <c r="H1395" s="22"/>
      <c r="I1395">
        <v>0</v>
      </c>
      <c r="J1395">
        <v>0</v>
      </c>
      <c r="K1395" t="str">
        <f>IFERROR(VLOOKUP(F1395,'LEAID Match'!$A$2:$B$236,2,FALSE),"")</f>
        <v/>
      </c>
    </row>
    <row r="1396" spans="1:11" x14ac:dyDescent="0.2">
      <c r="A1396" t="str">
        <f t="shared" si="21"/>
        <v/>
      </c>
      <c r="B1396">
        <v>2017</v>
      </c>
      <c r="C1396" t="s">
        <v>642</v>
      </c>
      <c r="D1396" t="s">
        <v>644</v>
      </c>
      <c r="E1396" t="s">
        <v>646</v>
      </c>
      <c r="F1396" t="s">
        <v>246</v>
      </c>
      <c r="G1396" t="s">
        <v>247</v>
      </c>
      <c r="I1396">
        <v>0</v>
      </c>
      <c r="J1396">
        <v>0</v>
      </c>
      <c r="K1396" t="str">
        <f>IFERROR(VLOOKUP(F1396,'LEAID Match'!$A$2:$B$236,2,FALSE),"")</f>
        <v/>
      </c>
    </row>
    <row r="1397" spans="1:11" x14ac:dyDescent="0.2">
      <c r="A1397" t="str">
        <f t="shared" si="21"/>
        <v/>
      </c>
      <c r="B1397">
        <v>2018</v>
      </c>
      <c r="C1397" t="s">
        <v>642</v>
      </c>
      <c r="D1397" t="s">
        <v>644</v>
      </c>
      <c r="E1397" t="s">
        <v>646</v>
      </c>
      <c r="F1397" t="s">
        <v>246</v>
      </c>
      <c r="G1397" t="s">
        <v>247</v>
      </c>
      <c r="I1397">
        <v>0</v>
      </c>
      <c r="J1397">
        <v>0</v>
      </c>
      <c r="K1397" t="str">
        <f>IFERROR(VLOOKUP(F1397,'LEAID Match'!$A$2:$B$236,2,FALSE),"")</f>
        <v/>
      </c>
    </row>
    <row r="1398" spans="1:11" x14ac:dyDescent="0.2">
      <c r="A1398" t="str">
        <f t="shared" si="21"/>
        <v/>
      </c>
      <c r="B1398">
        <v>2019</v>
      </c>
      <c r="C1398" t="s">
        <v>642</v>
      </c>
      <c r="D1398" t="s">
        <v>644</v>
      </c>
      <c r="E1398" t="s">
        <v>646</v>
      </c>
      <c r="F1398" t="s">
        <v>246</v>
      </c>
      <c r="G1398" t="s">
        <v>247</v>
      </c>
      <c r="I1398">
        <v>0</v>
      </c>
      <c r="J1398">
        <v>0</v>
      </c>
      <c r="K1398" t="str">
        <f>IFERROR(VLOOKUP(F1398,'LEAID Match'!$A$2:$B$236,2,FALSE),"")</f>
        <v/>
      </c>
    </row>
    <row r="1399" spans="1:11" x14ac:dyDescent="0.2">
      <c r="A1399" t="str">
        <f t="shared" si="21"/>
        <v/>
      </c>
      <c r="B1399">
        <v>2020</v>
      </c>
      <c r="C1399" t="s">
        <v>642</v>
      </c>
      <c r="D1399" t="s">
        <v>644</v>
      </c>
      <c r="E1399" t="s">
        <v>646</v>
      </c>
      <c r="F1399" t="s">
        <v>246</v>
      </c>
      <c r="G1399" t="s">
        <v>247</v>
      </c>
      <c r="I1399">
        <v>0</v>
      </c>
      <c r="J1399">
        <v>0</v>
      </c>
      <c r="K1399" t="str">
        <f>IFERROR(VLOOKUP(F1399,'LEAID Match'!$A$2:$B$236,2,FALSE),"")</f>
        <v/>
      </c>
    </row>
    <row r="1400" spans="1:11" x14ac:dyDescent="0.2">
      <c r="A1400" t="str">
        <f t="shared" si="21"/>
        <v/>
      </c>
      <c r="B1400">
        <v>2021</v>
      </c>
      <c r="C1400" t="s">
        <v>642</v>
      </c>
      <c r="D1400" t="s">
        <v>644</v>
      </c>
      <c r="E1400" t="s">
        <v>646</v>
      </c>
      <c r="F1400" t="s">
        <v>246</v>
      </c>
      <c r="G1400" t="s">
        <v>247</v>
      </c>
      <c r="I1400">
        <v>0</v>
      </c>
      <c r="J1400">
        <v>0</v>
      </c>
      <c r="K1400" t="str">
        <f>IFERROR(VLOOKUP(F1400,'LEAID Match'!$A$2:$B$236,2,FALSE),"")</f>
        <v/>
      </c>
    </row>
    <row r="1401" spans="1:11" x14ac:dyDescent="0.2">
      <c r="A1401" t="str">
        <f t="shared" si="21"/>
        <v/>
      </c>
      <c r="B1401">
        <v>2022</v>
      </c>
      <c r="C1401" t="s">
        <v>642</v>
      </c>
      <c r="D1401" t="s">
        <v>644</v>
      </c>
      <c r="E1401" t="s">
        <v>646</v>
      </c>
      <c r="F1401" t="s">
        <v>246</v>
      </c>
      <c r="G1401" t="s">
        <v>247</v>
      </c>
      <c r="I1401">
        <v>0</v>
      </c>
      <c r="J1401">
        <v>0</v>
      </c>
      <c r="K1401" t="str">
        <f>IFERROR(VLOOKUP(F1401,'LEAID Match'!$A$2:$B$236,2,FALSE),"")</f>
        <v/>
      </c>
    </row>
    <row r="1402" spans="1:11" x14ac:dyDescent="0.2">
      <c r="A1402">
        <f t="shared" si="21"/>
        <v>0</v>
      </c>
      <c r="B1402">
        <v>2015</v>
      </c>
      <c r="C1402" t="s">
        <v>642</v>
      </c>
      <c r="D1402" t="s">
        <v>644</v>
      </c>
      <c r="E1402" t="s">
        <v>646</v>
      </c>
      <c r="F1402" t="s">
        <v>248</v>
      </c>
      <c r="G1402" t="s">
        <v>249</v>
      </c>
      <c r="H1402">
        <v>27213</v>
      </c>
      <c r="I1402">
        <v>521772.28942368331</v>
      </c>
      <c r="J1402">
        <v>548985.28942368331</v>
      </c>
      <c r="K1402">
        <f>IFERROR(VLOOKUP(F1402,'LEAID Match'!$A$2:$B$236,2,FALSE),"")</f>
        <v>0</v>
      </c>
    </row>
    <row r="1403" spans="1:11" x14ac:dyDescent="0.2">
      <c r="A1403">
        <f t="shared" si="21"/>
        <v>0</v>
      </c>
      <c r="B1403">
        <v>2016</v>
      </c>
      <c r="C1403" t="s">
        <v>642</v>
      </c>
      <c r="D1403" t="s">
        <v>644</v>
      </c>
      <c r="E1403" t="s">
        <v>646</v>
      </c>
      <c r="F1403" s="1" t="s">
        <v>248</v>
      </c>
      <c r="G1403" s="1" t="s">
        <v>249</v>
      </c>
      <c r="H1403" s="22">
        <v>20108</v>
      </c>
      <c r="I1403">
        <v>382144.54218792258</v>
      </c>
      <c r="J1403">
        <v>402252.54218792258</v>
      </c>
      <c r="K1403">
        <f>IFERROR(VLOOKUP(F1403,'LEAID Match'!$A$2:$B$236,2,FALSE),"")</f>
        <v>0</v>
      </c>
    </row>
    <row r="1404" spans="1:11" x14ac:dyDescent="0.2">
      <c r="A1404">
        <f t="shared" si="21"/>
        <v>0</v>
      </c>
      <c r="B1404">
        <v>2017</v>
      </c>
      <c r="C1404" t="s">
        <v>642</v>
      </c>
      <c r="D1404" t="s">
        <v>644</v>
      </c>
      <c r="E1404" t="s">
        <v>646</v>
      </c>
      <c r="F1404" t="s">
        <v>248</v>
      </c>
      <c r="G1404" t="s">
        <v>249</v>
      </c>
      <c r="H1404">
        <v>17395</v>
      </c>
      <c r="I1404">
        <v>331677.38704414188</v>
      </c>
      <c r="J1404">
        <v>349072.38704414188</v>
      </c>
      <c r="K1404">
        <f>IFERROR(VLOOKUP(F1404,'LEAID Match'!$A$2:$B$236,2,FALSE),"")</f>
        <v>0</v>
      </c>
    </row>
    <row r="1405" spans="1:11" x14ac:dyDescent="0.2">
      <c r="A1405">
        <f t="shared" si="21"/>
        <v>0</v>
      </c>
      <c r="B1405">
        <v>2018</v>
      </c>
      <c r="C1405" t="s">
        <v>642</v>
      </c>
      <c r="D1405" t="s">
        <v>644</v>
      </c>
      <c r="E1405" t="s">
        <v>646</v>
      </c>
      <c r="F1405" t="s">
        <v>248</v>
      </c>
      <c r="G1405" t="s">
        <v>249</v>
      </c>
      <c r="H1405">
        <v>19717</v>
      </c>
      <c r="I1405">
        <v>399649.66643179278</v>
      </c>
      <c r="J1405">
        <v>419366.66643179278</v>
      </c>
      <c r="K1405">
        <f>IFERROR(VLOOKUP(F1405,'LEAID Match'!$A$2:$B$236,2,FALSE),"")</f>
        <v>0</v>
      </c>
    </row>
    <row r="1406" spans="1:11" x14ac:dyDescent="0.2">
      <c r="A1406">
        <f t="shared" si="21"/>
        <v>0</v>
      </c>
      <c r="B1406">
        <v>2019</v>
      </c>
      <c r="C1406" t="s">
        <v>642</v>
      </c>
      <c r="D1406" t="s">
        <v>644</v>
      </c>
      <c r="E1406" t="s">
        <v>646</v>
      </c>
      <c r="F1406" t="s">
        <v>248</v>
      </c>
      <c r="G1406" t="s">
        <v>249</v>
      </c>
      <c r="H1406">
        <v>20780</v>
      </c>
      <c r="I1406">
        <v>445191.47645114915</v>
      </c>
      <c r="J1406">
        <v>465971.47645114915</v>
      </c>
      <c r="K1406">
        <f>IFERROR(VLOOKUP(F1406,'LEAID Match'!$A$2:$B$236,2,FALSE),"")</f>
        <v>0</v>
      </c>
    </row>
    <row r="1407" spans="1:11" x14ac:dyDescent="0.2">
      <c r="A1407">
        <f t="shared" si="21"/>
        <v>0</v>
      </c>
      <c r="B1407">
        <v>2020</v>
      </c>
      <c r="C1407" t="s">
        <v>642</v>
      </c>
      <c r="D1407" t="s">
        <v>644</v>
      </c>
      <c r="E1407" t="s">
        <v>646</v>
      </c>
      <c r="F1407" t="s">
        <v>248</v>
      </c>
      <c r="G1407" t="s">
        <v>249</v>
      </c>
      <c r="H1407">
        <v>33258</v>
      </c>
      <c r="I1407">
        <v>741052.33018549159</v>
      </c>
      <c r="J1407">
        <v>774310.33018549159</v>
      </c>
      <c r="K1407">
        <f>IFERROR(VLOOKUP(F1407,'LEAID Match'!$A$2:$B$236,2,FALSE),"")</f>
        <v>0</v>
      </c>
    </row>
    <row r="1408" spans="1:11" x14ac:dyDescent="0.2">
      <c r="A1408">
        <f t="shared" si="21"/>
        <v>0</v>
      </c>
      <c r="B1408">
        <v>2021</v>
      </c>
      <c r="C1408" t="s">
        <v>642</v>
      </c>
      <c r="D1408" t="s">
        <v>644</v>
      </c>
      <c r="E1408" t="s">
        <v>646</v>
      </c>
      <c r="F1408" t="s">
        <v>248</v>
      </c>
      <c r="G1408" t="s">
        <v>249</v>
      </c>
      <c r="H1408">
        <v>24023</v>
      </c>
      <c r="I1408">
        <v>403570.79505160142</v>
      </c>
      <c r="J1408">
        <v>427593.79505160142</v>
      </c>
      <c r="K1408">
        <f>IFERROR(VLOOKUP(F1408,'LEAID Match'!$A$2:$B$236,2,FALSE),"")</f>
        <v>0</v>
      </c>
    </row>
    <row r="1409" spans="1:11" x14ac:dyDescent="0.2">
      <c r="A1409">
        <f t="shared" si="21"/>
        <v>0</v>
      </c>
      <c r="B1409">
        <v>2022</v>
      </c>
      <c r="C1409" t="s">
        <v>642</v>
      </c>
      <c r="D1409" t="s">
        <v>644</v>
      </c>
      <c r="E1409" t="s">
        <v>646</v>
      </c>
      <c r="F1409" t="s">
        <v>248</v>
      </c>
      <c r="G1409" t="s">
        <v>249</v>
      </c>
      <c r="H1409">
        <v>37434</v>
      </c>
      <c r="I1409">
        <v>538861.4091469791</v>
      </c>
      <c r="J1409">
        <v>576295.4091469791</v>
      </c>
      <c r="K1409">
        <f>IFERROR(VLOOKUP(F1409,'LEAID Match'!$A$2:$B$236,2,FALSE),"")</f>
        <v>0</v>
      </c>
    </row>
    <row r="1410" spans="1:11" x14ac:dyDescent="0.2">
      <c r="A1410">
        <f t="shared" si="21"/>
        <v>2311850</v>
      </c>
      <c r="B1410">
        <v>2015</v>
      </c>
      <c r="C1410" t="s">
        <v>642</v>
      </c>
      <c r="D1410" t="s">
        <v>644</v>
      </c>
      <c r="E1410" t="s">
        <v>646</v>
      </c>
      <c r="F1410" t="s">
        <v>250</v>
      </c>
      <c r="G1410" t="s">
        <v>251</v>
      </c>
      <c r="H1410">
        <v>2889</v>
      </c>
      <c r="I1410">
        <v>55392.648518907183</v>
      </c>
      <c r="J1410">
        <v>58281.648518907183</v>
      </c>
      <c r="K1410">
        <f>IFERROR(VLOOKUP(F1410,'LEAID Match'!$A$2:$B$236,2,FALSE),"")</f>
        <v>2311850</v>
      </c>
    </row>
    <row r="1411" spans="1:11" x14ac:dyDescent="0.2">
      <c r="A1411">
        <f t="shared" ref="A1411:A1474" si="22">K1411</f>
        <v>2302500</v>
      </c>
      <c r="B1411">
        <v>2016</v>
      </c>
      <c r="C1411" t="s">
        <v>642</v>
      </c>
      <c r="D1411" t="s">
        <v>644</v>
      </c>
      <c r="E1411" t="s">
        <v>646</v>
      </c>
      <c r="F1411" s="1" t="s">
        <v>584</v>
      </c>
      <c r="G1411" s="1" t="s">
        <v>251</v>
      </c>
      <c r="H1411" s="22">
        <v>2499</v>
      </c>
      <c r="I1411">
        <v>47492.501040760813</v>
      </c>
      <c r="J1411">
        <v>49991.501040760813</v>
      </c>
      <c r="K1411">
        <f>IFERROR(VLOOKUP(F1411,'LEAID Match'!$A$2:$B$236,2,FALSE),"")</f>
        <v>2302500</v>
      </c>
    </row>
    <row r="1412" spans="1:11" x14ac:dyDescent="0.2">
      <c r="A1412">
        <f t="shared" si="22"/>
        <v>2302500</v>
      </c>
      <c r="B1412">
        <v>2017</v>
      </c>
      <c r="C1412" t="s">
        <v>642</v>
      </c>
      <c r="D1412" t="s">
        <v>644</v>
      </c>
      <c r="E1412" t="s">
        <v>646</v>
      </c>
      <c r="F1412" t="s">
        <v>584</v>
      </c>
      <c r="G1412" t="s">
        <v>251</v>
      </c>
      <c r="H1412">
        <v>1282</v>
      </c>
      <c r="I1412">
        <v>24444.404150077029</v>
      </c>
      <c r="J1412">
        <v>25726.404150077029</v>
      </c>
      <c r="K1412">
        <f>IFERROR(VLOOKUP(F1412,'LEAID Match'!$A$2:$B$236,2,FALSE),"")</f>
        <v>2302500</v>
      </c>
    </row>
    <row r="1413" spans="1:11" x14ac:dyDescent="0.2">
      <c r="A1413">
        <f t="shared" si="22"/>
        <v>2302500</v>
      </c>
      <c r="B1413">
        <v>2018</v>
      </c>
      <c r="C1413" t="s">
        <v>642</v>
      </c>
      <c r="D1413" t="s">
        <v>644</v>
      </c>
      <c r="E1413" t="s">
        <v>646</v>
      </c>
      <c r="F1413" t="s">
        <v>584</v>
      </c>
      <c r="G1413" t="s">
        <v>251</v>
      </c>
      <c r="H1413">
        <v>1192</v>
      </c>
      <c r="I1413">
        <v>24160.998244494447</v>
      </c>
      <c r="J1413">
        <v>25352.998244494447</v>
      </c>
      <c r="K1413">
        <f>IFERROR(VLOOKUP(F1413,'LEAID Match'!$A$2:$B$236,2,FALSE),"")</f>
        <v>2302500</v>
      </c>
    </row>
    <row r="1414" spans="1:11" x14ac:dyDescent="0.2">
      <c r="A1414">
        <f t="shared" si="22"/>
        <v>2302500</v>
      </c>
      <c r="B1414">
        <v>2019</v>
      </c>
      <c r="C1414" t="s">
        <v>642</v>
      </c>
      <c r="D1414" t="s">
        <v>644</v>
      </c>
      <c r="E1414" t="s">
        <v>646</v>
      </c>
      <c r="F1414" t="s">
        <v>584</v>
      </c>
      <c r="G1414" t="s">
        <v>251</v>
      </c>
      <c r="H1414">
        <v>1255</v>
      </c>
      <c r="I1414">
        <v>26887.16568557229</v>
      </c>
      <c r="J1414">
        <v>28142.16568557229</v>
      </c>
      <c r="K1414">
        <f>IFERROR(VLOOKUP(F1414,'LEAID Match'!$A$2:$B$236,2,FALSE),"")</f>
        <v>2302500</v>
      </c>
    </row>
    <row r="1415" spans="1:11" x14ac:dyDescent="0.2">
      <c r="A1415">
        <f t="shared" si="22"/>
        <v>2302500</v>
      </c>
      <c r="B1415">
        <v>2020</v>
      </c>
      <c r="C1415" t="s">
        <v>642</v>
      </c>
      <c r="D1415" t="s">
        <v>644</v>
      </c>
      <c r="E1415" t="s">
        <v>646</v>
      </c>
      <c r="F1415" t="s">
        <v>584</v>
      </c>
      <c r="G1415" t="s">
        <v>251</v>
      </c>
      <c r="H1415">
        <v>1628</v>
      </c>
      <c r="I1415">
        <v>36274.977254855381</v>
      </c>
      <c r="J1415">
        <v>37902.977254855381</v>
      </c>
      <c r="K1415">
        <f>IFERROR(VLOOKUP(F1415,'LEAID Match'!$A$2:$B$236,2,FALSE),"")</f>
        <v>2302500</v>
      </c>
    </row>
    <row r="1416" spans="1:11" x14ac:dyDescent="0.2">
      <c r="A1416">
        <f t="shared" si="22"/>
        <v>2302500</v>
      </c>
      <c r="B1416">
        <v>2021</v>
      </c>
      <c r="C1416" t="s">
        <v>642</v>
      </c>
      <c r="D1416" t="s">
        <v>644</v>
      </c>
      <c r="E1416" t="s">
        <v>646</v>
      </c>
      <c r="F1416" t="s">
        <v>584</v>
      </c>
      <c r="G1416" t="s">
        <v>251</v>
      </c>
      <c r="H1416">
        <v>3168</v>
      </c>
      <c r="I1416">
        <v>53220.342118947403</v>
      </c>
      <c r="J1416">
        <v>56388.342118947403</v>
      </c>
      <c r="K1416">
        <f>IFERROR(VLOOKUP(F1416,'LEAID Match'!$A$2:$B$236,2,FALSE),"")</f>
        <v>2302500</v>
      </c>
    </row>
    <row r="1417" spans="1:11" x14ac:dyDescent="0.2">
      <c r="A1417">
        <f t="shared" si="22"/>
        <v>2302500</v>
      </c>
      <c r="B1417">
        <v>2022</v>
      </c>
      <c r="C1417" t="s">
        <v>642</v>
      </c>
      <c r="D1417" t="s">
        <v>644</v>
      </c>
      <c r="E1417" t="s">
        <v>646</v>
      </c>
      <c r="F1417" t="s">
        <v>584</v>
      </c>
      <c r="G1417" t="s">
        <v>251</v>
      </c>
      <c r="H1417">
        <v>259</v>
      </c>
      <c r="I1417">
        <v>3728.2979368773736</v>
      </c>
      <c r="J1417">
        <v>3987.2979368773736</v>
      </c>
      <c r="K1417">
        <f>IFERROR(VLOOKUP(F1417,'LEAID Match'!$A$2:$B$236,2,FALSE),"")</f>
        <v>2302500</v>
      </c>
    </row>
    <row r="1418" spans="1:11" x14ac:dyDescent="0.2">
      <c r="A1418" t="str">
        <f t="shared" si="22"/>
        <v/>
      </c>
      <c r="B1418">
        <v>2015</v>
      </c>
      <c r="C1418" t="s">
        <v>642</v>
      </c>
      <c r="D1418" t="s">
        <v>644</v>
      </c>
      <c r="E1418" t="s">
        <v>646</v>
      </c>
      <c r="F1418" t="s">
        <v>585</v>
      </c>
      <c r="G1418" t="s">
        <v>252</v>
      </c>
      <c r="I1418">
        <v>0</v>
      </c>
      <c r="J1418">
        <v>0</v>
      </c>
      <c r="K1418" t="str">
        <f>IFERROR(VLOOKUP(F1418,'LEAID Match'!$A$2:$B$236,2,FALSE),"")</f>
        <v/>
      </c>
    </row>
    <row r="1419" spans="1:11" x14ac:dyDescent="0.2">
      <c r="A1419" t="str">
        <f t="shared" si="22"/>
        <v/>
      </c>
      <c r="B1419">
        <v>2016</v>
      </c>
      <c r="C1419" t="s">
        <v>642</v>
      </c>
      <c r="D1419" t="s">
        <v>644</v>
      </c>
      <c r="E1419" t="s">
        <v>646</v>
      </c>
      <c r="F1419" s="1" t="s">
        <v>585</v>
      </c>
      <c r="G1419" s="1" t="s">
        <v>252</v>
      </c>
      <c r="H1419" s="22"/>
      <c r="I1419">
        <v>0</v>
      </c>
      <c r="J1419">
        <v>0</v>
      </c>
      <c r="K1419" t="str">
        <f>IFERROR(VLOOKUP(F1419,'LEAID Match'!$A$2:$B$236,2,FALSE),"")</f>
        <v/>
      </c>
    </row>
    <row r="1420" spans="1:11" x14ac:dyDescent="0.2">
      <c r="A1420" t="str">
        <f t="shared" si="22"/>
        <v/>
      </c>
      <c r="B1420">
        <v>2017</v>
      </c>
      <c r="C1420" t="s">
        <v>642</v>
      </c>
      <c r="D1420" t="s">
        <v>644</v>
      </c>
      <c r="E1420" t="s">
        <v>646</v>
      </c>
      <c r="F1420" t="s">
        <v>585</v>
      </c>
      <c r="G1420" t="s">
        <v>252</v>
      </c>
      <c r="I1420">
        <v>0</v>
      </c>
      <c r="J1420">
        <v>0</v>
      </c>
      <c r="K1420" t="str">
        <f>IFERROR(VLOOKUP(F1420,'LEAID Match'!$A$2:$B$236,2,FALSE),"")</f>
        <v/>
      </c>
    </row>
    <row r="1421" spans="1:11" x14ac:dyDescent="0.2">
      <c r="A1421" t="str">
        <f t="shared" si="22"/>
        <v/>
      </c>
      <c r="B1421">
        <v>2018</v>
      </c>
      <c r="C1421" t="s">
        <v>642</v>
      </c>
      <c r="D1421" t="s">
        <v>644</v>
      </c>
      <c r="E1421" t="s">
        <v>646</v>
      </c>
      <c r="F1421" t="s">
        <v>585</v>
      </c>
      <c r="G1421" t="s">
        <v>252</v>
      </c>
      <c r="I1421">
        <v>0</v>
      </c>
      <c r="J1421">
        <v>0</v>
      </c>
      <c r="K1421" t="str">
        <f>IFERROR(VLOOKUP(F1421,'LEAID Match'!$A$2:$B$236,2,FALSE),"")</f>
        <v/>
      </c>
    </row>
    <row r="1422" spans="1:11" x14ac:dyDescent="0.2">
      <c r="A1422" t="str">
        <f t="shared" si="22"/>
        <v/>
      </c>
      <c r="B1422">
        <v>2019</v>
      </c>
      <c r="C1422" t="s">
        <v>642</v>
      </c>
      <c r="D1422" t="s">
        <v>644</v>
      </c>
      <c r="E1422" t="s">
        <v>646</v>
      </c>
      <c r="F1422" t="s">
        <v>585</v>
      </c>
      <c r="G1422" t="s">
        <v>252</v>
      </c>
      <c r="I1422">
        <v>0</v>
      </c>
      <c r="J1422">
        <v>0</v>
      </c>
      <c r="K1422" t="str">
        <f>IFERROR(VLOOKUP(F1422,'LEAID Match'!$A$2:$B$236,2,FALSE),"")</f>
        <v/>
      </c>
    </row>
    <row r="1423" spans="1:11" x14ac:dyDescent="0.2">
      <c r="A1423" t="str">
        <f t="shared" si="22"/>
        <v/>
      </c>
      <c r="B1423">
        <v>2020</v>
      </c>
      <c r="C1423" t="s">
        <v>642</v>
      </c>
      <c r="D1423" t="s">
        <v>644</v>
      </c>
      <c r="E1423" t="s">
        <v>646</v>
      </c>
      <c r="F1423" t="s">
        <v>585</v>
      </c>
      <c r="G1423" t="s">
        <v>252</v>
      </c>
      <c r="I1423">
        <v>0</v>
      </c>
      <c r="J1423">
        <v>0</v>
      </c>
      <c r="K1423" t="str">
        <f>IFERROR(VLOOKUP(F1423,'LEAID Match'!$A$2:$B$236,2,FALSE),"")</f>
        <v/>
      </c>
    </row>
    <row r="1424" spans="1:11" x14ac:dyDescent="0.2">
      <c r="A1424" t="str">
        <f t="shared" si="22"/>
        <v/>
      </c>
      <c r="B1424">
        <v>2021</v>
      </c>
      <c r="C1424" t="s">
        <v>642</v>
      </c>
      <c r="D1424" t="s">
        <v>644</v>
      </c>
      <c r="E1424" t="s">
        <v>646</v>
      </c>
      <c r="F1424" t="s">
        <v>585</v>
      </c>
      <c r="G1424" t="s">
        <v>252</v>
      </c>
      <c r="I1424">
        <v>0</v>
      </c>
      <c r="J1424">
        <v>0</v>
      </c>
      <c r="K1424" t="str">
        <f>IFERROR(VLOOKUP(F1424,'LEAID Match'!$A$2:$B$236,2,FALSE),"")</f>
        <v/>
      </c>
    </row>
    <row r="1425" spans="1:11" x14ac:dyDescent="0.2">
      <c r="A1425" t="str">
        <f t="shared" si="22"/>
        <v/>
      </c>
      <c r="B1425">
        <v>2022</v>
      </c>
      <c r="C1425" t="s">
        <v>642</v>
      </c>
      <c r="D1425" t="s">
        <v>644</v>
      </c>
      <c r="E1425" t="s">
        <v>646</v>
      </c>
      <c r="F1425" t="s">
        <v>585</v>
      </c>
      <c r="G1425" t="s">
        <v>252</v>
      </c>
      <c r="I1425">
        <v>0</v>
      </c>
      <c r="J1425">
        <v>0</v>
      </c>
      <c r="K1425" t="str">
        <f>IFERROR(VLOOKUP(F1425,'LEAID Match'!$A$2:$B$236,2,FALSE),"")</f>
        <v/>
      </c>
    </row>
    <row r="1426" spans="1:11" x14ac:dyDescent="0.2">
      <c r="A1426">
        <f t="shared" si="22"/>
        <v>0</v>
      </c>
      <c r="B1426">
        <v>2015</v>
      </c>
      <c r="C1426" t="s">
        <v>642</v>
      </c>
      <c r="D1426" t="s">
        <v>644</v>
      </c>
      <c r="E1426" t="s">
        <v>646</v>
      </c>
      <c r="F1426" t="s">
        <v>586</v>
      </c>
      <c r="G1426" t="s">
        <v>253</v>
      </c>
      <c r="H1426">
        <v>14878</v>
      </c>
      <c r="I1426">
        <v>285265.42909806198</v>
      </c>
      <c r="J1426">
        <v>300143.42909806198</v>
      </c>
      <c r="K1426">
        <f>IFERROR(VLOOKUP(F1426,'LEAID Match'!$A$2:$B$236,2,FALSE),"")</f>
        <v>0</v>
      </c>
    </row>
    <row r="1427" spans="1:11" x14ac:dyDescent="0.2">
      <c r="A1427">
        <f t="shared" si="22"/>
        <v>0</v>
      </c>
      <c r="B1427">
        <v>2016</v>
      </c>
      <c r="C1427" t="s">
        <v>642</v>
      </c>
      <c r="D1427" t="s">
        <v>644</v>
      </c>
      <c r="E1427" t="s">
        <v>646</v>
      </c>
      <c r="F1427" s="1" t="s">
        <v>586</v>
      </c>
      <c r="G1427" s="1" t="s">
        <v>253</v>
      </c>
      <c r="H1427" s="22">
        <v>10894</v>
      </c>
      <c r="I1427">
        <v>207036.13699001534</v>
      </c>
      <c r="J1427">
        <v>217930.13699001534</v>
      </c>
      <c r="K1427">
        <f>IFERROR(VLOOKUP(F1427,'LEAID Match'!$A$2:$B$236,2,FALSE),"")</f>
        <v>0</v>
      </c>
    </row>
    <row r="1428" spans="1:11" x14ac:dyDescent="0.2">
      <c r="A1428">
        <f t="shared" si="22"/>
        <v>0</v>
      </c>
      <c r="B1428">
        <v>2017</v>
      </c>
      <c r="C1428" t="s">
        <v>642</v>
      </c>
      <c r="D1428" t="s">
        <v>644</v>
      </c>
      <c r="E1428" t="s">
        <v>646</v>
      </c>
      <c r="F1428" t="s">
        <v>586</v>
      </c>
      <c r="G1428" t="s">
        <v>253</v>
      </c>
      <c r="H1428">
        <v>4712</v>
      </c>
      <c r="I1428">
        <v>89845.579060189513</v>
      </c>
      <c r="J1428">
        <v>94557.579060189513</v>
      </c>
      <c r="K1428">
        <f>IFERROR(VLOOKUP(F1428,'LEAID Match'!$A$2:$B$236,2,FALSE),"")</f>
        <v>0</v>
      </c>
    </row>
    <row r="1429" spans="1:11" x14ac:dyDescent="0.2">
      <c r="A1429">
        <f t="shared" si="22"/>
        <v>0</v>
      </c>
      <c r="B1429">
        <v>2018</v>
      </c>
      <c r="C1429" t="s">
        <v>642</v>
      </c>
      <c r="D1429" t="s">
        <v>644</v>
      </c>
      <c r="E1429" t="s">
        <v>646</v>
      </c>
      <c r="F1429" t="s">
        <v>586</v>
      </c>
      <c r="G1429" t="s">
        <v>253</v>
      </c>
      <c r="H1429">
        <v>5416</v>
      </c>
      <c r="I1429">
        <v>109778.49537934724</v>
      </c>
      <c r="J1429">
        <v>115194.49537934724</v>
      </c>
      <c r="K1429">
        <f>IFERROR(VLOOKUP(F1429,'LEAID Match'!$A$2:$B$236,2,FALSE),"")</f>
        <v>0</v>
      </c>
    </row>
    <row r="1430" spans="1:11" x14ac:dyDescent="0.2">
      <c r="A1430">
        <f t="shared" si="22"/>
        <v>0</v>
      </c>
      <c r="B1430">
        <v>2019</v>
      </c>
      <c r="C1430" t="s">
        <v>642</v>
      </c>
      <c r="D1430" t="s">
        <v>644</v>
      </c>
      <c r="E1430" t="s">
        <v>646</v>
      </c>
      <c r="F1430" t="s">
        <v>586</v>
      </c>
      <c r="G1430" t="s">
        <v>253</v>
      </c>
      <c r="H1430">
        <v>9019</v>
      </c>
      <c r="I1430">
        <v>193223.38431727208</v>
      </c>
      <c r="J1430">
        <v>202242.38431727208</v>
      </c>
      <c r="K1430">
        <f>IFERROR(VLOOKUP(F1430,'LEAID Match'!$A$2:$B$236,2,FALSE),"")</f>
        <v>0</v>
      </c>
    </row>
    <row r="1431" spans="1:11" x14ac:dyDescent="0.2">
      <c r="A1431">
        <f t="shared" si="22"/>
        <v>0</v>
      </c>
      <c r="B1431">
        <v>2020</v>
      </c>
      <c r="C1431" t="s">
        <v>642</v>
      </c>
      <c r="D1431" t="s">
        <v>644</v>
      </c>
      <c r="E1431" t="s">
        <v>646</v>
      </c>
      <c r="F1431" t="s">
        <v>586</v>
      </c>
      <c r="G1431" t="s">
        <v>253</v>
      </c>
      <c r="H1431">
        <v>9237</v>
      </c>
      <c r="I1431">
        <v>205818.16025988891</v>
      </c>
      <c r="J1431">
        <v>215055.16025988891</v>
      </c>
      <c r="K1431">
        <f>IFERROR(VLOOKUP(F1431,'LEAID Match'!$A$2:$B$236,2,FALSE),"")</f>
        <v>0</v>
      </c>
    </row>
    <row r="1432" spans="1:11" x14ac:dyDescent="0.2">
      <c r="A1432">
        <f t="shared" si="22"/>
        <v>0</v>
      </c>
      <c r="B1432">
        <v>2021</v>
      </c>
      <c r="C1432" t="s">
        <v>642</v>
      </c>
      <c r="D1432" t="s">
        <v>644</v>
      </c>
      <c r="E1432" t="s">
        <v>646</v>
      </c>
      <c r="F1432" t="s">
        <v>586</v>
      </c>
      <c r="G1432" t="s">
        <v>253</v>
      </c>
      <c r="H1432">
        <v>19979</v>
      </c>
      <c r="I1432">
        <v>335634.22196794511</v>
      </c>
      <c r="J1432">
        <v>355613.22196794511</v>
      </c>
      <c r="K1432">
        <f>IFERROR(VLOOKUP(F1432,'LEAID Match'!$A$2:$B$236,2,FALSE),"")</f>
        <v>0</v>
      </c>
    </row>
    <row r="1433" spans="1:11" x14ac:dyDescent="0.2">
      <c r="A1433">
        <f t="shared" si="22"/>
        <v>0</v>
      </c>
      <c r="B1433">
        <v>2022</v>
      </c>
      <c r="C1433" t="s">
        <v>642</v>
      </c>
      <c r="D1433" t="s">
        <v>644</v>
      </c>
      <c r="E1433" t="s">
        <v>646</v>
      </c>
      <c r="F1433" t="s">
        <v>586</v>
      </c>
      <c r="G1433" t="s">
        <v>253</v>
      </c>
      <c r="H1433">
        <v>16569</v>
      </c>
      <c r="I1433">
        <v>238510.30315104712</v>
      </c>
      <c r="J1433">
        <v>255079.30315104712</v>
      </c>
      <c r="K1433">
        <f>IFERROR(VLOOKUP(F1433,'LEAID Match'!$A$2:$B$236,2,FALSE),"")</f>
        <v>0</v>
      </c>
    </row>
    <row r="1434" spans="1:11" x14ac:dyDescent="0.2">
      <c r="A1434">
        <f t="shared" si="22"/>
        <v>2305380</v>
      </c>
      <c r="B1434">
        <v>2015</v>
      </c>
      <c r="C1434" t="s">
        <v>642</v>
      </c>
      <c r="D1434" t="s">
        <v>644</v>
      </c>
      <c r="E1434" t="s">
        <v>646</v>
      </c>
      <c r="F1434" s="1" t="s">
        <v>587</v>
      </c>
      <c r="G1434" t="s">
        <v>254</v>
      </c>
      <c r="H1434">
        <v>1368</v>
      </c>
      <c r="I1434">
        <v>26229.540731694364</v>
      </c>
      <c r="J1434">
        <v>27597.540731694364</v>
      </c>
      <c r="K1434">
        <f>IFERROR(VLOOKUP(F1434,'LEAID Match'!$A$2:$B$236,2,FALSE),"")</f>
        <v>2305380</v>
      </c>
    </row>
    <row r="1435" spans="1:11" x14ac:dyDescent="0.2">
      <c r="A1435">
        <f t="shared" si="22"/>
        <v>2305380</v>
      </c>
      <c r="B1435">
        <v>2016</v>
      </c>
      <c r="C1435" t="s">
        <v>642</v>
      </c>
      <c r="D1435" t="s">
        <v>644</v>
      </c>
      <c r="E1435" t="s">
        <v>646</v>
      </c>
      <c r="F1435" s="1" t="s">
        <v>587</v>
      </c>
      <c r="G1435" s="1" t="s">
        <v>254</v>
      </c>
      <c r="H1435" s="22">
        <v>3113</v>
      </c>
      <c r="I1435">
        <v>59161.32682668604</v>
      </c>
      <c r="J1435">
        <v>62274.32682668604</v>
      </c>
      <c r="K1435">
        <f>IFERROR(VLOOKUP(F1435,'LEAID Match'!$A$2:$B$236,2,FALSE),"")</f>
        <v>2305380</v>
      </c>
    </row>
    <row r="1436" spans="1:11" x14ac:dyDescent="0.2">
      <c r="A1436">
        <f t="shared" si="22"/>
        <v>2305380</v>
      </c>
      <c r="B1436">
        <v>2017</v>
      </c>
      <c r="C1436" t="s">
        <v>642</v>
      </c>
      <c r="D1436" t="s">
        <v>644</v>
      </c>
      <c r="E1436" t="s">
        <v>646</v>
      </c>
      <c r="F1436" t="s">
        <v>587</v>
      </c>
      <c r="G1436" t="s">
        <v>254</v>
      </c>
      <c r="H1436">
        <v>1812</v>
      </c>
      <c r="I1436">
        <v>34550.12505455505</v>
      </c>
      <c r="J1436">
        <v>36362.12505455505</v>
      </c>
      <c r="K1436">
        <f>IFERROR(VLOOKUP(F1436,'LEAID Match'!$A$2:$B$236,2,FALSE),"")</f>
        <v>2305380</v>
      </c>
    </row>
    <row r="1437" spans="1:11" x14ac:dyDescent="0.2">
      <c r="A1437">
        <f t="shared" si="22"/>
        <v>2305380</v>
      </c>
      <c r="B1437">
        <v>2018</v>
      </c>
      <c r="C1437" t="s">
        <v>642</v>
      </c>
      <c r="D1437" t="s">
        <v>644</v>
      </c>
      <c r="E1437" t="s">
        <v>646</v>
      </c>
      <c r="F1437" t="s">
        <v>587</v>
      </c>
      <c r="G1437" t="s">
        <v>254</v>
      </c>
      <c r="H1437">
        <v>2296</v>
      </c>
      <c r="I1437">
        <v>46538.298632012797</v>
      </c>
      <c r="J1437">
        <v>48834.298632012797</v>
      </c>
      <c r="K1437">
        <f>IFERROR(VLOOKUP(F1437,'LEAID Match'!$A$2:$B$236,2,FALSE),"")</f>
        <v>2305380</v>
      </c>
    </row>
    <row r="1438" spans="1:11" x14ac:dyDescent="0.2">
      <c r="A1438">
        <f t="shared" si="22"/>
        <v>2305380</v>
      </c>
      <c r="B1438">
        <v>2019</v>
      </c>
      <c r="C1438" t="s">
        <v>642</v>
      </c>
      <c r="D1438" t="s">
        <v>644</v>
      </c>
      <c r="E1438" t="s">
        <v>646</v>
      </c>
      <c r="F1438" t="s">
        <v>587</v>
      </c>
      <c r="G1438" t="s">
        <v>254</v>
      </c>
      <c r="H1438">
        <v>1745</v>
      </c>
      <c r="I1438">
        <v>37384.943522967049</v>
      </c>
      <c r="J1438">
        <v>39129.943522967049</v>
      </c>
      <c r="K1438">
        <f>IFERROR(VLOOKUP(F1438,'LEAID Match'!$A$2:$B$236,2,FALSE),"")</f>
        <v>2305380</v>
      </c>
    </row>
    <row r="1439" spans="1:11" x14ac:dyDescent="0.2">
      <c r="A1439">
        <f t="shared" si="22"/>
        <v>2305380</v>
      </c>
      <c r="B1439">
        <v>2020</v>
      </c>
      <c r="C1439" t="s">
        <v>642</v>
      </c>
      <c r="D1439" t="s">
        <v>644</v>
      </c>
      <c r="E1439" t="s">
        <v>646</v>
      </c>
      <c r="F1439" t="s">
        <v>587</v>
      </c>
      <c r="G1439" t="s">
        <v>254</v>
      </c>
      <c r="H1439">
        <v>1389</v>
      </c>
      <c r="I1439">
        <v>30949.59668734283</v>
      </c>
      <c r="J1439">
        <v>32338.59668734283</v>
      </c>
      <c r="K1439">
        <f>IFERROR(VLOOKUP(F1439,'LEAID Match'!$A$2:$B$236,2,FALSE),"")</f>
        <v>2305380</v>
      </c>
    </row>
    <row r="1440" spans="1:11" x14ac:dyDescent="0.2">
      <c r="A1440">
        <f t="shared" si="22"/>
        <v>2305380</v>
      </c>
      <c r="B1440">
        <v>2021</v>
      </c>
      <c r="C1440" t="s">
        <v>642</v>
      </c>
      <c r="D1440" t="s">
        <v>644</v>
      </c>
      <c r="E1440" t="s">
        <v>646</v>
      </c>
      <c r="F1440" t="s">
        <v>587</v>
      </c>
      <c r="G1440" t="s">
        <v>254</v>
      </c>
      <c r="H1440">
        <v>143</v>
      </c>
      <c r="I1440">
        <v>2402.30710953582</v>
      </c>
      <c r="J1440">
        <v>2545.30710953582</v>
      </c>
      <c r="K1440">
        <f>IFERROR(VLOOKUP(F1440,'LEAID Match'!$A$2:$B$236,2,FALSE),"")</f>
        <v>2305380</v>
      </c>
    </row>
    <row r="1441" spans="1:11" x14ac:dyDescent="0.2">
      <c r="A1441">
        <f t="shared" si="22"/>
        <v>2305380</v>
      </c>
      <c r="B1441">
        <v>2022</v>
      </c>
      <c r="C1441" t="s">
        <v>642</v>
      </c>
      <c r="D1441" t="s">
        <v>644</v>
      </c>
      <c r="E1441" t="s">
        <v>646</v>
      </c>
      <c r="F1441" t="s">
        <v>587</v>
      </c>
      <c r="G1441" t="s">
        <v>254</v>
      </c>
      <c r="H1441">
        <v>935</v>
      </c>
      <c r="I1441">
        <v>13459.299501854612</v>
      </c>
      <c r="J1441">
        <v>14394.299501854612</v>
      </c>
      <c r="K1441">
        <f>IFERROR(VLOOKUP(F1441,'LEAID Match'!$A$2:$B$236,2,FALSE),"")</f>
        <v>2305380</v>
      </c>
    </row>
    <row r="1442" spans="1:11" x14ac:dyDescent="0.2">
      <c r="A1442">
        <f t="shared" si="22"/>
        <v>2302730</v>
      </c>
      <c r="B1442">
        <v>2015</v>
      </c>
      <c r="C1442" t="s">
        <v>642</v>
      </c>
      <c r="D1442" t="s">
        <v>644</v>
      </c>
      <c r="E1442" t="s">
        <v>646</v>
      </c>
      <c r="F1442" t="s">
        <v>588</v>
      </c>
      <c r="G1442" t="s">
        <v>255</v>
      </c>
      <c r="H1442">
        <v>17990</v>
      </c>
      <c r="I1442">
        <v>344933.79953448946</v>
      </c>
      <c r="J1442">
        <v>362923.79953448946</v>
      </c>
      <c r="K1442">
        <f>IFERROR(VLOOKUP(F1442,'LEAID Match'!$A$2:$B$236,2,FALSE),"")</f>
        <v>2302730</v>
      </c>
    </row>
    <row r="1443" spans="1:11" x14ac:dyDescent="0.2">
      <c r="A1443">
        <f t="shared" si="22"/>
        <v>2302730</v>
      </c>
      <c r="B1443">
        <v>2016</v>
      </c>
      <c r="C1443" t="s">
        <v>642</v>
      </c>
      <c r="D1443" t="s">
        <v>644</v>
      </c>
      <c r="E1443" t="s">
        <v>646</v>
      </c>
      <c r="F1443" s="1" t="s">
        <v>588</v>
      </c>
      <c r="G1443" s="1" t="s">
        <v>255</v>
      </c>
      <c r="H1443" s="22">
        <v>12002</v>
      </c>
      <c r="I1443">
        <v>228093.23629100094</v>
      </c>
      <c r="J1443">
        <v>240095.23629100094</v>
      </c>
      <c r="K1443">
        <f>IFERROR(VLOOKUP(F1443,'LEAID Match'!$A$2:$B$236,2,FALSE),"")</f>
        <v>2302730</v>
      </c>
    </row>
    <row r="1444" spans="1:11" x14ac:dyDescent="0.2">
      <c r="A1444">
        <f t="shared" si="22"/>
        <v>2302730</v>
      </c>
      <c r="B1444">
        <v>2017</v>
      </c>
      <c r="C1444" t="s">
        <v>642</v>
      </c>
      <c r="D1444" t="s">
        <v>644</v>
      </c>
      <c r="E1444" t="s">
        <v>646</v>
      </c>
      <c r="F1444" t="s">
        <v>588</v>
      </c>
      <c r="G1444" t="s">
        <v>255</v>
      </c>
      <c r="H1444">
        <v>11719</v>
      </c>
      <c r="I1444">
        <v>223450.83637656219</v>
      </c>
      <c r="J1444">
        <v>235169.83637656219</v>
      </c>
      <c r="K1444">
        <f>IFERROR(VLOOKUP(F1444,'LEAID Match'!$A$2:$B$236,2,FALSE),"")</f>
        <v>2302730</v>
      </c>
    </row>
    <row r="1445" spans="1:11" x14ac:dyDescent="0.2">
      <c r="A1445">
        <f t="shared" si="22"/>
        <v>2302730</v>
      </c>
      <c r="B1445">
        <v>2018</v>
      </c>
      <c r="C1445" t="s">
        <v>642</v>
      </c>
      <c r="D1445" t="s">
        <v>644</v>
      </c>
      <c r="E1445" t="s">
        <v>646</v>
      </c>
      <c r="F1445" t="s">
        <v>588</v>
      </c>
      <c r="G1445" t="s">
        <v>255</v>
      </c>
      <c r="H1445">
        <v>15143</v>
      </c>
      <c r="I1445">
        <v>306937.91645669413</v>
      </c>
      <c r="J1445">
        <v>322080.91645669413</v>
      </c>
      <c r="K1445">
        <f>IFERROR(VLOOKUP(F1445,'LEAID Match'!$A$2:$B$236,2,FALSE),"")</f>
        <v>2302730</v>
      </c>
    </row>
    <row r="1446" spans="1:11" x14ac:dyDescent="0.2">
      <c r="A1446">
        <f t="shared" si="22"/>
        <v>2302730</v>
      </c>
      <c r="B1446">
        <v>2019</v>
      </c>
      <c r="C1446" t="s">
        <v>642</v>
      </c>
      <c r="D1446" t="s">
        <v>644</v>
      </c>
      <c r="E1446" t="s">
        <v>646</v>
      </c>
      <c r="F1446" t="s">
        <v>588</v>
      </c>
      <c r="G1446" t="s">
        <v>255</v>
      </c>
      <c r="H1446">
        <v>15634</v>
      </c>
      <c r="I1446">
        <v>334943.38512210129</v>
      </c>
      <c r="J1446">
        <v>350577.38512210129</v>
      </c>
      <c r="K1446">
        <f>IFERROR(VLOOKUP(F1446,'LEAID Match'!$A$2:$B$236,2,FALSE),"")</f>
        <v>2302730</v>
      </c>
    </row>
    <row r="1447" spans="1:11" x14ac:dyDescent="0.2">
      <c r="A1447">
        <f t="shared" si="22"/>
        <v>2302730</v>
      </c>
      <c r="B1447">
        <v>2020</v>
      </c>
      <c r="C1447" t="s">
        <v>642</v>
      </c>
      <c r="D1447" t="s">
        <v>644</v>
      </c>
      <c r="E1447" t="s">
        <v>646</v>
      </c>
      <c r="F1447" t="s">
        <v>588</v>
      </c>
      <c r="G1447" t="s">
        <v>255</v>
      </c>
      <c r="H1447">
        <v>25557</v>
      </c>
      <c r="I1447">
        <v>569459.20989087166</v>
      </c>
      <c r="J1447">
        <v>595016.20989087166</v>
      </c>
      <c r="K1447">
        <f>IFERROR(VLOOKUP(F1447,'LEAID Match'!$A$2:$B$236,2,FALSE),"")</f>
        <v>2302730</v>
      </c>
    </row>
    <row r="1448" spans="1:11" x14ac:dyDescent="0.2">
      <c r="A1448">
        <f t="shared" si="22"/>
        <v>2302730</v>
      </c>
      <c r="B1448">
        <v>2021</v>
      </c>
      <c r="C1448" t="s">
        <v>642</v>
      </c>
      <c r="D1448" t="s">
        <v>644</v>
      </c>
      <c r="E1448" t="s">
        <v>646</v>
      </c>
      <c r="F1448" t="s">
        <v>588</v>
      </c>
      <c r="G1448" t="s">
        <v>255</v>
      </c>
      <c r="H1448">
        <v>50135</v>
      </c>
      <c r="I1448">
        <v>842235.43312292558</v>
      </c>
      <c r="J1448">
        <v>892370.43312292558</v>
      </c>
      <c r="K1448">
        <f>IFERROR(VLOOKUP(F1448,'LEAID Match'!$A$2:$B$236,2,FALSE),"")</f>
        <v>2302730</v>
      </c>
    </row>
    <row r="1449" spans="1:11" x14ac:dyDescent="0.2">
      <c r="A1449">
        <f t="shared" si="22"/>
        <v>2302730</v>
      </c>
      <c r="B1449">
        <v>2022</v>
      </c>
      <c r="C1449" t="s">
        <v>642</v>
      </c>
      <c r="D1449" t="s">
        <v>644</v>
      </c>
      <c r="E1449" t="s">
        <v>646</v>
      </c>
      <c r="F1449" t="s">
        <v>588</v>
      </c>
      <c r="G1449" t="s">
        <v>255</v>
      </c>
      <c r="H1449">
        <v>30371</v>
      </c>
      <c r="I1449">
        <v>437189.71676024218</v>
      </c>
      <c r="J1449">
        <v>467560.71676024218</v>
      </c>
      <c r="K1449">
        <f>IFERROR(VLOOKUP(F1449,'LEAID Match'!$A$2:$B$236,2,FALSE),"")</f>
        <v>2302730</v>
      </c>
    </row>
    <row r="1450" spans="1:11" x14ac:dyDescent="0.2">
      <c r="A1450">
        <f t="shared" si="22"/>
        <v>2309990</v>
      </c>
      <c r="B1450">
        <v>2015</v>
      </c>
      <c r="C1450" t="s">
        <v>642</v>
      </c>
      <c r="D1450" t="s">
        <v>644</v>
      </c>
      <c r="E1450" t="s">
        <v>646</v>
      </c>
      <c r="F1450" t="s">
        <v>589</v>
      </c>
      <c r="G1450" t="s">
        <v>256</v>
      </c>
      <c r="H1450">
        <v>7814</v>
      </c>
      <c r="I1450">
        <v>149822.82988118404</v>
      </c>
      <c r="J1450">
        <v>157636.82988118404</v>
      </c>
      <c r="K1450">
        <f>IFERROR(VLOOKUP(F1450,'LEAID Match'!$A$2:$B$236,2,FALSE),"")</f>
        <v>2309990</v>
      </c>
    </row>
    <row r="1451" spans="1:11" x14ac:dyDescent="0.2">
      <c r="A1451">
        <f t="shared" si="22"/>
        <v>2309990</v>
      </c>
      <c r="B1451">
        <v>2016</v>
      </c>
      <c r="C1451" t="s">
        <v>642</v>
      </c>
      <c r="D1451" t="s">
        <v>644</v>
      </c>
      <c r="E1451" t="s">
        <v>646</v>
      </c>
      <c r="F1451" s="1" t="s">
        <v>589</v>
      </c>
      <c r="G1451" s="1" t="s">
        <v>256</v>
      </c>
      <c r="H1451" s="22">
        <v>5506</v>
      </c>
      <c r="I1451">
        <v>104639.34002818289</v>
      </c>
      <c r="J1451">
        <v>110145.34002818289</v>
      </c>
      <c r="K1451">
        <f>IFERROR(VLOOKUP(F1451,'LEAID Match'!$A$2:$B$236,2,FALSE),"")</f>
        <v>2309990</v>
      </c>
    </row>
    <row r="1452" spans="1:11" x14ac:dyDescent="0.2">
      <c r="A1452">
        <f t="shared" si="22"/>
        <v>2309990</v>
      </c>
      <c r="B1452">
        <v>2017</v>
      </c>
      <c r="C1452" t="s">
        <v>642</v>
      </c>
      <c r="D1452" t="s">
        <v>644</v>
      </c>
      <c r="E1452" t="s">
        <v>646</v>
      </c>
      <c r="F1452" t="s">
        <v>589</v>
      </c>
      <c r="G1452" t="s">
        <v>256</v>
      </c>
      <c r="H1452">
        <v>10256</v>
      </c>
      <c r="I1452">
        <v>195555.23320061623</v>
      </c>
      <c r="J1452">
        <v>205811.23320061623</v>
      </c>
      <c r="K1452">
        <f>IFERROR(VLOOKUP(F1452,'LEAID Match'!$A$2:$B$236,2,FALSE),"")</f>
        <v>2309990</v>
      </c>
    </row>
    <row r="1453" spans="1:11" x14ac:dyDescent="0.2">
      <c r="A1453">
        <f t="shared" si="22"/>
        <v>2309990</v>
      </c>
      <c r="B1453">
        <v>2018</v>
      </c>
      <c r="C1453" t="s">
        <v>642</v>
      </c>
      <c r="D1453" t="s">
        <v>644</v>
      </c>
      <c r="E1453" t="s">
        <v>646</v>
      </c>
      <c r="F1453" t="s">
        <v>589</v>
      </c>
      <c r="G1453" t="s">
        <v>256</v>
      </c>
      <c r="H1453">
        <v>6713</v>
      </c>
      <c r="I1453">
        <v>136067.76947591544</v>
      </c>
      <c r="J1453">
        <v>142780.76947591544</v>
      </c>
      <c r="K1453">
        <f>IFERROR(VLOOKUP(F1453,'LEAID Match'!$A$2:$B$236,2,FALSE),"")</f>
        <v>2309990</v>
      </c>
    </row>
    <row r="1454" spans="1:11" x14ac:dyDescent="0.2">
      <c r="A1454">
        <f t="shared" si="22"/>
        <v>2309990</v>
      </c>
      <c r="B1454">
        <v>2019</v>
      </c>
      <c r="C1454" t="s">
        <v>642</v>
      </c>
      <c r="D1454" t="s">
        <v>644</v>
      </c>
      <c r="E1454" t="s">
        <v>646</v>
      </c>
      <c r="F1454" t="s">
        <v>589</v>
      </c>
      <c r="G1454" t="s">
        <v>256</v>
      </c>
      <c r="H1454">
        <v>5001</v>
      </c>
      <c r="I1454">
        <v>107141.60605063506</v>
      </c>
      <c r="J1454">
        <v>112142.60605063506</v>
      </c>
      <c r="K1454">
        <f>IFERROR(VLOOKUP(F1454,'LEAID Match'!$A$2:$B$236,2,FALSE),"")</f>
        <v>2309990</v>
      </c>
    </row>
    <row r="1455" spans="1:11" x14ac:dyDescent="0.2">
      <c r="A1455">
        <f t="shared" si="22"/>
        <v>2309990</v>
      </c>
      <c r="B1455">
        <v>2020</v>
      </c>
      <c r="C1455" t="s">
        <v>642</v>
      </c>
      <c r="D1455" t="s">
        <v>644</v>
      </c>
      <c r="E1455" t="s">
        <v>646</v>
      </c>
      <c r="F1455" t="s">
        <v>589</v>
      </c>
      <c r="G1455" t="s">
        <v>256</v>
      </c>
      <c r="H1455">
        <v>4907</v>
      </c>
      <c r="I1455">
        <v>109337.41608696275</v>
      </c>
      <c r="J1455">
        <v>114244.41608696275</v>
      </c>
      <c r="K1455">
        <f>IFERROR(VLOOKUP(F1455,'LEAID Match'!$A$2:$B$236,2,FALSE),"")</f>
        <v>2309990</v>
      </c>
    </row>
    <row r="1456" spans="1:11" x14ac:dyDescent="0.2">
      <c r="A1456">
        <f t="shared" si="22"/>
        <v>2309990</v>
      </c>
      <c r="B1456">
        <v>2021</v>
      </c>
      <c r="C1456" t="s">
        <v>642</v>
      </c>
      <c r="D1456" t="s">
        <v>644</v>
      </c>
      <c r="E1456" t="s">
        <v>646</v>
      </c>
      <c r="F1456" t="s">
        <v>589</v>
      </c>
      <c r="G1456" t="s">
        <v>256</v>
      </c>
      <c r="H1456">
        <v>18758</v>
      </c>
      <c r="I1456">
        <v>315122.2151096008</v>
      </c>
      <c r="J1456">
        <v>333880.2151096008</v>
      </c>
      <c r="K1456">
        <f>IFERROR(VLOOKUP(F1456,'LEAID Match'!$A$2:$B$236,2,FALSE),"")</f>
        <v>2309990</v>
      </c>
    </row>
    <row r="1457" spans="1:11" x14ac:dyDescent="0.2">
      <c r="A1457">
        <f t="shared" si="22"/>
        <v>2309990</v>
      </c>
      <c r="B1457">
        <v>2022</v>
      </c>
      <c r="C1457" t="s">
        <v>642</v>
      </c>
      <c r="D1457" t="s">
        <v>644</v>
      </c>
      <c r="E1457" t="s">
        <v>646</v>
      </c>
      <c r="F1457" t="s">
        <v>589</v>
      </c>
      <c r="G1457" t="s">
        <v>256</v>
      </c>
      <c r="H1457">
        <v>23714</v>
      </c>
      <c r="I1457">
        <v>341362.38330158318</v>
      </c>
      <c r="J1457">
        <v>365076.38330158318</v>
      </c>
      <c r="K1457">
        <f>IFERROR(VLOOKUP(F1457,'LEAID Match'!$A$2:$B$236,2,FALSE),"")</f>
        <v>2309990</v>
      </c>
    </row>
    <row r="1458" spans="1:11" x14ac:dyDescent="0.2">
      <c r="A1458" t="str">
        <f t="shared" si="22"/>
        <v/>
      </c>
      <c r="B1458">
        <v>2015</v>
      </c>
      <c r="C1458" t="s">
        <v>642</v>
      </c>
      <c r="D1458" t="s">
        <v>644</v>
      </c>
      <c r="E1458" t="s">
        <v>646</v>
      </c>
      <c r="F1458" t="s">
        <v>257</v>
      </c>
      <c r="G1458" t="s">
        <v>258</v>
      </c>
      <c r="I1458">
        <v>0</v>
      </c>
      <c r="J1458">
        <v>0</v>
      </c>
      <c r="K1458" t="str">
        <f>IFERROR(VLOOKUP(F1458,'LEAID Match'!$A$2:$B$236,2,FALSE),"")</f>
        <v/>
      </c>
    </row>
    <row r="1459" spans="1:11" x14ac:dyDescent="0.2">
      <c r="A1459" t="str">
        <f t="shared" si="22"/>
        <v/>
      </c>
      <c r="B1459">
        <v>2016</v>
      </c>
      <c r="C1459" t="s">
        <v>642</v>
      </c>
      <c r="D1459" t="s">
        <v>644</v>
      </c>
      <c r="E1459" t="s">
        <v>646</v>
      </c>
      <c r="F1459" s="1" t="s">
        <v>257</v>
      </c>
      <c r="G1459" s="1" t="s">
        <v>258</v>
      </c>
      <c r="H1459" s="22">
        <v>101</v>
      </c>
      <c r="I1459">
        <v>1919.4648279779281</v>
      </c>
      <c r="J1459">
        <v>2020.4648279779281</v>
      </c>
      <c r="K1459" t="str">
        <f>IFERROR(VLOOKUP(F1459,'LEAID Match'!$A$2:$B$236,2,FALSE),"")</f>
        <v/>
      </c>
    </row>
    <row r="1460" spans="1:11" x14ac:dyDescent="0.2">
      <c r="A1460" t="str">
        <f t="shared" si="22"/>
        <v/>
      </c>
      <c r="B1460">
        <v>2017</v>
      </c>
      <c r="C1460" t="s">
        <v>642</v>
      </c>
      <c r="D1460" t="s">
        <v>644</v>
      </c>
      <c r="E1460" t="s">
        <v>646</v>
      </c>
      <c r="F1460" t="s">
        <v>257</v>
      </c>
      <c r="G1460" t="s">
        <v>258</v>
      </c>
      <c r="H1460">
        <v>187</v>
      </c>
      <c r="I1460">
        <v>3565.6034134667748</v>
      </c>
      <c r="J1460">
        <v>3752.6034134667748</v>
      </c>
      <c r="K1460" t="str">
        <f>IFERROR(VLOOKUP(F1460,'LEAID Match'!$A$2:$B$236,2,FALSE),"")</f>
        <v/>
      </c>
    </row>
    <row r="1461" spans="1:11" x14ac:dyDescent="0.2">
      <c r="A1461" t="str">
        <f t="shared" si="22"/>
        <v/>
      </c>
      <c r="B1461">
        <v>2018</v>
      </c>
      <c r="C1461" t="s">
        <v>642</v>
      </c>
      <c r="D1461" t="s">
        <v>644</v>
      </c>
      <c r="E1461" t="s">
        <v>646</v>
      </c>
      <c r="F1461" t="s">
        <v>257</v>
      </c>
      <c r="G1461" t="s">
        <v>258</v>
      </c>
      <c r="H1461">
        <v>97</v>
      </c>
      <c r="I1461">
        <v>1966.121501439565</v>
      </c>
      <c r="J1461">
        <v>2063.1215014395648</v>
      </c>
      <c r="K1461" t="str">
        <f>IFERROR(VLOOKUP(F1461,'LEAID Match'!$A$2:$B$236,2,FALSE),"")</f>
        <v/>
      </c>
    </row>
    <row r="1462" spans="1:11" x14ac:dyDescent="0.2">
      <c r="A1462" t="str">
        <f t="shared" si="22"/>
        <v/>
      </c>
      <c r="B1462">
        <v>2019</v>
      </c>
      <c r="C1462" t="s">
        <v>642</v>
      </c>
      <c r="D1462" t="s">
        <v>644</v>
      </c>
      <c r="E1462" t="s">
        <v>646</v>
      </c>
      <c r="F1462" t="s">
        <v>257</v>
      </c>
      <c r="G1462" t="s">
        <v>258</v>
      </c>
      <c r="H1462">
        <v>264</v>
      </c>
      <c r="I1462">
        <v>5655.9456103514622</v>
      </c>
      <c r="J1462">
        <v>5919.9456103514622</v>
      </c>
      <c r="K1462" t="str">
        <f>IFERROR(VLOOKUP(F1462,'LEAID Match'!$A$2:$B$236,2,FALSE),"")</f>
        <v/>
      </c>
    </row>
    <row r="1463" spans="1:11" x14ac:dyDescent="0.2">
      <c r="A1463" t="str">
        <f t="shared" si="22"/>
        <v/>
      </c>
      <c r="B1463">
        <v>2020</v>
      </c>
      <c r="C1463" t="s">
        <v>642</v>
      </c>
      <c r="D1463" t="s">
        <v>644</v>
      </c>
      <c r="E1463" t="s">
        <v>646</v>
      </c>
      <c r="F1463" t="s">
        <v>257</v>
      </c>
      <c r="G1463" t="s">
        <v>258</v>
      </c>
      <c r="H1463">
        <v>281</v>
      </c>
      <c r="I1463">
        <v>6261.2215040628771</v>
      </c>
      <c r="J1463">
        <v>6542.2215040628771</v>
      </c>
      <c r="K1463" t="str">
        <f>IFERROR(VLOOKUP(F1463,'LEAID Match'!$A$2:$B$236,2,FALSE),"")</f>
        <v/>
      </c>
    </row>
    <row r="1464" spans="1:11" x14ac:dyDescent="0.2">
      <c r="A1464" t="str">
        <f t="shared" si="22"/>
        <v/>
      </c>
      <c r="B1464">
        <v>2021</v>
      </c>
      <c r="C1464" t="s">
        <v>642</v>
      </c>
      <c r="D1464" t="s">
        <v>644</v>
      </c>
      <c r="E1464" t="s">
        <v>646</v>
      </c>
      <c r="F1464" t="s">
        <v>257</v>
      </c>
      <c r="G1464" t="s">
        <v>258</v>
      </c>
      <c r="H1464">
        <v>3607</v>
      </c>
      <c r="I1464">
        <v>60595.256951718206</v>
      </c>
      <c r="J1464">
        <v>64202.256951718206</v>
      </c>
      <c r="K1464" t="str">
        <f>IFERROR(VLOOKUP(F1464,'LEAID Match'!$A$2:$B$236,2,FALSE),"")</f>
        <v/>
      </c>
    </row>
    <row r="1465" spans="1:11" x14ac:dyDescent="0.2">
      <c r="A1465" t="str">
        <f t="shared" si="22"/>
        <v/>
      </c>
      <c r="B1465">
        <v>2022</v>
      </c>
      <c r="C1465" t="s">
        <v>642</v>
      </c>
      <c r="D1465" t="s">
        <v>644</v>
      </c>
      <c r="E1465" t="s">
        <v>646</v>
      </c>
      <c r="F1465" t="s">
        <v>257</v>
      </c>
      <c r="G1465" t="s">
        <v>258</v>
      </c>
      <c r="H1465">
        <v>5792</v>
      </c>
      <c r="I1465">
        <v>83375.682047852315</v>
      </c>
      <c r="J1465">
        <v>89167.682047852315</v>
      </c>
      <c r="K1465" t="str">
        <f>IFERROR(VLOOKUP(F1465,'LEAID Match'!$A$2:$B$236,2,FALSE),"")</f>
        <v/>
      </c>
    </row>
    <row r="1466" spans="1:11" x14ac:dyDescent="0.2">
      <c r="A1466">
        <f t="shared" si="22"/>
        <v>2314786</v>
      </c>
      <c r="B1466">
        <v>2015</v>
      </c>
      <c r="C1466" t="s">
        <v>642</v>
      </c>
      <c r="D1466" t="s">
        <v>644</v>
      </c>
      <c r="E1466" t="s">
        <v>646</v>
      </c>
      <c r="F1466" t="s">
        <v>259</v>
      </c>
      <c r="G1466" t="s">
        <v>260</v>
      </c>
      <c r="H1466">
        <v>16410</v>
      </c>
      <c r="I1466">
        <v>314639.44693501794</v>
      </c>
      <c r="J1466">
        <v>331049.44693501794</v>
      </c>
      <c r="K1466">
        <f>IFERROR(VLOOKUP(F1466,'LEAID Match'!$A$2:$B$236,2,FALSE),"")</f>
        <v>2314786</v>
      </c>
    </row>
    <row r="1467" spans="1:11" x14ac:dyDescent="0.2">
      <c r="A1467">
        <f t="shared" si="22"/>
        <v>2314786</v>
      </c>
      <c r="B1467">
        <v>2016</v>
      </c>
      <c r="C1467" t="s">
        <v>642</v>
      </c>
      <c r="D1467" t="s">
        <v>644</v>
      </c>
      <c r="E1467" t="s">
        <v>646</v>
      </c>
      <c r="F1467" s="1" t="s">
        <v>259</v>
      </c>
      <c r="G1467" s="1" t="s">
        <v>260</v>
      </c>
      <c r="H1467" s="22">
        <v>11570</v>
      </c>
      <c r="I1467">
        <v>219883.24811588743</v>
      </c>
      <c r="J1467">
        <v>231453.24811588743</v>
      </c>
      <c r="K1467">
        <f>IFERROR(VLOOKUP(F1467,'LEAID Match'!$A$2:$B$236,2,FALSE),"")</f>
        <v>2314786</v>
      </c>
    </row>
    <row r="1468" spans="1:11" x14ac:dyDescent="0.2">
      <c r="A1468">
        <f t="shared" si="22"/>
        <v>2314786</v>
      </c>
      <c r="B1468">
        <v>2017</v>
      </c>
      <c r="C1468" t="s">
        <v>642</v>
      </c>
      <c r="D1468" t="s">
        <v>644</v>
      </c>
      <c r="E1468" t="s">
        <v>646</v>
      </c>
      <c r="F1468" t="s">
        <v>259</v>
      </c>
      <c r="G1468" t="s">
        <v>260</v>
      </c>
      <c r="H1468">
        <v>9677</v>
      </c>
      <c r="I1468">
        <v>184515.20979742231</v>
      </c>
      <c r="J1468">
        <v>194192.20979742231</v>
      </c>
      <c r="K1468">
        <f>IFERROR(VLOOKUP(F1468,'LEAID Match'!$A$2:$B$236,2,FALSE),"")</f>
        <v>2314786</v>
      </c>
    </row>
    <row r="1469" spans="1:11" x14ac:dyDescent="0.2">
      <c r="A1469">
        <f t="shared" si="22"/>
        <v>2314786</v>
      </c>
      <c r="B1469">
        <v>2018</v>
      </c>
      <c r="C1469" t="s">
        <v>642</v>
      </c>
      <c r="D1469" t="s">
        <v>644</v>
      </c>
      <c r="E1469" t="s">
        <v>646</v>
      </c>
      <c r="F1469" t="s">
        <v>259</v>
      </c>
      <c r="G1469" t="s">
        <v>260</v>
      </c>
      <c r="H1469">
        <v>13264</v>
      </c>
      <c r="I1469">
        <v>268851.91335148853</v>
      </c>
      <c r="J1469">
        <v>282115.91335148853</v>
      </c>
      <c r="K1469">
        <f>IFERROR(VLOOKUP(F1469,'LEAID Match'!$A$2:$B$236,2,FALSE),"")</f>
        <v>2314786</v>
      </c>
    </row>
    <row r="1470" spans="1:11" x14ac:dyDescent="0.2">
      <c r="A1470">
        <f t="shared" si="22"/>
        <v>2314786</v>
      </c>
      <c r="B1470">
        <v>2019</v>
      </c>
      <c r="C1470" t="s">
        <v>642</v>
      </c>
      <c r="D1470" t="s">
        <v>644</v>
      </c>
      <c r="E1470" t="s">
        <v>646</v>
      </c>
      <c r="F1470" t="s">
        <v>259</v>
      </c>
      <c r="G1470" t="s">
        <v>260</v>
      </c>
      <c r="H1470">
        <v>14696</v>
      </c>
      <c r="I1470">
        <v>314847.63897623133</v>
      </c>
      <c r="J1470">
        <v>329543.63897623133</v>
      </c>
      <c r="K1470">
        <f>IFERROR(VLOOKUP(F1470,'LEAID Match'!$A$2:$B$236,2,FALSE),"")</f>
        <v>2314786</v>
      </c>
    </row>
    <row r="1471" spans="1:11" x14ac:dyDescent="0.2">
      <c r="A1471">
        <f t="shared" si="22"/>
        <v>2314786</v>
      </c>
      <c r="B1471">
        <v>2020</v>
      </c>
      <c r="C1471" t="s">
        <v>642</v>
      </c>
      <c r="D1471" t="s">
        <v>644</v>
      </c>
      <c r="E1471" t="s">
        <v>646</v>
      </c>
      <c r="F1471" t="s">
        <v>259</v>
      </c>
      <c r="G1471" t="s">
        <v>260</v>
      </c>
      <c r="H1471">
        <v>13576</v>
      </c>
      <c r="I1471">
        <v>302499.44177636161</v>
      </c>
      <c r="J1471">
        <v>316075.44177636161</v>
      </c>
      <c r="K1471">
        <f>IFERROR(VLOOKUP(F1471,'LEAID Match'!$A$2:$B$236,2,FALSE),"")</f>
        <v>2314786</v>
      </c>
    </row>
    <row r="1472" spans="1:11" x14ac:dyDescent="0.2">
      <c r="A1472">
        <f t="shared" si="22"/>
        <v>2314786</v>
      </c>
      <c r="B1472">
        <v>2021</v>
      </c>
      <c r="C1472" t="s">
        <v>642</v>
      </c>
      <c r="D1472" t="s">
        <v>644</v>
      </c>
      <c r="E1472" t="s">
        <v>646</v>
      </c>
      <c r="F1472" t="s">
        <v>259</v>
      </c>
      <c r="G1472" t="s">
        <v>260</v>
      </c>
      <c r="H1472">
        <v>22111</v>
      </c>
      <c r="I1472">
        <v>371450.43705557007</v>
      </c>
      <c r="J1472">
        <v>393561.43705557007</v>
      </c>
      <c r="K1472">
        <f>IFERROR(VLOOKUP(F1472,'LEAID Match'!$A$2:$B$236,2,FALSE),"")</f>
        <v>2314786</v>
      </c>
    </row>
    <row r="1473" spans="1:11" x14ac:dyDescent="0.2">
      <c r="A1473">
        <f t="shared" si="22"/>
        <v>2314786</v>
      </c>
      <c r="B1473">
        <v>2022</v>
      </c>
      <c r="C1473" t="s">
        <v>642</v>
      </c>
      <c r="D1473" t="s">
        <v>644</v>
      </c>
      <c r="E1473" t="s">
        <v>646</v>
      </c>
      <c r="F1473" t="s">
        <v>259</v>
      </c>
      <c r="G1473" t="s">
        <v>260</v>
      </c>
      <c r="H1473">
        <v>25502</v>
      </c>
      <c r="I1473">
        <v>367100.5945414934</v>
      </c>
      <c r="J1473">
        <v>392602.5945414934</v>
      </c>
      <c r="K1473">
        <f>IFERROR(VLOOKUP(F1473,'LEAID Match'!$A$2:$B$236,2,FALSE),"")</f>
        <v>2314786</v>
      </c>
    </row>
    <row r="1474" spans="1:11" x14ac:dyDescent="0.2">
      <c r="A1474">
        <f t="shared" si="22"/>
        <v>2302850</v>
      </c>
      <c r="B1474">
        <v>2015</v>
      </c>
      <c r="C1474" t="s">
        <v>642</v>
      </c>
      <c r="D1474" t="s">
        <v>644</v>
      </c>
      <c r="E1474" t="s">
        <v>646</v>
      </c>
      <c r="F1474" t="s">
        <v>590</v>
      </c>
      <c r="G1474" t="s">
        <v>261</v>
      </c>
      <c r="H1474">
        <v>11697</v>
      </c>
      <c r="I1474">
        <v>224274.07744051827</v>
      </c>
      <c r="J1474">
        <v>235971.07744051827</v>
      </c>
      <c r="K1474">
        <f>IFERROR(VLOOKUP(F1474,'LEAID Match'!$A$2:$B$236,2,FALSE),"")</f>
        <v>2302850</v>
      </c>
    </row>
    <row r="1475" spans="1:11" x14ac:dyDescent="0.2">
      <c r="A1475">
        <f t="shared" ref="A1475:A1538" si="23">K1475</f>
        <v>2302850</v>
      </c>
      <c r="B1475">
        <v>2016</v>
      </c>
      <c r="C1475" t="s">
        <v>642</v>
      </c>
      <c r="D1475" t="s">
        <v>644</v>
      </c>
      <c r="E1475" t="s">
        <v>646</v>
      </c>
      <c r="F1475" s="1" t="s">
        <v>590</v>
      </c>
      <c r="G1475" s="1" t="s">
        <v>261</v>
      </c>
      <c r="H1475" s="22">
        <v>9242</v>
      </c>
      <c r="I1475">
        <v>175640.53406110904</v>
      </c>
      <c r="J1475">
        <v>184882.53406110904</v>
      </c>
      <c r="K1475">
        <f>IFERROR(VLOOKUP(F1475,'LEAID Match'!$A$2:$B$236,2,FALSE),"")</f>
        <v>2302850</v>
      </c>
    </row>
    <row r="1476" spans="1:11" x14ac:dyDescent="0.2">
      <c r="A1476">
        <f t="shared" si="23"/>
        <v>2302850</v>
      </c>
      <c r="B1476">
        <v>2017</v>
      </c>
      <c r="C1476" t="s">
        <v>642</v>
      </c>
      <c r="D1476" t="s">
        <v>644</v>
      </c>
      <c r="E1476" t="s">
        <v>646</v>
      </c>
      <c r="F1476" t="s">
        <v>590</v>
      </c>
      <c r="G1476" t="s">
        <v>261</v>
      </c>
      <c r="H1476">
        <v>8678</v>
      </c>
      <c r="I1476">
        <v>165466.87926237789</v>
      </c>
      <c r="J1476">
        <v>174144.87926237789</v>
      </c>
      <c r="K1476">
        <f>IFERROR(VLOOKUP(F1476,'LEAID Match'!$A$2:$B$236,2,FALSE),"")</f>
        <v>2302850</v>
      </c>
    </row>
    <row r="1477" spans="1:11" x14ac:dyDescent="0.2">
      <c r="A1477">
        <f t="shared" si="23"/>
        <v>2302850</v>
      </c>
      <c r="B1477">
        <v>2018</v>
      </c>
      <c r="C1477" t="s">
        <v>642</v>
      </c>
      <c r="D1477" t="s">
        <v>644</v>
      </c>
      <c r="E1477" t="s">
        <v>646</v>
      </c>
      <c r="F1477" t="s">
        <v>590</v>
      </c>
      <c r="G1477" t="s">
        <v>261</v>
      </c>
      <c r="H1477">
        <v>9396</v>
      </c>
      <c r="I1477">
        <v>190450.28481985722</v>
      </c>
      <c r="J1477">
        <v>199846.28481985722</v>
      </c>
      <c r="K1477">
        <f>IFERROR(VLOOKUP(F1477,'LEAID Match'!$A$2:$B$236,2,FALSE),"")</f>
        <v>2302850</v>
      </c>
    </row>
    <row r="1478" spans="1:11" x14ac:dyDescent="0.2">
      <c r="A1478">
        <f t="shared" si="23"/>
        <v>2302850</v>
      </c>
      <c r="B1478">
        <v>2019</v>
      </c>
      <c r="C1478" t="s">
        <v>642</v>
      </c>
      <c r="D1478" t="s">
        <v>644</v>
      </c>
      <c r="E1478" t="s">
        <v>646</v>
      </c>
      <c r="F1478" t="s">
        <v>590</v>
      </c>
      <c r="G1478" t="s">
        <v>261</v>
      </c>
      <c r="H1478">
        <v>10240</v>
      </c>
      <c r="I1478">
        <v>219382.1327651476</v>
      </c>
      <c r="J1478">
        <v>229622.1327651476</v>
      </c>
      <c r="K1478">
        <f>IFERROR(VLOOKUP(F1478,'LEAID Match'!$A$2:$B$236,2,FALSE),"")</f>
        <v>2302850</v>
      </c>
    </row>
    <row r="1479" spans="1:11" x14ac:dyDescent="0.2">
      <c r="A1479">
        <f t="shared" si="23"/>
        <v>2302850</v>
      </c>
      <c r="B1479">
        <v>2020</v>
      </c>
      <c r="C1479" t="s">
        <v>642</v>
      </c>
      <c r="D1479" t="s">
        <v>644</v>
      </c>
      <c r="E1479" t="s">
        <v>646</v>
      </c>
      <c r="F1479" t="s">
        <v>590</v>
      </c>
      <c r="G1479" t="s">
        <v>261</v>
      </c>
      <c r="H1479">
        <v>12923</v>
      </c>
      <c r="I1479">
        <v>287949.34340571013</v>
      </c>
      <c r="J1479">
        <v>300872.34340571013</v>
      </c>
      <c r="K1479">
        <f>IFERROR(VLOOKUP(F1479,'LEAID Match'!$A$2:$B$236,2,FALSE),"")</f>
        <v>2302850</v>
      </c>
    </row>
    <row r="1480" spans="1:11" x14ac:dyDescent="0.2">
      <c r="A1480">
        <f t="shared" si="23"/>
        <v>2302850</v>
      </c>
      <c r="B1480">
        <v>2021</v>
      </c>
      <c r="C1480" t="s">
        <v>642</v>
      </c>
      <c r="D1480" t="s">
        <v>644</v>
      </c>
      <c r="E1480" t="s">
        <v>646</v>
      </c>
      <c r="F1480" t="s">
        <v>590</v>
      </c>
      <c r="G1480" t="s">
        <v>261</v>
      </c>
      <c r="H1480">
        <v>33774</v>
      </c>
      <c r="I1480">
        <v>567381.26096127823</v>
      </c>
      <c r="J1480">
        <v>601155.26096127823</v>
      </c>
      <c r="K1480">
        <f>IFERROR(VLOOKUP(F1480,'LEAID Match'!$A$2:$B$236,2,FALSE),"")</f>
        <v>2302850</v>
      </c>
    </row>
    <row r="1481" spans="1:11" x14ac:dyDescent="0.2">
      <c r="A1481">
        <f t="shared" si="23"/>
        <v>2302850</v>
      </c>
      <c r="B1481">
        <v>2022</v>
      </c>
      <c r="C1481" t="s">
        <v>642</v>
      </c>
      <c r="D1481" t="s">
        <v>644</v>
      </c>
      <c r="E1481" t="s">
        <v>646</v>
      </c>
      <c r="F1481" t="s">
        <v>590</v>
      </c>
      <c r="G1481" t="s">
        <v>261</v>
      </c>
      <c r="H1481">
        <v>23517</v>
      </c>
      <c r="I1481">
        <v>338526.57367391972</v>
      </c>
      <c r="J1481">
        <v>362043.57367391972</v>
      </c>
      <c r="K1481">
        <f>IFERROR(VLOOKUP(F1481,'LEAID Match'!$A$2:$B$236,2,FALSE),"")</f>
        <v>2302850</v>
      </c>
    </row>
    <row r="1482" spans="1:11" x14ac:dyDescent="0.2">
      <c r="A1482">
        <f t="shared" si="23"/>
        <v>2304620</v>
      </c>
      <c r="B1482">
        <v>2015</v>
      </c>
      <c r="C1482" t="s">
        <v>642</v>
      </c>
      <c r="D1482" t="s">
        <v>644</v>
      </c>
      <c r="E1482" t="s">
        <v>646</v>
      </c>
      <c r="F1482" t="s">
        <v>591</v>
      </c>
      <c r="G1482" t="s">
        <v>262</v>
      </c>
      <c r="I1482">
        <v>0</v>
      </c>
      <c r="J1482">
        <v>0</v>
      </c>
      <c r="K1482">
        <f>IFERROR(VLOOKUP(F1482,'LEAID Match'!$A$2:$B$236,2,FALSE),"")</f>
        <v>2304620</v>
      </c>
    </row>
    <row r="1483" spans="1:11" x14ac:dyDescent="0.2">
      <c r="A1483">
        <f t="shared" si="23"/>
        <v>2304620</v>
      </c>
      <c r="B1483">
        <v>2016</v>
      </c>
      <c r="C1483" t="s">
        <v>642</v>
      </c>
      <c r="D1483" t="s">
        <v>644</v>
      </c>
      <c r="E1483" t="s">
        <v>646</v>
      </c>
      <c r="F1483" s="1" t="s">
        <v>591</v>
      </c>
      <c r="G1483" s="1" t="s">
        <v>262</v>
      </c>
      <c r="H1483" s="22">
        <v>390</v>
      </c>
      <c r="I1483">
        <v>7411.794880310812</v>
      </c>
      <c r="J1483">
        <v>7801.794880310812</v>
      </c>
      <c r="K1483">
        <f>IFERROR(VLOOKUP(F1483,'LEAID Match'!$A$2:$B$236,2,FALSE),"")</f>
        <v>2304620</v>
      </c>
    </row>
    <row r="1484" spans="1:11" x14ac:dyDescent="0.2">
      <c r="A1484">
        <f t="shared" si="23"/>
        <v>2304620</v>
      </c>
      <c r="B1484">
        <v>2017</v>
      </c>
      <c r="C1484" t="s">
        <v>642</v>
      </c>
      <c r="D1484" t="s">
        <v>644</v>
      </c>
      <c r="E1484" t="s">
        <v>646</v>
      </c>
      <c r="F1484" t="s">
        <v>591</v>
      </c>
      <c r="G1484" t="s">
        <v>262</v>
      </c>
      <c r="H1484">
        <v>801</v>
      </c>
      <c r="I1484">
        <v>15272.985744314899</v>
      </c>
      <c r="J1484">
        <v>16073.985744314899</v>
      </c>
      <c r="K1484">
        <f>IFERROR(VLOOKUP(F1484,'LEAID Match'!$A$2:$B$236,2,FALSE),"")</f>
        <v>2304620</v>
      </c>
    </row>
    <row r="1485" spans="1:11" x14ac:dyDescent="0.2">
      <c r="A1485">
        <f t="shared" si="23"/>
        <v>2304620</v>
      </c>
      <c r="B1485">
        <v>2018</v>
      </c>
      <c r="C1485" t="s">
        <v>642</v>
      </c>
      <c r="D1485" t="s">
        <v>644</v>
      </c>
      <c r="E1485" t="s">
        <v>646</v>
      </c>
      <c r="F1485" t="s">
        <v>591</v>
      </c>
      <c r="G1485" t="s">
        <v>262</v>
      </c>
      <c r="H1485">
        <v>681</v>
      </c>
      <c r="I1485">
        <v>13803.389097735502</v>
      </c>
      <c r="J1485">
        <v>14484.389097735502</v>
      </c>
      <c r="K1485">
        <f>IFERROR(VLOOKUP(F1485,'LEAID Match'!$A$2:$B$236,2,FALSE),"")</f>
        <v>2304620</v>
      </c>
    </row>
    <row r="1486" spans="1:11" x14ac:dyDescent="0.2">
      <c r="A1486">
        <f t="shared" si="23"/>
        <v>2304620</v>
      </c>
      <c r="B1486">
        <v>2019</v>
      </c>
      <c r="C1486" t="s">
        <v>642</v>
      </c>
      <c r="D1486" t="s">
        <v>644</v>
      </c>
      <c r="E1486" t="s">
        <v>646</v>
      </c>
      <c r="F1486" t="s">
        <v>591</v>
      </c>
      <c r="G1486" t="s">
        <v>262</v>
      </c>
      <c r="H1486">
        <v>915</v>
      </c>
      <c r="I1486">
        <v>19602.993308604495</v>
      </c>
      <c r="J1486">
        <v>20517.993308604495</v>
      </c>
      <c r="K1486">
        <f>IFERROR(VLOOKUP(F1486,'LEAID Match'!$A$2:$B$236,2,FALSE),"")</f>
        <v>2304620</v>
      </c>
    </row>
    <row r="1487" spans="1:11" x14ac:dyDescent="0.2">
      <c r="A1487">
        <f t="shared" si="23"/>
        <v>2304620</v>
      </c>
      <c r="B1487">
        <v>2020</v>
      </c>
      <c r="C1487" t="s">
        <v>642</v>
      </c>
      <c r="D1487" t="s">
        <v>644</v>
      </c>
      <c r="E1487" t="s">
        <v>646</v>
      </c>
      <c r="F1487" t="s">
        <v>591</v>
      </c>
      <c r="G1487" t="s">
        <v>262</v>
      </c>
      <c r="H1487">
        <v>820</v>
      </c>
      <c r="I1487">
        <v>18271.180189792023</v>
      </c>
      <c r="J1487">
        <v>19091.180189792023</v>
      </c>
      <c r="K1487">
        <f>IFERROR(VLOOKUP(F1487,'LEAID Match'!$A$2:$B$236,2,FALSE),"")</f>
        <v>2304620</v>
      </c>
    </row>
    <row r="1488" spans="1:11" x14ac:dyDescent="0.2">
      <c r="A1488">
        <f t="shared" si="23"/>
        <v>2304620</v>
      </c>
      <c r="B1488">
        <v>2021</v>
      </c>
      <c r="C1488" t="s">
        <v>642</v>
      </c>
      <c r="D1488" t="s">
        <v>644</v>
      </c>
      <c r="E1488" t="s">
        <v>646</v>
      </c>
      <c r="F1488" t="s">
        <v>591</v>
      </c>
      <c r="G1488" t="s">
        <v>262</v>
      </c>
      <c r="H1488">
        <v>1024</v>
      </c>
      <c r="I1488">
        <v>17202.534826326431</v>
      </c>
      <c r="J1488">
        <v>18226.534826326431</v>
      </c>
      <c r="K1488">
        <f>IFERROR(VLOOKUP(F1488,'LEAID Match'!$A$2:$B$236,2,FALSE),"")</f>
        <v>2304620</v>
      </c>
    </row>
    <row r="1489" spans="1:11" x14ac:dyDescent="0.2">
      <c r="A1489">
        <f t="shared" si="23"/>
        <v>2304620</v>
      </c>
      <c r="B1489">
        <v>2022</v>
      </c>
      <c r="C1489" t="s">
        <v>642</v>
      </c>
      <c r="D1489" t="s">
        <v>644</v>
      </c>
      <c r="E1489" t="s">
        <v>646</v>
      </c>
      <c r="F1489" t="s">
        <v>591</v>
      </c>
      <c r="G1489" t="s">
        <v>262</v>
      </c>
      <c r="H1489">
        <v>143</v>
      </c>
      <c r="I1489">
        <v>2058.4811002836468</v>
      </c>
      <c r="J1489">
        <v>2201.4811002836468</v>
      </c>
      <c r="K1489">
        <f>IFERROR(VLOOKUP(F1489,'LEAID Match'!$A$2:$B$236,2,FALSE),"")</f>
        <v>2304620</v>
      </c>
    </row>
    <row r="1490" spans="1:11" x14ac:dyDescent="0.2">
      <c r="A1490">
        <f t="shared" si="23"/>
        <v>2307590</v>
      </c>
      <c r="B1490">
        <v>2015</v>
      </c>
      <c r="C1490" t="s">
        <v>642</v>
      </c>
      <c r="D1490" t="s">
        <v>644</v>
      </c>
      <c r="E1490" t="s">
        <v>646</v>
      </c>
      <c r="F1490" t="s">
        <v>592</v>
      </c>
      <c r="G1490" t="s">
        <v>263</v>
      </c>
      <c r="H1490">
        <v>1.3360000000000001</v>
      </c>
      <c r="I1490">
        <v>25.61598422335064</v>
      </c>
      <c r="J1490">
        <v>26.951984223350639</v>
      </c>
      <c r="K1490">
        <f>IFERROR(VLOOKUP(F1490,'LEAID Match'!$A$2:$B$236,2,FALSE),"")</f>
        <v>2307590</v>
      </c>
    </row>
    <row r="1491" spans="1:11" x14ac:dyDescent="0.2">
      <c r="A1491">
        <f t="shared" si="23"/>
        <v>2307590</v>
      </c>
      <c r="B1491">
        <v>2016</v>
      </c>
      <c r="C1491" t="s">
        <v>642</v>
      </c>
      <c r="D1491" t="s">
        <v>644</v>
      </c>
      <c r="E1491" t="s">
        <v>646</v>
      </c>
      <c r="F1491" s="1" t="s">
        <v>592</v>
      </c>
      <c r="G1491" s="1" t="s">
        <v>263</v>
      </c>
      <c r="H1491" s="22">
        <v>563</v>
      </c>
      <c r="I1491">
        <v>10699.591070807659</v>
      </c>
      <c r="J1491">
        <v>11262.591070807659</v>
      </c>
      <c r="K1491">
        <f>IFERROR(VLOOKUP(F1491,'LEAID Match'!$A$2:$B$236,2,FALSE),"")</f>
        <v>2307590</v>
      </c>
    </row>
    <row r="1492" spans="1:11" x14ac:dyDescent="0.2">
      <c r="A1492">
        <f t="shared" si="23"/>
        <v>2307590</v>
      </c>
      <c r="B1492">
        <v>2017</v>
      </c>
      <c r="C1492" t="s">
        <v>642</v>
      </c>
      <c r="D1492" t="s">
        <v>644</v>
      </c>
      <c r="E1492" t="s">
        <v>646</v>
      </c>
      <c r="F1492" t="s">
        <v>592</v>
      </c>
      <c r="G1492" t="s">
        <v>263</v>
      </c>
      <c r="H1492">
        <v>308</v>
      </c>
      <c r="I1492">
        <v>5872.7585633570397</v>
      </c>
      <c r="J1492">
        <v>6180.7585633570397</v>
      </c>
      <c r="K1492">
        <f>IFERROR(VLOOKUP(F1492,'LEAID Match'!$A$2:$B$236,2,FALSE),"")</f>
        <v>2307590</v>
      </c>
    </row>
    <row r="1493" spans="1:11" x14ac:dyDescent="0.2">
      <c r="A1493">
        <f t="shared" si="23"/>
        <v>2307590</v>
      </c>
      <c r="B1493">
        <v>2018</v>
      </c>
      <c r="C1493" t="s">
        <v>642</v>
      </c>
      <c r="D1493" t="s">
        <v>644</v>
      </c>
      <c r="E1493" t="s">
        <v>646</v>
      </c>
      <c r="F1493" t="s">
        <v>592</v>
      </c>
      <c r="G1493" t="s">
        <v>263</v>
      </c>
      <c r="H1493">
        <v>349</v>
      </c>
      <c r="I1493">
        <v>7073.9835464165781</v>
      </c>
      <c r="J1493">
        <v>7422.9835464165781</v>
      </c>
      <c r="K1493">
        <f>IFERROR(VLOOKUP(F1493,'LEAID Match'!$A$2:$B$236,2,FALSE),"")</f>
        <v>2307590</v>
      </c>
    </row>
    <row r="1494" spans="1:11" x14ac:dyDescent="0.2">
      <c r="A1494">
        <f t="shared" si="23"/>
        <v>2307590</v>
      </c>
      <c r="B1494">
        <v>2019</v>
      </c>
      <c r="C1494" t="s">
        <v>642</v>
      </c>
      <c r="D1494" t="s">
        <v>644</v>
      </c>
      <c r="E1494" t="s">
        <v>646</v>
      </c>
      <c r="F1494" t="s">
        <v>592</v>
      </c>
      <c r="G1494" t="s">
        <v>263</v>
      </c>
      <c r="H1494">
        <v>33</v>
      </c>
      <c r="I1494">
        <v>706.99320129393277</v>
      </c>
      <c r="J1494">
        <v>739.99320129393277</v>
      </c>
      <c r="K1494">
        <f>IFERROR(VLOOKUP(F1494,'LEAID Match'!$A$2:$B$236,2,FALSE),"")</f>
        <v>2307590</v>
      </c>
    </row>
    <row r="1495" spans="1:11" x14ac:dyDescent="0.2">
      <c r="A1495">
        <f t="shared" si="23"/>
        <v>2307590</v>
      </c>
      <c r="B1495">
        <v>2020</v>
      </c>
      <c r="C1495" t="s">
        <v>642</v>
      </c>
      <c r="D1495" t="s">
        <v>644</v>
      </c>
      <c r="E1495" t="s">
        <v>646</v>
      </c>
      <c r="F1495" t="s">
        <v>592</v>
      </c>
      <c r="G1495" t="s">
        <v>263</v>
      </c>
      <c r="H1495">
        <v>172</v>
      </c>
      <c r="I1495">
        <v>3832.4914544441804</v>
      </c>
      <c r="J1495">
        <v>4004.4914544441804</v>
      </c>
      <c r="K1495">
        <f>IFERROR(VLOOKUP(F1495,'LEAID Match'!$A$2:$B$236,2,FALSE),"")</f>
        <v>2307590</v>
      </c>
    </row>
    <row r="1496" spans="1:11" x14ac:dyDescent="0.2">
      <c r="A1496">
        <f t="shared" si="23"/>
        <v>2307590</v>
      </c>
      <c r="B1496">
        <v>2021</v>
      </c>
      <c r="C1496" t="s">
        <v>642</v>
      </c>
      <c r="D1496" t="s">
        <v>644</v>
      </c>
      <c r="E1496" t="s">
        <v>646</v>
      </c>
      <c r="F1496" t="s">
        <v>592</v>
      </c>
      <c r="G1496" t="s">
        <v>263</v>
      </c>
      <c r="H1496">
        <v>65</v>
      </c>
      <c r="I1496">
        <v>1091.9577770617366</v>
      </c>
      <c r="J1496">
        <v>1156.9577770617366</v>
      </c>
      <c r="K1496">
        <f>IFERROR(VLOOKUP(F1496,'LEAID Match'!$A$2:$B$236,2,FALSE),"")</f>
        <v>2307590</v>
      </c>
    </row>
    <row r="1497" spans="1:11" x14ac:dyDescent="0.2">
      <c r="A1497">
        <f t="shared" si="23"/>
        <v>2307590</v>
      </c>
      <c r="B1497">
        <v>2022</v>
      </c>
      <c r="C1497" t="s">
        <v>642</v>
      </c>
      <c r="D1497" t="s">
        <v>644</v>
      </c>
      <c r="E1497" t="s">
        <v>646</v>
      </c>
      <c r="F1497" t="s">
        <v>592</v>
      </c>
      <c r="G1497" t="s">
        <v>263</v>
      </c>
      <c r="I1497">
        <v>0</v>
      </c>
      <c r="J1497">
        <v>0</v>
      </c>
      <c r="K1497">
        <f>IFERROR(VLOOKUP(F1497,'LEAID Match'!$A$2:$B$236,2,FALSE),"")</f>
        <v>2307590</v>
      </c>
    </row>
    <row r="1498" spans="1:11" x14ac:dyDescent="0.2">
      <c r="A1498">
        <f t="shared" si="23"/>
        <v>2308490</v>
      </c>
      <c r="B1498">
        <v>2015</v>
      </c>
      <c r="C1498" t="s">
        <v>642</v>
      </c>
      <c r="D1498" t="s">
        <v>644</v>
      </c>
      <c r="E1498" t="s">
        <v>646</v>
      </c>
      <c r="F1498" t="s">
        <v>593</v>
      </c>
      <c r="G1498" t="s">
        <v>264</v>
      </c>
      <c r="H1498">
        <v>5957</v>
      </c>
      <c r="I1498">
        <v>114217.37875636209</v>
      </c>
      <c r="J1498">
        <v>120174.37875636209</v>
      </c>
      <c r="K1498">
        <f>IFERROR(VLOOKUP(F1498,'LEAID Match'!$A$2:$B$236,2,FALSE),"")</f>
        <v>2308490</v>
      </c>
    </row>
    <row r="1499" spans="1:11" x14ac:dyDescent="0.2">
      <c r="A1499">
        <f t="shared" si="23"/>
        <v>2308490</v>
      </c>
      <c r="B1499">
        <v>2016</v>
      </c>
      <c r="C1499" t="s">
        <v>642</v>
      </c>
      <c r="D1499" t="s">
        <v>644</v>
      </c>
      <c r="E1499" t="s">
        <v>646</v>
      </c>
      <c r="F1499" s="1" t="s">
        <v>593</v>
      </c>
      <c r="G1499" s="1" t="s">
        <v>264</v>
      </c>
      <c r="H1499" s="22">
        <v>4243</v>
      </c>
      <c r="I1499">
        <v>80636.527377330189</v>
      </c>
      <c r="J1499">
        <v>84879.527377330189</v>
      </c>
      <c r="K1499">
        <f>IFERROR(VLOOKUP(F1499,'LEAID Match'!$A$2:$B$236,2,FALSE),"")</f>
        <v>2308490</v>
      </c>
    </row>
    <row r="1500" spans="1:11" x14ac:dyDescent="0.2">
      <c r="A1500">
        <f t="shared" si="23"/>
        <v>2308490</v>
      </c>
      <c r="B1500">
        <v>2017</v>
      </c>
      <c r="C1500" t="s">
        <v>642</v>
      </c>
      <c r="D1500" t="s">
        <v>644</v>
      </c>
      <c r="E1500" t="s">
        <v>646</v>
      </c>
      <c r="F1500" t="s">
        <v>593</v>
      </c>
      <c r="G1500" t="s">
        <v>264</v>
      </c>
      <c r="H1500">
        <v>4291</v>
      </c>
      <c r="I1500">
        <v>81818.204530406045</v>
      </c>
      <c r="J1500">
        <v>86109.204530406045</v>
      </c>
      <c r="K1500">
        <f>IFERROR(VLOOKUP(F1500,'LEAID Match'!$A$2:$B$236,2,FALSE),"")</f>
        <v>2308490</v>
      </c>
    </row>
    <row r="1501" spans="1:11" x14ac:dyDescent="0.2">
      <c r="A1501">
        <f t="shared" si="23"/>
        <v>2308490</v>
      </c>
      <c r="B1501">
        <v>2018</v>
      </c>
      <c r="C1501" t="s">
        <v>642</v>
      </c>
      <c r="D1501" t="s">
        <v>644</v>
      </c>
      <c r="E1501" t="s">
        <v>646</v>
      </c>
      <c r="F1501" t="s">
        <v>593</v>
      </c>
      <c r="G1501" t="s">
        <v>264</v>
      </c>
      <c r="H1501">
        <v>5294</v>
      </c>
      <c r="I1501">
        <v>107305.64153217584</v>
      </c>
      <c r="J1501">
        <v>112599.64153217584</v>
      </c>
      <c r="K1501">
        <f>IFERROR(VLOOKUP(F1501,'LEAID Match'!$A$2:$B$236,2,FALSE),"")</f>
        <v>2308490</v>
      </c>
    </row>
    <row r="1502" spans="1:11" x14ac:dyDescent="0.2">
      <c r="A1502">
        <f t="shared" si="23"/>
        <v>2308490</v>
      </c>
      <c r="B1502">
        <v>2019</v>
      </c>
      <c r="C1502" t="s">
        <v>642</v>
      </c>
      <c r="D1502" t="s">
        <v>644</v>
      </c>
      <c r="E1502" t="s">
        <v>646</v>
      </c>
      <c r="F1502" t="s">
        <v>593</v>
      </c>
      <c r="G1502" t="s">
        <v>264</v>
      </c>
      <c r="H1502">
        <v>4843</v>
      </c>
      <c r="I1502">
        <v>103756.60829898533</v>
      </c>
      <c r="J1502">
        <v>108599.60829898533</v>
      </c>
      <c r="K1502">
        <f>IFERROR(VLOOKUP(F1502,'LEAID Match'!$A$2:$B$236,2,FALSE),"")</f>
        <v>2308490</v>
      </c>
    </row>
    <row r="1503" spans="1:11" x14ac:dyDescent="0.2">
      <c r="A1503">
        <f t="shared" si="23"/>
        <v>2308490</v>
      </c>
      <c r="B1503">
        <v>2020</v>
      </c>
      <c r="C1503" t="s">
        <v>642</v>
      </c>
      <c r="D1503" t="s">
        <v>644</v>
      </c>
      <c r="E1503" t="s">
        <v>646</v>
      </c>
      <c r="F1503" t="s">
        <v>593</v>
      </c>
      <c r="G1503" t="s">
        <v>264</v>
      </c>
      <c r="H1503">
        <v>5496</v>
      </c>
      <c r="I1503">
        <v>122461.471125728</v>
      </c>
      <c r="J1503">
        <v>127957.471125728</v>
      </c>
      <c r="K1503">
        <f>IFERROR(VLOOKUP(F1503,'LEAID Match'!$A$2:$B$236,2,FALSE),"")</f>
        <v>2308490</v>
      </c>
    </row>
    <row r="1504" spans="1:11" x14ac:dyDescent="0.2">
      <c r="A1504">
        <f t="shared" si="23"/>
        <v>2308490</v>
      </c>
      <c r="B1504">
        <v>2021</v>
      </c>
      <c r="C1504" t="s">
        <v>642</v>
      </c>
      <c r="D1504" t="s">
        <v>644</v>
      </c>
      <c r="E1504" t="s">
        <v>646</v>
      </c>
      <c r="F1504" t="s">
        <v>593</v>
      </c>
      <c r="G1504" t="s">
        <v>264</v>
      </c>
      <c r="H1504">
        <v>6253</v>
      </c>
      <c r="I1504">
        <v>105046.33815333905</v>
      </c>
      <c r="J1504">
        <v>111299.33815333905</v>
      </c>
      <c r="K1504">
        <f>IFERROR(VLOOKUP(F1504,'LEAID Match'!$A$2:$B$236,2,FALSE),"")</f>
        <v>2308490</v>
      </c>
    </row>
    <row r="1505" spans="1:11" x14ac:dyDescent="0.2">
      <c r="A1505">
        <f t="shared" si="23"/>
        <v>2308490</v>
      </c>
      <c r="B1505">
        <v>2022</v>
      </c>
      <c r="C1505" t="s">
        <v>642</v>
      </c>
      <c r="D1505" t="s">
        <v>644</v>
      </c>
      <c r="E1505" t="s">
        <v>646</v>
      </c>
      <c r="F1505" t="s">
        <v>593</v>
      </c>
      <c r="G1505" t="s">
        <v>264</v>
      </c>
      <c r="H1505">
        <v>6515</v>
      </c>
      <c r="I1505">
        <v>93783.247331104605</v>
      </c>
      <c r="J1505">
        <v>100298.24733110461</v>
      </c>
      <c r="K1505">
        <f>IFERROR(VLOOKUP(F1505,'LEAID Match'!$A$2:$B$236,2,FALSE),"")</f>
        <v>2308490</v>
      </c>
    </row>
    <row r="1506" spans="1:11" x14ac:dyDescent="0.2">
      <c r="A1506">
        <f t="shared" si="23"/>
        <v>2312390</v>
      </c>
      <c r="B1506">
        <v>2015</v>
      </c>
      <c r="C1506" t="s">
        <v>642</v>
      </c>
      <c r="D1506" t="s">
        <v>644</v>
      </c>
      <c r="E1506" t="s">
        <v>646</v>
      </c>
      <c r="F1506" t="s">
        <v>594</v>
      </c>
      <c r="G1506" t="s">
        <v>265</v>
      </c>
      <c r="H1506">
        <v>6494</v>
      </c>
      <c r="I1506">
        <v>124513.62391200528</v>
      </c>
      <c r="J1506">
        <v>131007.62391200528</v>
      </c>
      <c r="K1506">
        <f>IFERROR(VLOOKUP(F1506,'LEAID Match'!$A$2:$B$236,2,FALSE),"")</f>
        <v>2312390</v>
      </c>
    </row>
    <row r="1507" spans="1:11" x14ac:dyDescent="0.2">
      <c r="A1507">
        <f t="shared" si="23"/>
        <v>2312390</v>
      </c>
      <c r="B1507">
        <v>2016</v>
      </c>
      <c r="C1507" t="s">
        <v>642</v>
      </c>
      <c r="D1507" t="s">
        <v>644</v>
      </c>
      <c r="E1507" t="s">
        <v>646</v>
      </c>
      <c r="F1507" s="1" t="s">
        <v>594</v>
      </c>
      <c r="G1507" s="1" t="s">
        <v>265</v>
      </c>
      <c r="H1507" s="22">
        <v>3394</v>
      </c>
      <c r="I1507">
        <v>64501.620060961272</v>
      </c>
      <c r="J1507">
        <v>67895.620060961272</v>
      </c>
      <c r="K1507">
        <f>IFERROR(VLOOKUP(F1507,'LEAID Match'!$A$2:$B$236,2,FALSE),"")</f>
        <v>2312390</v>
      </c>
    </row>
    <row r="1508" spans="1:11" x14ac:dyDescent="0.2">
      <c r="A1508">
        <f t="shared" si="23"/>
        <v>2312390</v>
      </c>
      <c r="B1508">
        <v>2017</v>
      </c>
      <c r="C1508" t="s">
        <v>642</v>
      </c>
      <c r="D1508" t="s">
        <v>644</v>
      </c>
      <c r="E1508" t="s">
        <v>646</v>
      </c>
      <c r="F1508" t="s">
        <v>594</v>
      </c>
      <c r="G1508" t="s">
        <v>265</v>
      </c>
      <c r="H1508">
        <v>4562</v>
      </c>
      <c r="I1508">
        <v>86985.469370242907</v>
      </c>
      <c r="J1508">
        <v>91547.469370242907</v>
      </c>
      <c r="K1508">
        <f>IFERROR(VLOOKUP(F1508,'LEAID Match'!$A$2:$B$236,2,FALSE),"")</f>
        <v>2312390</v>
      </c>
    </row>
    <row r="1509" spans="1:11" x14ac:dyDescent="0.2">
      <c r="A1509">
        <f t="shared" si="23"/>
        <v>2312390</v>
      </c>
      <c r="B1509">
        <v>2018</v>
      </c>
      <c r="C1509" t="s">
        <v>642</v>
      </c>
      <c r="D1509" t="s">
        <v>644</v>
      </c>
      <c r="E1509" t="s">
        <v>646</v>
      </c>
      <c r="F1509" t="s">
        <v>594</v>
      </c>
      <c r="G1509" t="s">
        <v>265</v>
      </c>
      <c r="H1509">
        <v>5133</v>
      </c>
      <c r="I1509">
        <v>104042.28522566275</v>
      </c>
      <c r="J1509">
        <v>109175.28522566275</v>
      </c>
      <c r="K1509">
        <f>IFERROR(VLOOKUP(F1509,'LEAID Match'!$A$2:$B$236,2,FALSE),"")</f>
        <v>2312390</v>
      </c>
    </row>
    <row r="1510" spans="1:11" x14ac:dyDescent="0.2">
      <c r="A1510">
        <f t="shared" si="23"/>
        <v>2312390</v>
      </c>
      <c r="B1510">
        <v>2019</v>
      </c>
      <c r="C1510" t="s">
        <v>642</v>
      </c>
      <c r="D1510" t="s">
        <v>644</v>
      </c>
      <c r="E1510" t="s">
        <v>646</v>
      </c>
      <c r="F1510" t="s">
        <v>594</v>
      </c>
      <c r="G1510" t="s">
        <v>265</v>
      </c>
      <c r="H1510">
        <v>4773</v>
      </c>
      <c r="I1510">
        <v>102256.92575078607</v>
      </c>
      <c r="J1510">
        <v>107029.92575078607</v>
      </c>
      <c r="K1510">
        <f>IFERROR(VLOOKUP(F1510,'LEAID Match'!$A$2:$B$236,2,FALSE),"")</f>
        <v>2312390</v>
      </c>
    </row>
    <row r="1511" spans="1:11" x14ac:dyDescent="0.2">
      <c r="A1511">
        <f t="shared" si="23"/>
        <v>2312390</v>
      </c>
      <c r="B1511">
        <v>2020</v>
      </c>
      <c r="C1511" t="s">
        <v>642</v>
      </c>
      <c r="D1511" t="s">
        <v>644</v>
      </c>
      <c r="E1511" t="s">
        <v>646</v>
      </c>
      <c r="F1511" t="s">
        <v>594</v>
      </c>
      <c r="G1511" t="s">
        <v>265</v>
      </c>
      <c r="H1511">
        <v>7340</v>
      </c>
      <c r="I1511">
        <v>163549.34462569933</v>
      </c>
      <c r="J1511">
        <v>170889.34462569933</v>
      </c>
      <c r="K1511">
        <f>IFERROR(VLOOKUP(F1511,'LEAID Match'!$A$2:$B$236,2,FALSE),"")</f>
        <v>2312390</v>
      </c>
    </row>
    <row r="1512" spans="1:11" x14ac:dyDescent="0.2">
      <c r="A1512">
        <f t="shared" si="23"/>
        <v>2312390</v>
      </c>
      <c r="B1512">
        <v>2021</v>
      </c>
      <c r="C1512" t="s">
        <v>642</v>
      </c>
      <c r="D1512" t="s">
        <v>644</v>
      </c>
      <c r="E1512" t="s">
        <v>646</v>
      </c>
      <c r="F1512" t="s">
        <v>594</v>
      </c>
      <c r="G1512" t="s">
        <v>265</v>
      </c>
      <c r="H1512">
        <v>9184</v>
      </c>
      <c r="I1512">
        <v>154285.2342236152</v>
      </c>
      <c r="J1512">
        <v>163469.2342236152</v>
      </c>
      <c r="K1512">
        <f>IFERROR(VLOOKUP(F1512,'LEAID Match'!$A$2:$B$236,2,FALSE),"")</f>
        <v>2312390</v>
      </c>
    </row>
    <row r="1513" spans="1:11" x14ac:dyDescent="0.2">
      <c r="A1513">
        <f t="shared" si="23"/>
        <v>2312390</v>
      </c>
      <c r="B1513">
        <v>2022</v>
      </c>
      <c r="C1513" t="s">
        <v>642</v>
      </c>
      <c r="D1513" t="s">
        <v>644</v>
      </c>
      <c r="E1513" t="s">
        <v>646</v>
      </c>
      <c r="F1513" t="s">
        <v>594</v>
      </c>
      <c r="G1513" t="s">
        <v>265</v>
      </c>
      <c r="H1513">
        <v>9212</v>
      </c>
      <c r="I1513">
        <v>132606.48878190876</v>
      </c>
      <c r="J1513">
        <v>141818.48878190876</v>
      </c>
      <c r="K1513">
        <f>IFERROR(VLOOKUP(F1513,'LEAID Match'!$A$2:$B$236,2,FALSE),"")</f>
        <v>2312390</v>
      </c>
    </row>
    <row r="1514" spans="1:11" x14ac:dyDescent="0.2">
      <c r="A1514">
        <f t="shared" si="23"/>
        <v>2312960</v>
      </c>
      <c r="B1514">
        <v>2015</v>
      </c>
      <c r="C1514" t="s">
        <v>642</v>
      </c>
      <c r="D1514" t="s">
        <v>644</v>
      </c>
      <c r="E1514" t="s">
        <v>646</v>
      </c>
      <c r="F1514" t="s">
        <v>595</v>
      </c>
      <c r="G1514" t="s">
        <v>266</v>
      </c>
      <c r="H1514">
        <v>8021</v>
      </c>
      <c r="I1514">
        <v>153791.77354453254</v>
      </c>
      <c r="J1514">
        <v>161812.77354453254</v>
      </c>
      <c r="K1514">
        <f>IFERROR(VLOOKUP(F1514,'LEAID Match'!$A$2:$B$236,2,FALSE),"")</f>
        <v>2312960</v>
      </c>
    </row>
    <row r="1515" spans="1:11" x14ac:dyDescent="0.2">
      <c r="A1515">
        <f t="shared" si="23"/>
        <v>2312960</v>
      </c>
      <c r="B1515">
        <v>2016</v>
      </c>
      <c r="C1515" t="s">
        <v>642</v>
      </c>
      <c r="D1515" t="s">
        <v>644</v>
      </c>
      <c r="E1515" t="s">
        <v>646</v>
      </c>
      <c r="F1515" s="1" t="s">
        <v>595</v>
      </c>
      <c r="G1515" s="1" t="s">
        <v>266</v>
      </c>
      <c r="H1515" s="22">
        <v>5837</v>
      </c>
      <c r="I1515">
        <v>110929.86337531848</v>
      </c>
      <c r="J1515">
        <v>116766.86337531848</v>
      </c>
      <c r="K1515">
        <f>IFERROR(VLOOKUP(F1515,'LEAID Match'!$A$2:$B$236,2,FALSE),"")</f>
        <v>2312960</v>
      </c>
    </row>
    <row r="1516" spans="1:11" x14ac:dyDescent="0.2">
      <c r="A1516">
        <f t="shared" si="23"/>
        <v>2312960</v>
      </c>
      <c r="B1516">
        <v>2017</v>
      </c>
      <c r="C1516" t="s">
        <v>642</v>
      </c>
      <c r="D1516" t="s">
        <v>644</v>
      </c>
      <c r="E1516" t="s">
        <v>646</v>
      </c>
      <c r="F1516" t="s">
        <v>595</v>
      </c>
      <c r="G1516" t="s">
        <v>266</v>
      </c>
      <c r="H1516">
        <v>5681</v>
      </c>
      <c r="I1516">
        <v>108321.88765724462</v>
      </c>
      <c r="J1516">
        <v>114002.88765724462</v>
      </c>
      <c r="K1516">
        <f>IFERROR(VLOOKUP(F1516,'LEAID Match'!$A$2:$B$236,2,FALSE),"")</f>
        <v>2312960</v>
      </c>
    </row>
    <row r="1517" spans="1:11" x14ac:dyDescent="0.2">
      <c r="A1517">
        <f t="shared" si="23"/>
        <v>2312960</v>
      </c>
      <c r="B1517">
        <v>2018</v>
      </c>
      <c r="C1517" t="s">
        <v>642</v>
      </c>
      <c r="D1517" t="s">
        <v>644</v>
      </c>
      <c r="E1517" t="s">
        <v>646</v>
      </c>
      <c r="F1517" t="s">
        <v>595</v>
      </c>
      <c r="G1517" t="s">
        <v>266</v>
      </c>
      <c r="H1517">
        <v>6465</v>
      </c>
      <c r="I1517">
        <v>131040.98460625554</v>
      </c>
      <c r="J1517">
        <v>137505.98460625554</v>
      </c>
      <c r="K1517">
        <f>IFERROR(VLOOKUP(F1517,'LEAID Match'!$A$2:$B$236,2,FALSE),"")</f>
        <v>2312960</v>
      </c>
    </row>
    <row r="1518" spans="1:11" x14ac:dyDescent="0.2">
      <c r="A1518">
        <f t="shared" si="23"/>
        <v>2312960</v>
      </c>
      <c r="B1518">
        <v>2019</v>
      </c>
      <c r="C1518" t="s">
        <v>642</v>
      </c>
      <c r="D1518" t="s">
        <v>644</v>
      </c>
      <c r="E1518" t="s">
        <v>646</v>
      </c>
      <c r="F1518" t="s">
        <v>595</v>
      </c>
      <c r="G1518" t="s">
        <v>266</v>
      </c>
      <c r="H1518">
        <v>5915</v>
      </c>
      <c r="I1518">
        <v>126723.17532283672</v>
      </c>
      <c r="J1518">
        <v>132638.17532283673</v>
      </c>
      <c r="K1518">
        <f>IFERROR(VLOOKUP(F1518,'LEAID Match'!$A$2:$B$236,2,FALSE),"")</f>
        <v>2312960</v>
      </c>
    </row>
    <row r="1519" spans="1:11" x14ac:dyDescent="0.2">
      <c r="A1519">
        <f t="shared" si="23"/>
        <v>2312960</v>
      </c>
      <c r="B1519">
        <v>2020</v>
      </c>
      <c r="C1519" t="s">
        <v>642</v>
      </c>
      <c r="D1519" t="s">
        <v>644</v>
      </c>
      <c r="E1519" t="s">
        <v>646</v>
      </c>
      <c r="F1519" t="s">
        <v>595</v>
      </c>
      <c r="G1519" t="s">
        <v>266</v>
      </c>
      <c r="H1519">
        <v>7475</v>
      </c>
      <c r="I1519">
        <v>166557.4047788968</v>
      </c>
      <c r="J1519">
        <v>174032.4047788968</v>
      </c>
      <c r="K1519">
        <f>IFERROR(VLOOKUP(F1519,'LEAID Match'!$A$2:$B$236,2,FALSE),"")</f>
        <v>2312960</v>
      </c>
    </row>
    <row r="1520" spans="1:11" x14ac:dyDescent="0.2">
      <c r="A1520">
        <f t="shared" si="23"/>
        <v>2312960</v>
      </c>
      <c r="B1520">
        <v>2021</v>
      </c>
      <c r="C1520" t="s">
        <v>642</v>
      </c>
      <c r="D1520" t="s">
        <v>644</v>
      </c>
      <c r="E1520" t="s">
        <v>646</v>
      </c>
      <c r="F1520" t="s">
        <v>595</v>
      </c>
      <c r="G1520" t="s">
        <v>266</v>
      </c>
      <c r="H1520">
        <v>11143</v>
      </c>
      <c r="I1520">
        <v>187195.16168921429</v>
      </c>
      <c r="J1520">
        <v>198338.16168921429</v>
      </c>
      <c r="K1520">
        <f>IFERROR(VLOOKUP(F1520,'LEAID Match'!$A$2:$B$236,2,FALSE),"")</f>
        <v>2312960</v>
      </c>
    </row>
    <row r="1521" spans="1:11" x14ac:dyDescent="0.2">
      <c r="A1521">
        <f t="shared" si="23"/>
        <v>2312960</v>
      </c>
      <c r="B1521">
        <v>2022</v>
      </c>
      <c r="C1521" t="s">
        <v>642</v>
      </c>
      <c r="D1521" t="s">
        <v>644</v>
      </c>
      <c r="E1521" t="s">
        <v>646</v>
      </c>
      <c r="F1521" t="s">
        <v>595</v>
      </c>
      <c r="G1521" t="s">
        <v>266</v>
      </c>
      <c r="H1521">
        <v>11091</v>
      </c>
      <c r="I1521">
        <v>159654.64254018129</v>
      </c>
      <c r="J1521">
        <v>170745.64254018129</v>
      </c>
      <c r="K1521">
        <f>IFERROR(VLOOKUP(F1521,'LEAID Match'!$A$2:$B$236,2,FALSE),"")</f>
        <v>2312960</v>
      </c>
    </row>
    <row r="1522" spans="1:11" x14ac:dyDescent="0.2">
      <c r="A1522">
        <f t="shared" si="23"/>
        <v>0</v>
      </c>
      <c r="B1522">
        <v>2015</v>
      </c>
      <c r="C1522" t="s">
        <v>642</v>
      </c>
      <c r="D1522" t="s">
        <v>644</v>
      </c>
      <c r="E1522" t="s">
        <v>646</v>
      </c>
      <c r="F1522" t="s">
        <v>596</v>
      </c>
      <c r="G1522" t="s">
        <v>267</v>
      </c>
      <c r="H1522">
        <v>1.169</v>
      </c>
      <c r="I1522">
        <v>22.413986195431811</v>
      </c>
      <c r="J1522">
        <v>23.582986195431811</v>
      </c>
      <c r="K1522">
        <f>IFERROR(VLOOKUP(F1522,'LEAID Match'!$A$2:$B$236,2,FALSE),"")</f>
        <v>0</v>
      </c>
    </row>
    <row r="1523" spans="1:11" x14ac:dyDescent="0.2">
      <c r="A1523">
        <f t="shared" si="23"/>
        <v>0</v>
      </c>
      <c r="B1523">
        <v>2016</v>
      </c>
      <c r="C1523" t="s">
        <v>642</v>
      </c>
      <c r="D1523" t="s">
        <v>644</v>
      </c>
      <c r="E1523" t="s">
        <v>646</v>
      </c>
      <c r="F1523" s="1" t="s">
        <v>596</v>
      </c>
      <c r="G1523" s="1" t="s">
        <v>267</v>
      </c>
      <c r="H1523" s="22">
        <v>2140</v>
      </c>
      <c r="I1523">
        <v>40669.848830423427</v>
      </c>
      <c r="J1523">
        <v>42809.848830423427</v>
      </c>
      <c r="K1523">
        <f>IFERROR(VLOOKUP(F1523,'LEAID Match'!$A$2:$B$236,2,FALSE),"")</f>
        <v>0</v>
      </c>
    </row>
    <row r="1524" spans="1:11" x14ac:dyDescent="0.2">
      <c r="A1524">
        <f t="shared" si="23"/>
        <v>0</v>
      </c>
      <c r="B1524">
        <v>2017</v>
      </c>
      <c r="C1524" t="s">
        <v>642</v>
      </c>
      <c r="D1524" t="s">
        <v>644</v>
      </c>
      <c r="E1524" t="s">
        <v>646</v>
      </c>
      <c r="F1524" t="s">
        <v>596</v>
      </c>
      <c r="G1524" t="s">
        <v>267</v>
      </c>
      <c r="H1524">
        <v>2701</v>
      </c>
      <c r="I1524">
        <v>51501.041816971963</v>
      </c>
      <c r="J1524">
        <v>54202.041816971963</v>
      </c>
      <c r="K1524">
        <f>IFERROR(VLOOKUP(F1524,'LEAID Match'!$A$2:$B$236,2,FALSE),"")</f>
        <v>0</v>
      </c>
    </row>
    <row r="1525" spans="1:11" x14ac:dyDescent="0.2">
      <c r="A1525">
        <f t="shared" si="23"/>
        <v>0</v>
      </c>
      <c r="B1525">
        <v>2018</v>
      </c>
      <c r="C1525" t="s">
        <v>642</v>
      </c>
      <c r="D1525" t="s">
        <v>644</v>
      </c>
      <c r="E1525" t="s">
        <v>646</v>
      </c>
      <c r="F1525" t="s">
        <v>596</v>
      </c>
      <c r="G1525" t="s">
        <v>267</v>
      </c>
      <c r="H1525">
        <v>4060</v>
      </c>
      <c r="I1525">
        <v>82293.332946851879</v>
      </c>
      <c r="J1525">
        <v>86353.332946851879</v>
      </c>
      <c r="K1525">
        <f>IFERROR(VLOOKUP(F1525,'LEAID Match'!$A$2:$B$236,2,FALSE),"")</f>
        <v>0</v>
      </c>
    </row>
    <row r="1526" spans="1:11" x14ac:dyDescent="0.2">
      <c r="A1526">
        <f t="shared" si="23"/>
        <v>0</v>
      </c>
      <c r="B1526">
        <v>2019</v>
      </c>
      <c r="C1526" t="s">
        <v>642</v>
      </c>
      <c r="D1526" t="s">
        <v>644</v>
      </c>
      <c r="E1526" t="s">
        <v>646</v>
      </c>
      <c r="F1526" t="s">
        <v>596</v>
      </c>
      <c r="G1526" t="s">
        <v>267</v>
      </c>
      <c r="H1526">
        <v>2497</v>
      </c>
      <c r="I1526">
        <v>53495.818897907571</v>
      </c>
      <c r="J1526">
        <v>55992.818897907571</v>
      </c>
      <c r="K1526">
        <f>IFERROR(VLOOKUP(F1526,'LEAID Match'!$A$2:$B$236,2,FALSE),"")</f>
        <v>0</v>
      </c>
    </row>
    <row r="1527" spans="1:11" x14ac:dyDescent="0.2">
      <c r="A1527">
        <f t="shared" si="23"/>
        <v>0</v>
      </c>
      <c r="B1527">
        <v>2020</v>
      </c>
      <c r="C1527" t="s">
        <v>642</v>
      </c>
      <c r="D1527" t="s">
        <v>644</v>
      </c>
      <c r="E1527" t="s">
        <v>646</v>
      </c>
      <c r="F1527" t="s">
        <v>596</v>
      </c>
      <c r="G1527" t="s">
        <v>267</v>
      </c>
      <c r="H1527">
        <v>3363</v>
      </c>
      <c r="I1527">
        <v>74934.120705208014</v>
      </c>
      <c r="J1527">
        <v>78297.120705208014</v>
      </c>
      <c r="K1527">
        <f>IFERROR(VLOOKUP(F1527,'LEAID Match'!$A$2:$B$236,2,FALSE),"")</f>
        <v>0</v>
      </c>
    </row>
    <row r="1528" spans="1:11" x14ac:dyDescent="0.2">
      <c r="A1528">
        <f t="shared" si="23"/>
        <v>0</v>
      </c>
      <c r="B1528">
        <v>2021</v>
      </c>
      <c r="C1528" t="s">
        <v>642</v>
      </c>
      <c r="D1528" t="s">
        <v>644</v>
      </c>
      <c r="E1528" t="s">
        <v>646</v>
      </c>
      <c r="F1528" t="s">
        <v>596</v>
      </c>
      <c r="G1528" t="s">
        <v>267</v>
      </c>
      <c r="H1528">
        <v>1569</v>
      </c>
      <c r="I1528">
        <v>26358.180803228686</v>
      </c>
      <c r="J1528">
        <v>27927.180803228686</v>
      </c>
      <c r="K1528">
        <f>IFERROR(VLOOKUP(F1528,'LEAID Match'!$A$2:$B$236,2,FALSE),"")</f>
        <v>0</v>
      </c>
    </row>
    <row r="1529" spans="1:11" x14ac:dyDescent="0.2">
      <c r="A1529">
        <f t="shared" si="23"/>
        <v>0</v>
      </c>
      <c r="B1529">
        <v>2022</v>
      </c>
      <c r="C1529" t="s">
        <v>642</v>
      </c>
      <c r="D1529" t="s">
        <v>644</v>
      </c>
      <c r="E1529" t="s">
        <v>646</v>
      </c>
      <c r="F1529" t="s">
        <v>596</v>
      </c>
      <c r="G1529" t="s">
        <v>267</v>
      </c>
      <c r="H1529">
        <v>1923</v>
      </c>
      <c r="I1529">
        <v>27681.53255835981</v>
      </c>
      <c r="J1529">
        <v>29604.53255835981</v>
      </c>
      <c r="K1529">
        <f>IFERROR(VLOOKUP(F1529,'LEAID Match'!$A$2:$B$236,2,FALSE),"")</f>
        <v>0</v>
      </c>
    </row>
    <row r="1530" spans="1:11" x14ac:dyDescent="0.2">
      <c r="A1530">
        <f t="shared" si="23"/>
        <v>2312980</v>
      </c>
      <c r="B1530">
        <v>2015</v>
      </c>
      <c r="C1530" t="s">
        <v>642</v>
      </c>
      <c r="D1530" t="s">
        <v>644</v>
      </c>
      <c r="E1530" t="s">
        <v>646</v>
      </c>
      <c r="F1530" t="s">
        <v>597</v>
      </c>
      <c r="G1530" t="s">
        <v>268</v>
      </c>
      <c r="H1530">
        <v>9491</v>
      </c>
      <c r="I1530">
        <v>181977.02564657255</v>
      </c>
      <c r="J1530">
        <v>191468.02564657255</v>
      </c>
      <c r="K1530">
        <f>IFERROR(VLOOKUP(F1530,'LEAID Match'!$A$2:$B$236,2,FALSE),"")</f>
        <v>2312980</v>
      </c>
    </row>
    <row r="1531" spans="1:11" x14ac:dyDescent="0.2">
      <c r="A1531">
        <f t="shared" si="23"/>
        <v>2312980</v>
      </c>
      <c r="B1531">
        <v>2016</v>
      </c>
      <c r="C1531" t="s">
        <v>642</v>
      </c>
      <c r="D1531" t="s">
        <v>644</v>
      </c>
      <c r="E1531" t="s">
        <v>646</v>
      </c>
      <c r="F1531" s="1" t="s">
        <v>597</v>
      </c>
      <c r="G1531" s="1" t="s">
        <v>268</v>
      </c>
      <c r="H1531" s="22">
        <v>5962</v>
      </c>
      <c r="I1531">
        <v>113305.43865746939</v>
      </c>
      <c r="J1531">
        <v>119267.43865746939</v>
      </c>
      <c r="K1531">
        <f>IFERROR(VLOOKUP(F1531,'LEAID Match'!$A$2:$B$236,2,FALSE),"")</f>
        <v>2312980</v>
      </c>
    </row>
    <row r="1532" spans="1:11" x14ac:dyDescent="0.2">
      <c r="A1532">
        <f t="shared" si="23"/>
        <v>2312980</v>
      </c>
      <c r="B1532">
        <v>2017</v>
      </c>
      <c r="C1532" t="s">
        <v>642</v>
      </c>
      <c r="D1532" t="s">
        <v>644</v>
      </c>
      <c r="E1532" t="s">
        <v>646</v>
      </c>
      <c r="F1532" t="s">
        <v>597</v>
      </c>
      <c r="G1532" t="s">
        <v>268</v>
      </c>
      <c r="H1532">
        <v>5648</v>
      </c>
      <c r="I1532">
        <v>107692.66352545637</v>
      </c>
      <c r="J1532">
        <v>113340.66352545637</v>
      </c>
      <c r="K1532">
        <f>IFERROR(VLOOKUP(F1532,'LEAID Match'!$A$2:$B$236,2,FALSE),"")</f>
        <v>2312980</v>
      </c>
    </row>
    <row r="1533" spans="1:11" x14ac:dyDescent="0.2">
      <c r="A1533">
        <f t="shared" si="23"/>
        <v>2312980</v>
      </c>
      <c r="B1533">
        <v>2018</v>
      </c>
      <c r="C1533" t="s">
        <v>642</v>
      </c>
      <c r="D1533" t="s">
        <v>644</v>
      </c>
      <c r="E1533" t="s">
        <v>646</v>
      </c>
      <c r="F1533" t="s">
        <v>597</v>
      </c>
      <c r="G1533" t="s">
        <v>268</v>
      </c>
      <c r="H1533">
        <v>5550</v>
      </c>
      <c r="I1533">
        <v>112494.58075246995</v>
      </c>
      <c r="J1533">
        <v>118044.58075246995</v>
      </c>
      <c r="K1533">
        <f>IFERROR(VLOOKUP(F1533,'LEAID Match'!$A$2:$B$236,2,FALSE),"")</f>
        <v>2312980</v>
      </c>
    </row>
    <row r="1534" spans="1:11" x14ac:dyDescent="0.2">
      <c r="A1534">
        <f t="shared" si="23"/>
        <v>2312980</v>
      </c>
      <c r="B1534">
        <v>2019</v>
      </c>
      <c r="C1534" t="s">
        <v>642</v>
      </c>
      <c r="D1534" t="s">
        <v>644</v>
      </c>
      <c r="E1534" t="s">
        <v>646</v>
      </c>
      <c r="F1534" t="s">
        <v>597</v>
      </c>
      <c r="G1534" t="s">
        <v>268</v>
      </c>
      <c r="H1534">
        <v>5220</v>
      </c>
      <c r="I1534">
        <v>111833.47002285846</v>
      </c>
      <c r="J1534">
        <v>117053.47002285846</v>
      </c>
      <c r="K1534">
        <f>IFERROR(VLOOKUP(F1534,'LEAID Match'!$A$2:$B$236,2,FALSE),"")</f>
        <v>2312980</v>
      </c>
    </row>
    <row r="1535" spans="1:11" x14ac:dyDescent="0.2">
      <c r="A1535">
        <f t="shared" si="23"/>
        <v>2312980</v>
      </c>
      <c r="B1535">
        <v>2020</v>
      </c>
      <c r="C1535" t="s">
        <v>642</v>
      </c>
      <c r="D1535" t="s">
        <v>644</v>
      </c>
      <c r="E1535" t="s">
        <v>646</v>
      </c>
      <c r="F1535" t="s">
        <v>597</v>
      </c>
      <c r="G1535" t="s">
        <v>268</v>
      </c>
      <c r="H1535">
        <v>6363</v>
      </c>
      <c r="I1535">
        <v>141779.90188737397</v>
      </c>
      <c r="J1535">
        <v>148142.90188737397</v>
      </c>
      <c r="K1535">
        <f>IFERROR(VLOOKUP(F1535,'LEAID Match'!$A$2:$B$236,2,FALSE),"")</f>
        <v>2312980</v>
      </c>
    </row>
    <row r="1536" spans="1:11" x14ac:dyDescent="0.2">
      <c r="A1536">
        <f t="shared" si="23"/>
        <v>2312980</v>
      </c>
      <c r="B1536">
        <v>2021</v>
      </c>
      <c r="C1536" t="s">
        <v>642</v>
      </c>
      <c r="D1536" t="s">
        <v>644</v>
      </c>
      <c r="E1536" t="s">
        <v>646</v>
      </c>
      <c r="F1536" t="s">
        <v>597</v>
      </c>
      <c r="G1536" t="s">
        <v>268</v>
      </c>
      <c r="H1536">
        <v>14440</v>
      </c>
      <c r="I1536">
        <v>242582.62001186886</v>
      </c>
      <c r="J1536">
        <v>257022.62001186886</v>
      </c>
      <c r="K1536">
        <f>IFERROR(VLOOKUP(F1536,'LEAID Match'!$A$2:$B$236,2,FALSE),"")</f>
        <v>2312980</v>
      </c>
    </row>
    <row r="1537" spans="1:11" x14ac:dyDescent="0.2">
      <c r="A1537">
        <f t="shared" si="23"/>
        <v>2312980</v>
      </c>
      <c r="B1537">
        <v>2022</v>
      </c>
      <c r="C1537" t="s">
        <v>642</v>
      </c>
      <c r="D1537" t="s">
        <v>644</v>
      </c>
      <c r="E1537" t="s">
        <v>646</v>
      </c>
      <c r="F1537" t="s">
        <v>597</v>
      </c>
      <c r="G1537" t="s">
        <v>268</v>
      </c>
      <c r="H1537">
        <v>16632</v>
      </c>
      <c r="I1537">
        <v>239417.18643299027</v>
      </c>
      <c r="J1537">
        <v>256049.18643299027</v>
      </c>
      <c r="K1537">
        <f>IFERROR(VLOOKUP(F1537,'LEAID Match'!$A$2:$B$236,2,FALSE),"")</f>
        <v>2312980</v>
      </c>
    </row>
    <row r="1538" spans="1:11" x14ac:dyDescent="0.2">
      <c r="A1538" t="str">
        <f t="shared" si="23"/>
        <v/>
      </c>
      <c r="B1538">
        <v>2015</v>
      </c>
      <c r="C1538" t="s">
        <v>642</v>
      </c>
      <c r="D1538" t="s">
        <v>644</v>
      </c>
      <c r="E1538" t="s">
        <v>646</v>
      </c>
      <c r="F1538" t="s">
        <v>269</v>
      </c>
      <c r="G1538" t="s">
        <v>270</v>
      </c>
      <c r="I1538">
        <v>0</v>
      </c>
      <c r="J1538">
        <v>0</v>
      </c>
      <c r="K1538" t="str">
        <f>IFERROR(VLOOKUP(F1538,'LEAID Match'!$A$2:$B$236,2,FALSE),"")</f>
        <v/>
      </c>
    </row>
    <row r="1539" spans="1:11" x14ac:dyDescent="0.2">
      <c r="A1539" t="str">
        <f t="shared" ref="A1539:A1602" si="24">K1539</f>
        <v/>
      </c>
      <c r="B1539">
        <v>2016</v>
      </c>
      <c r="C1539" t="s">
        <v>642</v>
      </c>
      <c r="D1539" t="s">
        <v>644</v>
      </c>
      <c r="E1539" t="s">
        <v>646</v>
      </c>
      <c r="F1539" s="1" t="s">
        <v>269</v>
      </c>
      <c r="G1539" s="1" t="s">
        <v>270</v>
      </c>
      <c r="H1539" s="22"/>
      <c r="I1539">
        <v>0</v>
      </c>
      <c r="J1539">
        <v>0</v>
      </c>
      <c r="K1539" t="str">
        <f>IFERROR(VLOOKUP(F1539,'LEAID Match'!$A$2:$B$236,2,FALSE),"")</f>
        <v/>
      </c>
    </row>
    <row r="1540" spans="1:11" x14ac:dyDescent="0.2">
      <c r="A1540" t="str">
        <f t="shared" si="24"/>
        <v/>
      </c>
      <c r="B1540">
        <v>2017</v>
      </c>
      <c r="C1540" t="s">
        <v>642</v>
      </c>
      <c r="D1540" t="s">
        <v>644</v>
      </c>
      <c r="E1540" t="s">
        <v>646</v>
      </c>
      <c r="F1540" t="s">
        <v>269</v>
      </c>
      <c r="G1540" t="s">
        <v>270</v>
      </c>
      <c r="I1540">
        <v>0</v>
      </c>
      <c r="J1540">
        <v>0</v>
      </c>
      <c r="K1540" t="str">
        <f>IFERROR(VLOOKUP(F1540,'LEAID Match'!$A$2:$B$236,2,FALSE),"")</f>
        <v/>
      </c>
    </row>
    <row r="1541" spans="1:11" x14ac:dyDescent="0.2">
      <c r="A1541" t="str">
        <f t="shared" si="24"/>
        <v/>
      </c>
      <c r="B1541">
        <v>2018</v>
      </c>
      <c r="C1541" t="s">
        <v>642</v>
      </c>
      <c r="D1541" t="s">
        <v>644</v>
      </c>
      <c r="E1541" t="s">
        <v>646</v>
      </c>
      <c r="F1541" t="s">
        <v>269</v>
      </c>
      <c r="G1541" t="s">
        <v>270</v>
      </c>
      <c r="I1541">
        <v>0</v>
      </c>
      <c r="J1541">
        <v>0</v>
      </c>
      <c r="K1541" t="str">
        <f>IFERROR(VLOOKUP(F1541,'LEAID Match'!$A$2:$B$236,2,FALSE),"")</f>
        <v/>
      </c>
    </row>
    <row r="1542" spans="1:11" x14ac:dyDescent="0.2">
      <c r="A1542" t="str">
        <f t="shared" si="24"/>
        <v/>
      </c>
      <c r="B1542">
        <v>2019</v>
      </c>
      <c r="C1542" t="s">
        <v>642</v>
      </c>
      <c r="D1542" t="s">
        <v>644</v>
      </c>
      <c r="E1542" t="s">
        <v>646</v>
      </c>
      <c r="F1542" t="s">
        <v>269</v>
      </c>
      <c r="G1542" t="s">
        <v>270</v>
      </c>
      <c r="I1542">
        <v>0</v>
      </c>
      <c r="J1542">
        <v>0</v>
      </c>
      <c r="K1542" t="str">
        <f>IFERROR(VLOOKUP(F1542,'LEAID Match'!$A$2:$B$236,2,FALSE),"")</f>
        <v/>
      </c>
    </row>
    <row r="1543" spans="1:11" x14ac:dyDescent="0.2">
      <c r="A1543" t="str">
        <f t="shared" si="24"/>
        <v/>
      </c>
      <c r="B1543">
        <v>2020</v>
      </c>
      <c r="C1543" t="s">
        <v>642</v>
      </c>
      <c r="D1543" t="s">
        <v>644</v>
      </c>
      <c r="E1543" t="s">
        <v>646</v>
      </c>
      <c r="F1543" t="s">
        <v>269</v>
      </c>
      <c r="G1543" t="s">
        <v>270</v>
      </c>
      <c r="I1543">
        <v>0</v>
      </c>
      <c r="J1543">
        <v>0</v>
      </c>
      <c r="K1543" t="str">
        <f>IFERROR(VLOOKUP(F1543,'LEAID Match'!$A$2:$B$236,2,FALSE),"")</f>
        <v/>
      </c>
    </row>
    <row r="1544" spans="1:11" x14ac:dyDescent="0.2">
      <c r="A1544" t="str">
        <f t="shared" si="24"/>
        <v/>
      </c>
      <c r="B1544">
        <v>2021</v>
      </c>
      <c r="C1544" t="s">
        <v>642</v>
      </c>
      <c r="D1544" t="s">
        <v>644</v>
      </c>
      <c r="E1544" t="s">
        <v>646</v>
      </c>
      <c r="F1544" t="s">
        <v>269</v>
      </c>
      <c r="G1544" t="s">
        <v>270</v>
      </c>
      <c r="I1544">
        <v>0</v>
      </c>
      <c r="J1544">
        <v>0</v>
      </c>
      <c r="K1544" t="str">
        <f>IFERROR(VLOOKUP(F1544,'LEAID Match'!$A$2:$B$236,2,FALSE),"")</f>
        <v/>
      </c>
    </row>
    <row r="1545" spans="1:11" x14ac:dyDescent="0.2">
      <c r="A1545" t="str">
        <f t="shared" si="24"/>
        <v/>
      </c>
      <c r="B1545">
        <v>2022</v>
      </c>
      <c r="C1545" t="s">
        <v>642</v>
      </c>
      <c r="D1545" t="s">
        <v>644</v>
      </c>
      <c r="E1545" t="s">
        <v>646</v>
      </c>
      <c r="F1545" t="s">
        <v>269</v>
      </c>
      <c r="G1545" t="s">
        <v>270</v>
      </c>
      <c r="I1545">
        <v>0</v>
      </c>
      <c r="J1545">
        <v>0</v>
      </c>
      <c r="K1545" t="str">
        <f>IFERROR(VLOOKUP(F1545,'LEAID Match'!$A$2:$B$236,2,FALSE),"")</f>
        <v/>
      </c>
    </row>
    <row r="1546" spans="1:11" x14ac:dyDescent="0.2">
      <c r="A1546">
        <f t="shared" si="24"/>
        <v>2313350</v>
      </c>
      <c r="B1546">
        <v>2015</v>
      </c>
      <c r="C1546" t="s">
        <v>642</v>
      </c>
      <c r="D1546" t="s">
        <v>644</v>
      </c>
      <c r="E1546" t="s">
        <v>646</v>
      </c>
      <c r="F1546" t="s">
        <v>271</v>
      </c>
      <c r="G1546" t="s">
        <v>272</v>
      </c>
      <c r="H1546">
        <v>110339</v>
      </c>
      <c r="I1546">
        <v>2115600.3616918307</v>
      </c>
      <c r="J1546">
        <v>2225939.3616918307</v>
      </c>
      <c r="K1546">
        <f>IFERROR(VLOOKUP(F1546,'LEAID Match'!$A$2:$B$236,2,FALSE),"")</f>
        <v>2313350</v>
      </c>
    </row>
    <row r="1547" spans="1:11" x14ac:dyDescent="0.2">
      <c r="A1547">
        <f t="shared" si="24"/>
        <v>2313350</v>
      </c>
      <c r="B1547">
        <v>2016</v>
      </c>
      <c r="C1547" t="s">
        <v>642</v>
      </c>
      <c r="D1547" t="s">
        <v>644</v>
      </c>
      <c r="E1547" t="s">
        <v>646</v>
      </c>
      <c r="F1547" s="1" t="s">
        <v>271</v>
      </c>
      <c r="G1547" s="1" t="s">
        <v>272</v>
      </c>
      <c r="H1547" s="22">
        <v>80602</v>
      </c>
      <c r="I1547">
        <v>1531808.9511354156</v>
      </c>
      <c r="J1547">
        <v>1612410.9511354156</v>
      </c>
      <c r="K1547">
        <f>IFERROR(VLOOKUP(F1547,'LEAID Match'!$A$2:$B$236,2,FALSE),"")</f>
        <v>2313350</v>
      </c>
    </row>
    <row r="1548" spans="1:11" x14ac:dyDescent="0.2">
      <c r="A1548">
        <f t="shared" si="24"/>
        <v>2313350</v>
      </c>
      <c r="B1548">
        <v>2017</v>
      </c>
      <c r="C1548" t="s">
        <v>642</v>
      </c>
      <c r="D1548" t="s">
        <v>644</v>
      </c>
      <c r="E1548" t="s">
        <v>646</v>
      </c>
      <c r="F1548" t="s">
        <v>271</v>
      </c>
      <c r="G1548" t="s">
        <v>272</v>
      </c>
      <c r="H1548">
        <v>78688</v>
      </c>
      <c r="I1548">
        <v>1500375.4085501258</v>
      </c>
      <c r="J1548">
        <v>1579063.4085501258</v>
      </c>
      <c r="K1548">
        <f>IFERROR(VLOOKUP(F1548,'LEAID Match'!$A$2:$B$236,2,FALSE),"")</f>
        <v>2313350</v>
      </c>
    </row>
    <row r="1549" spans="1:11" x14ac:dyDescent="0.2">
      <c r="A1549">
        <f t="shared" si="24"/>
        <v>2313350</v>
      </c>
      <c r="B1549">
        <v>2018</v>
      </c>
      <c r="C1549" t="s">
        <v>642</v>
      </c>
      <c r="D1549" t="s">
        <v>644</v>
      </c>
      <c r="E1549" t="s">
        <v>646</v>
      </c>
      <c r="F1549" t="s">
        <v>271</v>
      </c>
      <c r="G1549" t="s">
        <v>272</v>
      </c>
      <c r="H1549">
        <v>89027</v>
      </c>
      <c r="I1549">
        <v>1804514.4217387643</v>
      </c>
      <c r="J1549">
        <v>1893541.4217387643</v>
      </c>
      <c r="K1549">
        <f>IFERROR(VLOOKUP(F1549,'LEAID Match'!$A$2:$B$236,2,FALSE),"")</f>
        <v>2313350</v>
      </c>
    </row>
    <row r="1550" spans="1:11" x14ac:dyDescent="0.2">
      <c r="A1550">
        <f t="shared" si="24"/>
        <v>2313350</v>
      </c>
      <c r="B1550">
        <v>2019</v>
      </c>
      <c r="C1550" t="s">
        <v>642</v>
      </c>
      <c r="D1550" t="s">
        <v>644</v>
      </c>
      <c r="E1550" t="s">
        <v>646</v>
      </c>
      <c r="F1550" t="s">
        <v>271</v>
      </c>
      <c r="G1550" t="s">
        <v>272</v>
      </c>
      <c r="H1550">
        <v>97100</v>
      </c>
      <c r="I1550">
        <v>2080273.93471639</v>
      </c>
      <c r="J1550">
        <v>2177373.93471639</v>
      </c>
      <c r="K1550">
        <f>IFERROR(VLOOKUP(F1550,'LEAID Match'!$A$2:$B$236,2,FALSE),"")</f>
        <v>2313350</v>
      </c>
    </row>
    <row r="1551" spans="1:11" x14ac:dyDescent="0.2">
      <c r="A1551">
        <f t="shared" si="24"/>
        <v>2313350</v>
      </c>
      <c r="B1551">
        <v>2020</v>
      </c>
      <c r="C1551" t="s">
        <v>642</v>
      </c>
      <c r="D1551" t="s">
        <v>644</v>
      </c>
      <c r="E1551" t="s">
        <v>646</v>
      </c>
      <c r="F1551" t="s">
        <v>271</v>
      </c>
      <c r="G1551" t="s">
        <v>272</v>
      </c>
      <c r="H1551">
        <v>126163</v>
      </c>
      <c r="I1551">
        <v>2811154.7637618668</v>
      </c>
      <c r="J1551">
        <v>2937317.7637618668</v>
      </c>
      <c r="K1551">
        <f>IFERROR(VLOOKUP(F1551,'LEAID Match'!$A$2:$B$236,2,FALSE),"")</f>
        <v>2313350</v>
      </c>
    </row>
    <row r="1552" spans="1:11" x14ac:dyDescent="0.2">
      <c r="A1552">
        <f t="shared" si="24"/>
        <v>2313350</v>
      </c>
      <c r="B1552">
        <v>2021</v>
      </c>
      <c r="C1552" t="s">
        <v>642</v>
      </c>
      <c r="D1552" t="s">
        <v>644</v>
      </c>
      <c r="E1552" t="s">
        <v>646</v>
      </c>
      <c r="F1552" t="s">
        <v>271</v>
      </c>
      <c r="G1552" t="s">
        <v>272</v>
      </c>
      <c r="H1552">
        <v>117565</v>
      </c>
      <c r="I1552">
        <v>1975015.6316963546</v>
      </c>
      <c r="J1552">
        <v>2092580.6316963546</v>
      </c>
      <c r="K1552">
        <f>IFERROR(VLOOKUP(F1552,'LEAID Match'!$A$2:$B$236,2,FALSE),"")</f>
        <v>2313350</v>
      </c>
    </row>
    <row r="1553" spans="1:11" x14ac:dyDescent="0.2">
      <c r="A1553">
        <f t="shared" si="24"/>
        <v>2313350</v>
      </c>
      <c r="B1553">
        <v>2022</v>
      </c>
      <c r="C1553" t="s">
        <v>642</v>
      </c>
      <c r="D1553" t="s">
        <v>644</v>
      </c>
      <c r="E1553" t="s">
        <v>646</v>
      </c>
      <c r="F1553" t="s">
        <v>271</v>
      </c>
      <c r="G1553" t="s">
        <v>272</v>
      </c>
      <c r="H1553">
        <v>162581</v>
      </c>
      <c r="I1553">
        <v>2340349.0612952136</v>
      </c>
      <c r="J1553">
        <v>2502930.0612952136</v>
      </c>
      <c r="K1553">
        <f>IFERROR(VLOOKUP(F1553,'LEAID Match'!$A$2:$B$236,2,FALSE),"")</f>
        <v>2313350</v>
      </c>
    </row>
    <row r="1554" spans="1:11" x14ac:dyDescent="0.2">
      <c r="A1554">
        <f t="shared" si="24"/>
        <v>2313110</v>
      </c>
      <c r="B1554">
        <v>2015</v>
      </c>
      <c r="C1554" t="s">
        <v>642</v>
      </c>
      <c r="D1554" t="s">
        <v>644</v>
      </c>
      <c r="E1554" t="s">
        <v>646</v>
      </c>
      <c r="F1554" t="s">
        <v>598</v>
      </c>
      <c r="G1554" t="s">
        <v>273</v>
      </c>
      <c r="H1554">
        <v>19253</v>
      </c>
      <c r="I1554">
        <v>369150.10797318106</v>
      </c>
      <c r="J1554">
        <v>388403.10797318106</v>
      </c>
      <c r="K1554">
        <f>IFERROR(VLOOKUP(F1554,'LEAID Match'!$A$2:$B$236,2,FALSE),"")</f>
        <v>2313110</v>
      </c>
    </row>
    <row r="1555" spans="1:11" x14ac:dyDescent="0.2">
      <c r="A1555">
        <f t="shared" si="24"/>
        <v>2313110</v>
      </c>
      <c r="B1555">
        <v>2016</v>
      </c>
      <c r="C1555" t="s">
        <v>642</v>
      </c>
      <c r="D1555" t="s">
        <v>644</v>
      </c>
      <c r="E1555" t="s">
        <v>646</v>
      </c>
      <c r="F1555" s="1" t="s">
        <v>598</v>
      </c>
      <c r="G1555" s="1" t="s">
        <v>273</v>
      </c>
      <c r="H1555" s="22">
        <v>18498</v>
      </c>
      <c r="I1555">
        <v>351547.13255381893</v>
      </c>
      <c r="J1555">
        <v>370045.13255381893</v>
      </c>
      <c r="K1555">
        <f>IFERROR(VLOOKUP(F1555,'LEAID Match'!$A$2:$B$236,2,FALSE),"")</f>
        <v>2313110</v>
      </c>
    </row>
    <row r="1556" spans="1:11" x14ac:dyDescent="0.2">
      <c r="A1556">
        <f t="shared" si="24"/>
        <v>2313110</v>
      </c>
      <c r="B1556">
        <v>2017</v>
      </c>
      <c r="C1556" t="s">
        <v>642</v>
      </c>
      <c r="D1556" t="s">
        <v>644</v>
      </c>
      <c r="E1556" t="s">
        <v>646</v>
      </c>
      <c r="F1556" t="s">
        <v>598</v>
      </c>
      <c r="G1556" t="s">
        <v>273</v>
      </c>
      <c r="H1556">
        <v>17473</v>
      </c>
      <c r="I1556">
        <v>333164.64408291416</v>
      </c>
      <c r="J1556">
        <v>350637.64408291416</v>
      </c>
      <c r="K1556">
        <f>IFERROR(VLOOKUP(F1556,'LEAID Match'!$A$2:$B$236,2,FALSE),"")</f>
        <v>2313110</v>
      </c>
    </row>
    <row r="1557" spans="1:11" x14ac:dyDescent="0.2">
      <c r="A1557">
        <f t="shared" si="24"/>
        <v>2313110</v>
      </c>
      <c r="B1557">
        <v>2018</v>
      </c>
      <c r="C1557" t="s">
        <v>642</v>
      </c>
      <c r="D1557" t="s">
        <v>644</v>
      </c>
      <c r="E1557" t="s">
        <v>646</v>
      </c>
      <c r="F1557" t="s">
        <v>598</v>
      </c>
      <c r="G1557" t="s">
        <v>273</v>
      </c>
      <c r="H1557">
        <v>23436</v>
      </c>
      <c r="I1557">
        <v>475031.17018286226</v>
      </c>
      <c r="J1557">
        <v>498467.17018286226</v>
      </c>
      <c r="K1557">
        <f>IFERROR(VLOOKUP(F1557,'LEAID Match'!$A$2:$B$236,2,FALSE),"")</f>
        <v>2313110</v>
      </c>
    </row>
    <row r="1558" spans="1:11" x14ac:dyDescent="0.2">
      <c r="A1558">
        <f t="shared" si="24"/>
        <v>2313110</v>
      </c>
      <c r="B1558">
        <v>2019</v>
      </c>
      <c r="C1558" t="s">
        <v>642</v>
      </c>
      <c r="D1558" t="s">
        <v>644</v>
      </c>
      <c r="E1558" t="s">
        <v>646</v>
      </c>
      <c r="F1558" t="s">
        <v>598</v>
      </c>
      <c r="G1558" t="s">
        <v>273</v>
      </c>
      <c r="H1558">
        <v>20661</v>
      </c>
      <c r="I1558">
        <v>442642.01611921046</v>
      </c>
      <c r="J1558">
        <v>463303.01611921046</v>
      </c>
      <c r="K1558">
        <f>IFERROR(VLOOKUP(F1558,'LEAID Match'!$A$2:$B$236,2,FALSE),"")</f>
        <v>2313110</v>
      </c>
    </row>
    <row r="1559" spans="1:11" x14ac:dyDescent="0.2">
      <c r="A1559">
        <f t="shared" si="24"/>
        <v>2313110</v>
      </c>
      <c r="B1559">
        <v>2020</v>
      </c>
      <c r="C1559" t="s">
        <v>642</v>
      </c>
      <c r="D1559" t="s">
        <v>644</v>
      </c>
      <c r="E1559" t="s">
        <v>646</v>
      </c>
      <c r="F1559" t="s">
        <v>598</v>
      </c>
      <c r="G1559" t="s">
        <v>273</v>
      </c>
      <c r="H1559">
        <v>30175</v>
      </c>
      <c r="I1559">
        <v>672357.14905728574</v>
      </c>
      <c r="J1559">
        <v>702532.14905728574</v>
      </c>
      <c r="K1559">
        <f>IFERROR(VLOOKUP(F1559,'LEAID Match'!$A$2:$B$236,2,FALSE),"")</f>
        <v>2313110</v>
      </c>
    </row>
    <row r="1560" spans="1:11" x14ac:dyDescent="0.2">
      <c r="A1560">
        <f t="shared" si="24"/>
        <v>2313110</v>
      </c>
      <c r="B1560">
        <v>2021</v>
      </c>
      <c r="C1560" t="s">
        <v>642</v>
      </c>
      <c r="D1560" t="s">
        <v>644</v>
      </c>
      <c r="E1560" t="s">
        <v>646</v>
      </c>
      <c r="F1560" t="s">
        <v>598</v>
      </c>
      <c r="G1560" t="s">
        <v>273</v>
      </c>
      <c r="H1560">
        <v>36176</v>
      </c>
      <c r="I1560">
        <v>607733.30066131358</v>
      </c>
      <c r="J1560">
        <v>643909.30066131358</v>
      </c>
      <c r="K1560">
        <f>IFERROR(VLOOKUP(F1560,'LEAID Match'!$A$2:$B$236,2,FALSE),"")</f>
        <v>2313110</v>
      </c>
    </row>
    <row r="1561" spans="1:11" x14ac:dyDescent="0.2">
      <c r="A1561">
        <f t="shared" si="24"/>
        <v>2313110</v>
      </c>
      <c r="B1561">
        <v>2022</v>
      </c>
      <c r="C1561" t="s">
        <v>642</v>
      </c>
      <c r="D1561" t="s">
        <v>644</v>
      </c>
      <c r="E1561" t="s">
        <v>646</v>
      </c>
      <c r="F1561" t="s">
        <v>598</v>
      </c>
      <c r="G1561" t="s">
        <v>273</v>
      </c>
      <c r="H1561">
        <v>61364</v>
      </c>
      <c r="I1561">
        <v>883333.10655808169</v>
      </c>
      <c r="J1561">
        <v>944697.10655808169</v>
      </c>
      <c r="K1561">
        <f>IFERROR(VLOOKUP(F1561,'LEAID Match'!$A$2:$B$236,2,FALSE),"")</f>
        <v>2313110</v>
      </c>
    </row>
    <row r="1562" spans="1:11" x14ac:dyDescent="0.2">
      <c r="A1562">
        <f t="shared" si="24"/>
        <v>2313860</v>
      </c>
      <c r="B1562">
        <v>2015</v>
      </c>
      <c r="C1562" t="s">
        <v>642</v>
      </c>
      <c r="D1562" t="s">
        <v>644</v>
      </c>
      <c r="E1562" t="s">
        <v>646</v>
      </c>
      <c r="F1562" t="s">
        <v>599</v>
      </c>
      <c r="G1562" t="s">
        <v>274</v>
      </c>
      <c r="H1562">
        <v>60079</v>
      </c>
      <c r="I1562">
        <v>1151933.1707744633</v>
      </c>
      <c r="J1562">
        <v>1212012.1707744633</v>
      </c>
      <c r="K1562">
        <f>IFERROR(VLOOKUP(F1562,'LEAID Match'!$A$2:$B$236,2,FALSE),"")</f>
        <v>2313860</v>
      </c>
    </row>
    <row r="1563" spans="1:11" x14ac:dyDescent="0.2">
      <c r="A1563">
        <f t="shared" si="24"/>
        <v>2313860</v>
      </c>
      <c r="B1563">
        <v>2016</v>
      </c>
      <c r="C1563" t="s">
        <v>642</v>
      </c>
      <c r="D1563" t="s">
        <v>644</v>
      </c>
      <c r="E1563" t="s">
        <v>646</v>
      </c>
      <c r="F1563" s="1" t="s">
        <v>599</v>
      </c>
      <c r="G1563" s="1" t="s">
        <v>274</v>
      </c>
      <c r="H1563" s="22">
        <v>45755</v>
      </c>
      <c r="I1563">
        <v>869555.57627851586</v>
      </c>
      <c r="J1563">
        <v>915310.57627851586</v>
      </c>
      <c r="K1563">
        <f>IFERROR(VLOOKUP(F1563,'LEAID Match'!$A$2:$B$236,2,FALSE),"")</f>
        <v>2313860</v>
      </c>
    </row>
    <row r="1564" spans="1:11" x14ac:dyDescent="0.2">
      <c r="A1564">
        <f t="shared" si="24"/>
        <v>2313860</v>
      </c>
      <c r="B1564">
        <v>2017</v>
      </c>
      <c r="C1564" t="s">
        <v>642</v>
      </c>
      <c r="D1564" t="s">
        <v>644</v>
      </c>
      <c r="E1564" t="s">
        <v>646</v>
      </c>
      <c r="F1564" t="s">
        <v>599</v>
      </c>
      <c r="G1564" t="s">
        <v>274</v>
      </c>
      <c r="H1564">
        <v>47072</v>
      </c>
      <c r="I1564">
        <v>897540.55550111237</v>
      </c>
      <c r="J1564">
        <v>944612.55550111237</v>
      </c>
      <c r="K1564">
        <f>IFERROR(VLOOKUP(F1564,'LEAID Match'!$A$2:$B$236,2,FALSE),"")</f>
        <v>2313860</v>
      </c>
    </row>
    <row r="1565" spans="1:11" x14ac:dyDescent="0.2">
      <c r="A1565">
        <f t="shared" si="24"/>
        <v>2313860</v>
      </c>
      <c r="B1565">
        <v>2018</v>
      </c>
      <c r="C1565" t="s">
        <v>642</v>
      </c>
      <c r="D1565" t="s">
        <v>644</v>
      </c>
      <c r="E1565" t="s">
        <v>646</v>
      </c>
      <c r="F1565" t="s">
        <v>599</v>
      </c>
      <c r="G1565" t="s">
        <v>274</v>
      </c>
      <c r="H1565">
        <v>52434</v>
      </c>
      <c r="I1565">
        <v>1062800.1526441458</v>
      </c>
      <c r="J1565">
        <v>1115234.1526441458</v>
      </c>
      <c r="K1565">
        <f>IFERROR(VLOOKUP(F1565,'LEAID Match'!$A$2:$B$236,2,FALSE),"")</f>
        <v>2313860</v>
      </c>
    </row>
    <row r="1566" spans="1:11" x14ac:dyDescent="0.2">
      <c r="A1566">
        <f t="shared" si="24"/>
        <v>2313860</v>
      </c>
      <c r="B1566">
        <v>2019</v>
      </c>
      <c r="C1566" t="s">
        <v>642</v>
      </c>
      <c r="D1566" t="s">
        <v>644</v>
      </c>
      <c r="E1566" t="s">
        <v>646</v>
      </c>
      <c r="F1566" t="s">
        <v>599</v>
      </c>
      <c r="G1566" t="s">
        <v>274</v>
      </c>
      <c r="H1566">
        <v>51507</v>
      </c>
      <c r="I1566">
        <v>1103487.843001412</v>
      </c>
      <c r="J1566">
        <v>1154994.843001412</v>
      </c>
      <c r="K1566">
        <f>IFERROR(VLOOKUP(F1566,'LEAID Match'!$A$2:$B$236,2,FALSE),"")</f>
        <v>2313860</v>
      </c>
    </row>
    <row r="1567" spans="1:11" x14ac:dyDescent="0.2">
      <c r="A1567">
        <f t="shared" si="24"/>
        <v>2313860</v>
      </c>
      <c r="B1567">
        <v>2020</v>
      </c>
      <c r="C1567" t="s">
        <v>642</v>
      </c>
      <c r="D1567" t="s">
        <v>644</v>
      </c>
      <c r="E1567" t="s">
        <v>646</v>
      </c>
      <c r="F1567" t="s">
        <v>599</v>
      </c>
      <c r="G1567" t="s">
        <v>274</v>
      </c>
      <c r="H1567">
        <v>75625</v>
      </c>
      <c r="I1567">
        <v>1685070.7339670996</v>
      </c>
      <c r="J1567">
        <v>1760695.7339670996</v>
      </c>
      <c r="K1567">
        <f>IFERROR(VLOOKUP(F1567,'LEAID Match'!$A$2:$B$236,2,FALSE),"")</f>
        <v>2313860</v>
      </c>
    </row>
    <row r="1568" spans="1:11" x14ac:dyDescent="0.2">
      <c r="A1568">
        <f t="shared" si="24"/>
        <v>2313860</v>
      </c>
      <c r="B1568">
        <v>2021</v>
      </c>
      <c r="C1568" t="s">
        <v>642</v>
      </c>
      <c r="D1568" t="s">
        <v>644</v>
      </c>
      <c r="E1568" t="s">
        <v>646</v>
      </c>
      <c r="F1568" t="s">
        <v>599</v>
      </c>
      <c r="G1568" t="s">
        <v>274</v>
      </c>
      <c r="H1568">
        <v>83382</v>
      </c>
      <c r="I1568">
        <v>1400763.4364147957</v>
      </c>
      <c r="J1568">
        <v>1484145.4364147957</v>
      </c>
      <c r="K1568">
        <f>IFERROR(VLOOKUP(F1568,'LEAID Match'!$A$2:$B$236,2,FALSE),"")</f>
        <v>2313860</v>
      </c>
    </row>
    <row r="1569" spans="1:11" x14ac:dyDescent="0.2">
      <c r="A1569">
        <f t="shared" si="24"/>
        <v>2313860</v>
      </c>
      <c r="B1569">
        <v>2022</v>
      </c>
      <c r="C1569" t="s">
        <v>642</v>
      </c>
      <c r="D1569" t="s">
        <v>644</v>
      </c>
      <c r="E1569" t="s">
        <v>646</v>
      </c>
      <c r="F1569" t="s">
        <v>599</v>
      </c>
      <c r="G1569" t="s">
        <v>274</v>
      </c>
      <c r="H1569">
        <v>116990</v>
      </c>
      <c r="I1569">
        <v>1684067.8595956909</v>
      </c>
      <c r="J1569">
        <v>1801057.8595956909</v>
      </c>
      <c r="K1569">
        <f>IFERROR(VLOOKUP(F1569,'LEAID Match'!$A$2:$B$236,2,FALSE),"")</f>
        <v>2313860</v>
      </c>
    </row>
    <row r="1570" spans="1:11" x14ac:dyDescent="0.2">
      <c r="A1570" t="str">
        <f t="shared" si="24"/>
        <v/>
      </c>
      <c r="B1570">
        <v>2015</v>
      </c>
      <c r="C1570" t="s">
        <v>642</v>
      </c>
      <c r="D1570" t="s">
        <v>644</v>
      </c>
      <c r="E1570" t="s">
        <v>646</v>
      </c>
      <c r="F1570" t="s">
        <v>600</v>
      </c>
      <c r="G1570" t="s">
        <v>275</v>
      </c>
      <c r="H1570">
        <v>9068</v>
      </c>
      <c r="I1570">
        <v>173866.57555190389</v>
      </c>
      <c r="J1570">
        <v>182934.57555190389</v>
      </c>
      <c r="K1570" t="str">
        <f>IFERROR(VLOOKUP(F1570,'LEAID Match'!$A$2:$B$236,2,FALSE),"")</f>
        <v/>
      </c>
    </row>
    <row r="1571" spans="1:11" x14ac:dyDescent="0.2">
      <c r="A1571" t="str">
        <f t="shared" si="24"/>
        <v/>
      </c>
      <c r="B1571">
        <v>2016</v>
      </c>
      <c r="C1571" t="s">
        <v>642</v>
      </c>
      <c r="D1571" t="s">
        <v>644</v>
      </c>
      <c r="E1571" t="s">
        <v>646</v>
      </c>
      <c r="F1571" s="1" t="s">
        <v>600</v>
      </c>
      <c r="G1571" s="1" t="s">
        <v>275</v>
      </c>
      <c r="H1571" s="22">
        <v>6997</v>
      </c>
      <c r="I1571">
        <v>132975.20199367884</v>
      </c>
      <c r="J1571">
        <v>139972.20199367884</v>
      </c>
      <c r="K1571" t="str">
        <f>IFERROR(VLOOKUP(F1571,'LEAID Match'!$A$2:$B$236,2,FALSE),"")</f>
        <v/>
      </c>
    </row>
    <row r="1572" spans="1:11" x14ac:dyDescent="0.2">
      <c r="A1572" t="str">
        <f t="shared" si="24"/>
        <v/>
      </c>
      <c r="B1572">
        <v>2017</v>
      </c>
      <c r="C1572" t="s">
        <v>642</v>
      </c>
      <c r="D1572" t="s">
        <v>644</v>
      </c>
      <c r="E1572" t="s">
        <v>646</v>
      </c>
      <c r="F1572" t="s">
        <v>600</v>
      </c>
      <c r="G1572" t="s">
        <v>275</v>
      </c>
      <c r="H1572">
        <v>6778</v>
      </c>
      <c r="I1572">
        <v>129238.82318972083</v>
      </c>
      <c r="J1572">
        <v>136016.82318972083</v>
      </c>
      <c r="K1572" t="str">
        <f>IFERROR(VLOOKUP(F1572,'LEAID Match'!$A$2:$B$236,2,FALSE),"")</f>
        <v/>
      </c>
    </row>
    <row r="1573" spans="1:11" x14ac:dyDescent="0.2">
      <c r="A1573" t="str">
        <f t="shared" si="24"/>
        <v/>
      </c>
      <c r="B1573">
        <v>2018</v>
      </c>
      <c r="C1573" t="s">
        <v>642</v>
      </c>
      <c r="D1573" t="s">
        <v>644</v>
      </c>
      <c r="E1573" t="s">
        <v>646</v>
      </c>
      <c r="F1573" t="s">
        <v>600</v>
      </c>
      <c r="G1573" t="s">
        <v>275</v>
      </c>
      <c r="H1573">
        <v>7752</v>
      </c>
      <c r="I1573">
        <v>157127.565764531</v>
      </c>
      <c r="J1573">
        <v>164879.565764531</v>
      </c>
      <c r="K1573" t="str">
        <f>IFERROR(VLOOKUP(F1573,'LEAID Match'!$A$2:$B$236,2,FALSE),"")</f>
        <v/>
      </c>
    </row>
    <row r="1574" spans="1:11" x14ac:dyDescent="0.2">
      <c r="A1574" t="str">
        <f t="shared" si="24"/>
        <v/>
      </c>
      <c r="B1574">
        <v>2019</v>
      </c>
      <c r="C1574" t="s">
        <v>642</v>
      </c>
      <c r="D1574" t="s">
        <v>644</v>
      </c>
      <c r="E1574" t="s">
        <v>646</v>
      </c>
      <c r="F1574" t="s">
        <v>600</v>
      </c>
      <c r="G1574" t="s">
        <v>275</v>
      </c>
      <c r="H1574">
        <v>9716</v>
      </c>
      <c r="I1574">
        <v>208155.93769005607</v>
      </c>
      <c r="J1574">
        <v>217871.93769005607</v>
      </c>
      <c r="K1574" t="str">
        <f>IFERROR(VLOOKUP(F1574,'LEAID Match'!$A$2:$B$236,2,FALSE),"")</f>
        <v/>
      </c>
    </row>
    <row r="1575" spans="1:11" x14ac:dyDescent="0.2">
      <c r="A1575" t="str">
        <f t="shared" si="24"/>
        <v/>
      </c>
      <c r="B1575">
        <v>2020</v>
      </c>
      <c r="C1575" t="s">
        <v>642</v>
      </c>
      <c r="D1575" t="s">
        <v>644</v>
      </c>
      <c r="E1575" t="s">
        <v>646</v>
      </c>
      <c r="F1575" t="s">
        <v>600</v>
      </c>
      <c r="G1575" t="s">
        <v>275</v>
      </c>
      <c r="H1575">
        <v>11803</v>
      </c>
      <c r="I1575">
        <v>262993.58509770152</v>
      </c>
      <c r="J1575">
        <v>274796.58509770152</v>
      </c>
      <c r="K1575" t="str">
        <f>IFERROR(VLOOKUP(F1575,'LEAID Match'!$A$2:$B$236,2,FALSE),"")</f>
        <v/>
      </c>
    </row>
    <row r="1576" spans="1:11" x14ac:dyDescent="0.2">
      <c r="A1576" t="str">
        <f t="shared" si="24"/>
        <v/>
      </c>
      <c r="B1576">
        <v>2021</v>
      </c>
      <c r="C1576" t="s">
        <v>642</v>
      </c>
      <c r="D1576" t="s">
        <v>644</v>
      </c>
      <c r="E1576" t="s">
        <v>646</v>
      </c>
      <c r="F1576" t="s">
        <v>600</v>
      </c>
      <c r="G1576" t="s">
        <v>275</v>
      </c>
      <c r="H1576">
        <v>10064</v>
      </c>
      <c r="I1576">
        <v>169068.66258998949</v>
      </c>
      <c r="J1576">
        <v>179132.66258998949</v>
      </c>
      <c r="K1576" t="str">
        <f>IFERROR(VLOOKUP(F1576,'LEAID Match'!$A$2:$B$236,2,FALSE),"")</f>
        <v/>
      </c>
    </row>
    <row r="1577" spans="1:11" x14ac:dyDescent="0.2">
      <c r="A1577" t="str">
        <f t="shared" si="24"/>
        <v/>
      </c>
      <c r="B1577">
        <v>2022</v>
      </c>
      <c r="C1577" t="s">
        <v>642</v>
      </c>
      <c r="D1577" t="s">
        <v>644</v>
      </c>
      <c r="E1577" t="s">
        <v>646</v>
      </c>
      <c r="F1577" t="s">
        <v>600</v>
      </c>
      <c r="G1577" t="s">
        <v>275</v>
      </c>
      <c r="H1577">
        <v>8668</v>
      </c>
      <c r="I1577">
        <v>124775.62361719336</v>
      </c>
      <c r="J1577">
        <v>133443.62361719337</v>
      </c>
      <c r="K1577" t="str">
        <f>IFERROR(VLOOKUP(F1577,'LEAID Match'!$A$2:$B$236,2,FALSE),"")</f>
        <v/>
      </c>
    </row>
    <row r="1578" spans="1:11" x14ac:dyDescent="0.2">
      <c r="A1578">
        <f t="shared" si="24"/>
        <v>2306160</v>
      </c>
      <c r="B1578">
        <v>2015</v>
      </c>
      <c r="C1578" t="s">
        <v>642</v>
      </c>
      <c r="D1578" t="s">
        <v>644</v>
      </c>
      <c r="E1578" t="s">
        <v>646</v>
      </c>
      <c r="F1578" t="s">
        <v>276</v>
      </c>
      <c r="G1578" t="s">
        <v>277</v>
      </c>
      <c r="H1578">
        <v>8915</v>
      </c>
      <c r="I1578">
        <v>170933.00849638545</v>
      </c>
      <c r="J1578">
        <v>179848.00849638545</v>
      </c>
      <c r="K1578">
        <f>IFERROR(VLOOKUP(F1578,'LEAID Match'!$A$2:$B$236,2,FALSE),"")</f>
        <v>2306160</v>
      </c>
    </row>
    <row r="1579" spans="1:11" x14ac:dyDescent="0.2">
      <c r="A1579">
        <f t="shared" si="24"/>
        <v>2306160</v>
      </c>
      <c r="B1579">
        <v>2016</v>
      </c>
      <c r="C1579" t="s">
        <v>642</v>
      </c>
      <c r="D1579" t="s">
        <v>644</v>
      </c>
      <c r="E1579" t="s">
        <v>646</v>
      </c>
      <c r="F1579" s="1" t="s">
        <v>276</v>
      </c>
      <c r="G1579" s="1" t="s">
        <v>277</v>
      </c>
      <c r="H1579" s="22">
        <v>6294</v>
      </c>
      <c r="I1579">
        <v>119614.96660686217</v>
      </c>
      <c r="J1579">
        <v>125908.96660686217</v>
      </c>
      <c r="K1579">
        <f>IFERROR(VLOOKUP(F1579,'LEAID Match'!$A$2:$B$236,2,FALSE),"")</f>
        <v>2306160</v>
      </c>
    </row>
    <row r="1580" spans="1:11" x14ac:dyDescent="0.2">
      <c r="A1580">
        <f t="shared" si="24"/>
        <v>2306160</v>
      </c>
      <c r="B1580">
        <v>2017</v>
      </c>
      <c r="C1580" t="s">
        <v>642</v>
      </c>
      <c r="D1580" t="s">
        <v>644</v>
      </c>
      <c r="E1580" t="s">
        <v>646</v>
      </c>
      <c r="F1580" t="s">
        <v>276</v>
      </c>
      <c r="G1580" t="s">
        <v>277</v>
      </c>
      <c r="H1580">
        <v>10984</v>
      </c>
      <c r="I1580">
        <v>209436.2988958238</v>
      </c>
      <c r="J1580">
        <v>220420.2988958238</v>
      </c>
      <c r="K1580">
        <f>IFERROR(VLOOKUP(F1580,'LEAID Match'!$A$2:$B$236,2,FALSE),"")</f>
        <v>2306160</v>
      </c>
    </row>
    <row r="1581" spans="1:11" x14ac:dyDescent="0.2">
      <c r="A1581">
        <f t="shared" si="24"/>
        <v>2306160</v>
      </c>
      <c r="B1581">
        <v>2018</v>
      </c>
      <c r="C1581" t="s">
        <v>642</v>
      </c>
      <c r="D1581" t="s">
        <v>644</v>
      </c>
      <c r="E1581" t="s">
        <v>646</v>
      </c>
      <c r="F1581" t="s">
        <v>276</v>
      </c>
      <c r="G1581" t="s">
        <v>277</v>
      </c>
      <c r="H1581">
        <v>10862</v>
      </c>
      <c r="I1581">
        <v>220165.06957357272</v>
      </c>
      <c r="J1581">
        <v>231027.06957357272</v>
      </c>
      <c r="K1581">
        <f>IFERROR(VLOOKUP(F1581,'LEAID Match'!$A$2:$B$236,2,FALSE),"")</f>
        <v>2306160</v>
      </c>
    </row>
    <row r="1582" spans="1:11" x14ac:dyDescent="0.2">
      <c r="A1582">
        <f t="shared" si="24"/>
        <v>2306160</v>
      </c>
      <c r="B1582">
        <v>2019</v>
      </c>
      <c r="C1582" t="s">
        <v>642</v>
      </c>
      <c r="D1582" t="s">
        <v>644</v>
      </c>
      <c r="E1582" t="s">
        <v>646</v>
      </c>
      <c r="F1582" t="s">
        <v>276</v>
      </c>
      <c r="G1582" t="s">
        <v>277</v>
      </c>
      <c r="H1582">
        <v>8494</v>
      </c>
      <c r="I1582">
        <v>181975.76520577772</v>
      </c>
      <c r="J1582">
        <v>190469.76520577772</v>
      </c>
      <c r="K1582">
        <f>IFERROR(VLOOKUP(F1582,'LEAID Match'!$A$2:$B$236,2,FALSE),"")</f>
        <v>2306160</v>
      </c>
    </row>
    <row r="1583" spans="1:11" x14ac:dyDescent="0.2">
      <c r="A1583">
        <f t="shared" si="24"/>
        <v>2306160</v>
      </c>
      <c r="B1583">
        <v>2020</v>
      </c>
      <c r="C1583" t="s">
        <v>642</v>
      </c>
      <c r="D1583" t="s">
        <v>644</v>
      </c>
      <c r="E1583" t="s">
        <v>646</v>
      </c>
      <c r="F1583" t="s">
        <v>276</v>
      </c>
      <c r="G1583" t="s">
        <v>277</v>
      </c>
      <c r="H1583">
        <v>12450</v>
      </c>
      <c r="I1583">
        <v>277409.99190598866</v>
      </c>
      <c r="J1583">
        <v>289859.99190598866</v>
      </c>
      <c r="K1583">
        <f>IFERROR(VLOOKUP(F1583,'LEAID Match'!$A$2:$B$236,2,FALSE),"")</f>
        <v>2306160</v>
      </c>
    </row>
    <row r="1584" spans="1:11" x14ac:dyDescent="0.2">
      <c r="A1584">
        <f t="shared" si="24"/>
        <v>2306160</v>
      </c>
      <c r="B1584">
        <v>2021</v>
      </c>
      <c r="C1584" t="s">
        <v>642</v>
      </c>
      <c r="D1584" t="s">
        <v>644</v>
      </c>
      <c r="E1584" t="s">
        <v>646</v>
      </c>
      <c r="F1584" t="s">
        <v>276</v>
      </c>
      <c r="G1584" t="s">
        <v>277</v>
      </c>
      <c r="H1584">
        <v>22354</v>
      </c>
      <c r="I1584">
        <v>375532.67920673935</v>
      </c>
      <c r="J1584">
        <v>397886.67920673935</v>
      </c>
      <c r="K1584">
        <f>IFERROR(VLOOKUP(F1584,'LEAID Match'!$A$2:$B$236,2,FALSE),"")</f>
        <v>2306160</v>
      </c>
    </row>
    <row r="1585" spans="1:11" x14ac:dyDescent="0.2">
      <c r="A1585">
        <f t="shared" si="24"/>
        <v>2306160</v>
      </c>
      <c r="B1585">
        <v>2022</v>
      </c>
      <c r="C1585" t="s">
        <v>642</v>
      </c>
      <c r="D1585" t="s">
        <v>644</v>
      </c>
      <c r="E1585" t="s">
        <v>646</v>
      </c>
      <c r="F1585" t="s">
        <v>276</v>
      </c>
      <c r="G1585" t="s">
        <v>277</v>
      </c>
      <c r="H1585">
        <v>26480</v>
      </c>
      <c r="I1585">
        <v>381178.87787070597</v>
      </c>
      <c r="J1585">
        <v>407658.87787070597</v>
      </c>
      <c r="K1585">
        <f>IFERROR(VLOOKUP(F1585,'LEAID Match'!$A$2:$B$236,2,FALSE),"")</f>
        <v>2306160</v>
      </c>
    </row>
    <row r="1586" spans="1:11" x14ac:dyDescent="0.2">
      <c r="A1586">
        <f t="shared" si="24"/>
        <v>2308940</v>
      </c>
      <c r="B1586">
        <v>2015</v>
      </c>
      <c r="C1586" t="s">
        <v>642</v>
      </c>
      <c r="D1586" t="s">
        <v>644</v>
      </c>
      <c r="E1586" t="s">
        <v>646</v>
      </c>
      <c r="F1586" t="s">
        <v>278</v>
      </c>
      <c r="G1586" t="s">
        <v>279</v>
      </c>
      <c r="H1586">
        <v>4524</v>
      </c>
      <c r="I1586">
        <v>86741.551367094522</v>
      </c>
      <c r="J1586">
        <v>91265.551367094522</v>
      </c>
      <c r="K1586">
        <f>IFERROR(VLOOKUP(F1586,'LEAID Match'!$A$2:$B$236,2,FALSE),"")</f>
        <v>2308940</v>
      </c>
    </row>
    <row r="1587" spans="1:11" x14ac:dyDescent="0.2">
      <c r="A1587">
        <f t="shared" si="24"/>
        <v>2308940</v>
      </c>
      <c r="B1587">
        <v>2016</v>
      </c>
      <c r="C1587" t="s">
        <v>642</v>
      </c>
      <c r="D1587" t="s">
        <v>644</v>
      </c>
      <c r="E1587" t="s">
        <v>646</v>
      </c>
      <c r="F1587" s="1" t="s">
        <v>278</v>
      </c>
      <c r="G1587" s="1" t="s">
        <v>279</v>
      </c>
      <c r="H1587" s="22">
        <v>4640</v>
      </c>
      <c r="I1587">
        <v>88181.354473441461</v>
      </c>
      <c r="J1587">
        <v>92821.354473441461</v>
      </c>
      <c r="K1587">
        <f>IFERROR(VLOOKUP(F1587,'LEAID Match'!$A$2:$B$236,2,FALSE),"")</f>
        <v>2308940</v>
      </c>
    </row>
    <row r="1588" spans="1:11" x14ac:dyDescent="0.2">
      <c r="A1588">
        <f t="shared" si="24"/>
        <v>2308940</v>
      </c>
      <c r="B1588">
        <v>2017</v>
      </c>
      <c r="C1588" t="s">
        <v>642</v>
      </c>
      <c r="D1588" t="s">
        <v>644</v>
      </c>
      <c r="E1588" t="s">
        <v>646</v>
      </c>
      <c r="F1588" t="s">
        <v>278</v>
      </c>
      <c r="G1588" t="s">
        <v>279</v>
      </c>
      <c r="H1588">
        <v>4332</v>
      </c>
      <c r="I1588">
        <v>82599.967845658102</v>
      </c>
      <c r="J1588">
        <v>86931.967845658102</v>
      </c>
      <c r="K1588">
        <f>IFERROR(VLOOKUP(F1588,'LEAID Match'!$A$2:$B$236,2,FALSE),"")</f>
        <v>2308940</v>
      </c>
    </row>
    <row r="1589" spans="1:11" x14ac:dyDescent="0.2">
      <c r="A1589">
        <f t="shared" si="24"/>
        <v>2308940</v>
      </c>
      <c r="B1589">
        <v>2018</v>
      </c>
      <c r="C1589" t="s">
        <v>642</v>
      </c>
      <c r="D1589" t="s">
        <v>644</v>
      </c>
      <c r="E1589" t="s">
        <v>646</v>
      </c>
      <c r="F1589" t="s">
        <v>278</v>
      </c>
      <c r="G1589" t="s">
        <v>279</v>
      </c>
      <c r="H1589">
        <v>4262</v>
      </c>
      <c r="I1589">
        <v>86387.73030036522</v>
      </c>
      <c r="J1589">
        <v>90649.73030036522</v>
      </c>
      <c r="K1589">
        <f>IFERROR(VLOOKUP(F1589,'LEAID Match'!$A$2:$B$236,2,FALSE),"")</f>
        <v>2308940</v>
      </c>
    </row>
    <row r="1590" spans="1:11" x14ac:dyDescent="0.2">
      <c r="A1590">
        <f t="shared" si="24"/>
        <v>2308940</v>
      </c>
      <c r="B1590">
        <v>2019</v>
      </c>
      <c r="C1590" t="s">
        <v>642</v>
      </c>
      <c r="D1590" t="s">
        <v>644</v>
      </c>
      <c r="E1590" t="s">
        <v>646</v>
      </c>
      <c r="F1590" t="s">
        <v>278</v>
      </c>
      <c r="G1590" t="s">
        <v>279</v>
      </c>
      <c r="H1590">
        <v>4215</v>
      </c>
      <c r="I1590">
        <v>90302.313437997756</v>
      </c>
      <c r="J1590">
        <v>94517.313437997756</v>
      </c>
      <c r="K1590">
        <f>IFERROR(VLOOKUP(F1590,'LEAID Match'!$A$2:$B$236,2,FALSE),"")</f>
        <v>2308940</v>
      </c>
    </row>
    <row r="1591" spans="1:11" x14ac:dyDescent="0.2">
      <c r="A1591">
        <f t="shared" si="24"/>
        <v>2308940</v>
      </c>
      <c r="B1591">
        <v>2020</v>
      </c>
      <c r="C1591" t="s">
        <v>642</v>
      </c>
      <c r="D1591" t="s">
        <v>644</v>
      </c>
      <c r="E1591" t="s">
        <v>646</v>
      </c>
      <c r="F1591" t="s">
        <v>278</v>
      </c>
      <c r="G1591" t="s">
        <v>279</v>
      </c>
      <c r="H1591">
        <v>5722</v>
      </c>
      <c r="I1591">
        <v>127497.18664145116</v>
      </c>
      <c r="J1591">
        <v>133219.18664145115</v>
      </c>
      <c r="K1591">
        <f>IFERROR(VLOOKUP(F1591,'LEAID Match'!$A$2:$B$236,2,FALSE),"")</f>
        <v>2308940</v>
      </c>
    </row>
    <row r="1592" spans="1:11" x14ac:dyDescent="0.2">
      <c r="A1592">
        <f t="shared" si="24"/>
        <v>2308940</v>
      </c>
      <c r="B1592">
        <v>2021</v>
      </c>
      <c r="C1592" t="s">
        <v>642</v>
      </c>
      <c r="D1592" t="s">
        <v>644</v>
      </c>
      <c r="E1592" t="s">
        <v>646</v>
      </c>
      <c r="F1592" t="s">
        <v>278</v>
      </c>
      <c r="G1592" t="s">
        <v>279</v>
      </c>
      <c r="H1592">
        <v>5480</v>
      </c>
      <c r="I1592">
        <v>92060.440281512565</v>
      </c>
      <c r="J1592">
        <v>97540.440281512565</v>
      </c>
      <c r="K1592">
        <f>IFERROR(VLOOKUP(F1592,'LEAID Match'!$A$2:$B$236,2,FALSE),"")</f>
        <v>2308940</v>
      </c>
    </row>
    <row r="1593" spans="1:11" x14ac:dyDescent="0.2">
      <c r="A1593">
        <f t="shared" si="24"/>
        <v>2308940</v>
      </c>
      <c r="B1593">
        <v>2022</v>
      </c>
      <c r="C1593" t="s">
        <v>642</v>
      </c>
      <c r="D1593" t="s">
        <v>644</v>
      </c>
      <c r="E1593" t="s">
        <v>646</v>
      </c>
      <c r="F1593" t="s">
        <v>278</v>
      </c>
      <c r="G1593" t="s">
        <v>279</v>
      </c>
      <c r="H1593">
        <v>9181</v>
      </c>
      <c r="I1593">
        <v>132160.24462730181</v>
      </c>
      <c r="J1593">
        <v>141341.24462730181</v>
      </c>
      <c r="K1593">
        <f>IFERROR(VLOOKUP(F1593,'LEAID Match'!$A$2:$B$236,2,FALSE),"")</f>
        <v>2308940</v>
      </c>
    </row>
    <row r="1594" spans="1:11" x14ac:dyDescent="0.2">
      <c r="A1594">
        <f t="shared" si="24"/>
        <v>2303600</v>
      </c>
      <c r="B1594">
        <v>2015</v>
      </c>
      <c r="C1594" t="s">
        <v>642</v>
      </c>
      <c r="D1594" t="s">
        <v>644</v>
      </c>
      <c r="E1594" t="s">
        <v>646</v>
      </c>
      <c r="F1594" t="s">
        <v>280</v>
      </c>
      <c r="G1594" t="s">
        <v>281</v>
      </c>
      <c r="H1594">
        <v>2752</v>
      </c>
      <c r="I1594">
        <v>52765.859717560597</v>
      </c>
      <c r="J1594">
        <v>55517.859717560597</v>
      </c>
      <c r="K1594">
        <f>IFERROR(VLOOKUP(F1594,'LEAID Match'!$A$2:$B$236,2,FALSE),"")</f>
        <v>2303600</v>
      </c>
    </row>
    <row r="1595" spans="1:11" x14ac:dyDescent="0.2">
      <c r="A1595">
        <f t="shared" si="24"/>
        <v>2303600</v>
      </c>
      <c r="B1595">
        <v>2016</v>
      </c>
      <c r="C1595" t="s">
        <v>642</v>
      </c>
      <c r="D1595" t="s">
        <v>644</v>
      </c>
      <c r="E1595" t="s">
        <v>646</v>
      </c>
      <c r="F1595" s="1" t="s">
        <v>280</v>
      </c>
      <c r="G1595" s="1" t="s">
        <v>281</v>
      </c>
      <c r="H1595" s="22">
        <v>3358</v>
      </c>
      <c r="I1595">
        <v>63817.454379701812</v>
      </c>
      <c r="J1595">
        <v>67175.454379701812</v>
      </c>
      <c r="K1595">
        <f>IFERROR(VLOOKUP(F1595,'LEAID Match'!$A$2:$B$236,2,FALSE),"")</f>
        <v>2303600</v>
      </c>
    </row>
    <row r="1596" spans="1:11" x14ac:dyDescent="0.2">
      <c r="A1596">
        <f t="shared" si="24"/>
        <v>2303600</v>
      </c>
      <c r="B1596">
        <v>2017</v>
      </c>
      <c r="C1596" t="s">
        <v>642</v>
      </c>
      <c r="D1596" t="s">
        <v>644</v>
      </c>
      <c r="E1596" t="s">
        <v>646</v>
      </c>
      <c r="F1596" t="s">
        <v>280</v>
      </c>
      <c r="G1596" t="s">
        <v>281</v>
      </c>
      <c r="H1596">
        <v>3324</v>
      </c>
      <c r="I1596">
        <v>63380.030729216895</v>
      </c>
      <c r="J1596">
        <v>66704.030729216902</v>
      </c>
      <c r="K1596">
        <f>IFERROR(VLOOKUP(F1596,'LEAID Match'!$A$2:$B$236,2,FALSE),"")</f>
        <v>2303600</v>
      </c>
    </row>
    <row r="1597" spans="1:11" x14ac:dyDescent="0.2">
      <c r="A1597">
        <f t="shared" si="24"/>
        <v>2303600</v>
      </c>
      <c r="B1597">
        <v>2018</v>
      </c>
      <c r="C1597" t="s">
        <v>642</v>
      </c>
      <c r="D1597" t="s">
        <v>644</v>
      </c>
      <c r="E1597" t="s">
        <v>646</v>
      </c>
      <c r="F1597" t="s">
        <v>280</v>
      </c>
      <c r="G1597" t="s">
        <v>281</v>
      </c>
      <c r="H1597">
        <v>8345</v>
      </c>
      <c r="I1597">
        <v>169147.25700529042</v>
      </c>
      <c r="J1597">
        <v>177492.25700529042</v>
      </c>
      <c r="K1597">
        <f>IFERROR(VLOOKUP(F1597,'LEAID Match'!$A$2:$B$236,2,FALSE),"")</f>
        <v>2303600</v>
      </c>
    </row>
    <row r="1598" spans="1:11" x14ac:dyDescent="0.2">
      <c r="A1598">
        <f t="shared" si="24"/>
        <v>2303600</v>
      </c>
      <c r="B1598">
        <v>2019</v>
      </c>
      <c r="C1598" t="s">
        <v>642</v>
      </c>
      <c r="D1598" t="s">
        <v>644</v>
      </c>
      <c r="E1598" t="s">
        <v>646</v>
      </c>
      <c r="F1598" t="s">
        <v>280</v>
      </c>
      <c r="G1598" t="s">
        <v>281</v>
      </c>
      <c r="H1598">
        <v>10010</v>
      </c>
      <c r="I1598">
        <v>214454.60439249291</v>
      </c>
      <c r="J1598">
        <v>224464.60439249291</v>
      </c>
      <c r="K1598">
        <f>IFERROR(VLOOKUP(F1598,'LEAID Match'!$A$2:$B$236,2,FALSE),"")</f>
        <v>2303600</v>
      </c>
    </row>
    <row r="1599" spans="1:11" x14ac:dyDescent="0.2">
      <c r="A1599">
        <f t="shared" si="24"/>
        <v>2303600</v>
      </c>
      <c r="B1599">
        <v>2020</v>
      </c>
      <c r="C1599" t="s">
        <v>642</v>
      </c>
      <c r="D1599" t="s">
        <v>644</v>
      </c>
      <c r="E1599" t="s">
        <v>646</v>
      </c>
      <c r="F1599" t="s">
        <v>280</v>
      </c>
      <c r="G1599" t="s">
        <v>281</v>
      </c>
      <c r="H1599">
        <v>14034</v>
      </c>
      <c r="I1599">
        <v>312704.56437017227</v>
      </c>
      <c r="J1599">
        <v>326738.56437017227</v>
      </c>
      <c r="K1599">
        <f>IFERROR(VLOOKUP(F1599,'LEAID Match'!$A$2:$B$236,2,FALSE),"")</f>
        <v>2303600</v>
      </c>
    </row>
    <row r="1600" spans="1:11" x14ac:dyDescent="0.2">
      <c r="A1600">
        <f t="shared" si="24"/>
        <v>2303600</v>
      </c>
      <c r="B1600">
        <v>2021</v>
      </c>
      <c r="C1600" t="s">
        <v>642</v>
      </c>
      <c r="D1600" t="s">
        <v>644</v>
      </c>
      <c r="E1600" t="s">
        <v>646</v>
      </c>
      <c r="F1600" t="s">
        <v>280</v>
      </c>
      <c r="G1600" t="s">
        <v>281</v>
      </c>
      <c r="H1600">
        <v>14547</v>
      </c>
      <c r="I1600">
        <v>244380.15050641663</v>
      </c>
      <c r="J1600">
        <v>258927.15050641663</v>
      </c>
      <c r="K1600">
        <f>IFERROR(VLOOKUP(F1600,'LEAID Match'!$A$2:$B$236,2,FALSE),"")</f>
        <v>2303600</v>
      </c>
    </row>
    <row r="1601" spans="1:11" x14ac:dyDescent="0.2">
      <c r="A1601">
        <f t="shared" si="24"/>
        <v>2303600</v>
      </c>
      <c r="B1601">
        <v>2022</v>
      </c>
      <c r="C1601" t="s">
        <v>642</v>
      </c>
      <c r="D1601" t="s">
        <v>644</v>
      </c>
      <c r="E1601" t="s">
        <v>646</v>
      </c>
      <c r="F1601" t="s">
        <v>280</v>
      </c>
      <c r="G1601" t="s">
        <v>281</v>
      </c>
      <c r="H1601">
        <v>13784</v>
      </c>
      <c r="I1601">
        <v>198420.30410006843</v>
      </c>
      <c r="J1601">
        <v>212204.30410006843</v>
      </c>
      <c r="K1601">
        <f>IFERROR(VLOOKUP(F1601,'LEAID Match'!$A$2:$B$236,2,FALSE),"")</f>
        <v>2303600</v>
      </c>
    </row>
    <row r="1602" spans="1:11" x14ac:dyDescent="0.2">
      <c r="A1602">
        <f t="shared" si="24"/>
        <v>2312300</v>
      </c>
      <c r="B1602">
        <v>2015</v>
      </c>
      <c r="C1602" t="s">
        <v>642</v>
      </c>
      <c r="D1602" t="s">
        <v>644</v>
      </c>
      <c r="E1602" t="s">
        <v>646</v>
      </c>
      <c r="F1602" t="s">
        <v>282</v>
      </c>
      <c r="G1602" t="s">
        <v>283</v>
      </c>
      <c r="H1602">
        <v>985</v>
      </c>
      <c r="I1602">
        <v>18886.036272455374</v>
      </c>
      <c r="J1602">
        <v>19871.036272455374</v>
      </c>
      <c r="K1602">
        <f>IFERROR(VLOOKUP(F1602,'LEAID Match'!$A$2:$B$236,2,FALSE),"")</f>
        <v>2312300</v>
      </c>
    </row>
    <row r="1603" spans="1:11" x14ac:dyDescent="0.2">
      <c r="A1603">
        <f t="shared" ref="A1603:A1666" si="25">K1603</f>
        <v>2312300</v>
      </c>
      <c r="B1603">
        <v>2016</v>
      </c>
      <c r="C1603" t="s">
        <v>642</v>
      </c>
      <c r="D1603" t="s">
        <v>644</v>
      </c>
      <c r="E1603" t="s">
        <v>646</v>
      </c>
      <c r="F1603" s="1" t="s">
        <v>282</v>
      </c>
      <c r="G1603" s="1" t="s">
        <v>283</v>
      </c>
      <c r="H1603" s="22">
        <v>851</v>
      </c>
      <c r="I1603">
        <v>16172.916520883335</v>
      </c>
      <c r="J1603">
        <v>17023.916520883336</v>
      </c>
      <c r="K1603">
        <f>IFERROR(VLOOKUP(F1603,'LEAID Match'!$A$2:$B$236,2,FALSE),"")</f>
        <v>2312300</v>
      </c>
    </row>
    <row r="1604" spans="1:11" x14ac:dyDescent="0.2">
      <c r="A1604">
        <f t="shared" si="25"/>
        <v>2312300</v>
      </c>
      <c r="B1604">
        <v>2017</v>
      </c>
      <c r="C1604" t="s">
        <v>642</v>
      </c>
      <c r="D1604" t="s">
        <v>644</v>
      </c>
      <c r="E1604" t="s">
        <v>646</v>
      </c>
      <c r="F1604" t="s">
        <v>282</v>
      </c>
      <c r="G1604" t="s">
        <v>283</v>
      </c>
      <c r="H1604">
        <v>743</v>
      </c>
      <c r="I1604">
        <v>14167.07666420221</v>
      </c>
      <c r="J1604">
        <v>14910.07666420221</v>
      </c>
      <c r="K1604">
        <f>IFERROR(VLOOKUP(F1604,'LEAID Match'!$A$2:$B$236,2,FALSE),"")</f>
        <v>2312300</v>
      </c>
    </row>
    <row r="1605" spans="1:11" x14ac:dyDescent="0.2">
      <c r="A1605">
        <f t="shared" si="25"/>
        <v>2312300</v>
      </c>
      <c r="B1605">
        <v>2018</v>
      </c>
      <c r="C1605" t="s">
        <v>642</v>
      </c>
      <c r="D1605" t="s">
        <v>644</v>
      </c>
      <c r="E1605" t="s">
        <v>646</v>
      </c>
      <c r="F1605" t="s">
        <v>282</v>
      </c>
      <c r="G1605" t="s">
        <v>283</v>
      </c>
      <c r="H1605">
        <v>1226</v>
      </c>
      <c r="I1605">
        <v>24850.154234689755</v>
      </c>
      <c r="J1605">
        <v>26076.154234689755</v>
      </c>
      <c r="K1605">
        <f>IFERROR(VLOOKUP(F1605,'LEAID Match'!$A$2:$B$236,2,FALSE),"")</f>
        <v>2312300</v>
      </c>
    </row>
    <row r="1606" spans="1:11" x14ac:dyDescent="0.2">
      <c r="A1606">
        <f t="shared" si="25"/>
        <v>2312300</v>
      </c>
      <c r="B1606">
        <v>2019</v>
      </c>
      <c r="C1606" t="s">
        <v>642</v>
      </c>
      <c r="D1606" t="s">
        <v>644</v>
      </c>
      <c r="E1606" t="s">
        <v>646</v>
      </c>
      <c r="F1606" t="s">
        <v>282</v>
      </c>
      <c r="G1606" t="s">
        <v>283</v>
      </c>
      <c r="H1606">
        <v>906</v>
      </c>
      <c r="I1606">
        <v>19410.176980978882</v>
      </c>
      <c r="J1606">
        <v>20316.176980978882</v>
      </c>
      <c r="K1606">
        <f>IFERROR(VLOOKUP(F1606,'LEAID Match'!$A$2:$B$236,2,FALSE),"")</f>
        <v>2312300</v>
      </c>
    </row>
    <row r="1607" spans="1:11" x14ac:dyDescent="0.2">
      <c r="A1607">
        <f t="shared" si="25"/>
        <v>2312300</v>
      </c>
      <c r="B1607">
        <v>2020</v>
      </c>
      <c r="C1607" t="s">
        <v>642</v>
      </c>
      <c r="D1607" t="s">
        <v>644</v>
      </c>
      <c r="E1607" t="s">
        <v>646</v>
      </c>
      <c r="F1607" t="s">
        <v>282</v>
      </c>
      <c r="G1607" t="s">
        <v>283</v>
      </c>
      <c r="H1607">
        <v>1370</v>
      </c>
      <c r="I1607">
        <v>30526.240073189114</v>
      </c>
      <c r="J1607">
        <v>31896.240073189114</v>
      </c>
      <c r="K1607">
        <f>IFERROR(VLOOKUP(F1607,'LEAID Match'!$A$2:$B$236,2,FALSE),"")</f>
        <v>2312300</v>
      </c>
    </row>
    <row r="1608" spans="1:11" x14ac:dyDescent="0.2">
      <c r="A1608">
        <f t="shared" si="25"/>
        <v>2312300</v>
      </c>
      <c r="B1608">
        <v>2021</v>
      </c>
      <c r="C1608" t="s">
        <v>642</v>
      </c>
      <c r="D1608" t="s">
        <v>644</v>
      </c>
      <c r="E1608" t="s">
        <v>646</v>
      </c>
      <c r="F1608" t="s">
        <v>282</v>
      </c>
      <c r="G1608" t="s">
        <v>283</v>
      </c>
      <c r="H1608">
        <v>2475</v>
      </c>
      <c r="I1608">
        <v>41578.392280427659</v>
      </c>
      <c r="J1608">
        <v>44053.392280427659</v>
      </c>
      <c r="K1608">
        <f>IFERROR(VLOOKUP(F1608,'LEAID Match'!$A$2:$B$236,2,FALSE),"")</f>
        <v>2312300</v>
      </c>
    </row>
    <row r="1609" spans="1:11" x14ac:dyDescent="0.2">
      <c r="A1609">
        <f t="shared" si="25"/>
        <v>2312300</v>
      </c>
      <c r="B1609">
        <v>2022</v>
      </c>
      <c r="C1609" t="s">
        <v>642</v>
      </c>
      <c r="D1609" t="s">
        <v>644</v>
      </c>
      <c r="E1609" t="s">
        <v>646</v>
      </c>
      <c r="F1609" t="s">
        <v>282</v>
      </c>
      <c r="G1609" t="s">
        <v>283</v>
      </c>
      <c r="H1609">
        <v>5301</v>
      </c>
      <c r="I1609">
        <v>76307.750437787487</v>
      </c>
      <c r="J1609">
        <v>81608.750437787487</v>
      </c>
      <c r="K1609">
        <f>IFERROR(VLOOKUP(F1609,'LEAID Match'!$A$2:$B$236,2,FALSE),"")</f>
        <v>2312300</v>
      </c>
    </row>
    <row r="1610" spans="1:11" x14ac:dyDescent="0.2">
      <c r="A1610">
        <f t="shared" si="25"/>
        <v>2306870</v>
      </c>
      <c r="B1610">
        <v>2015</v>
      </c>
      <c r="C1610" t="s">
        <v>642</v>
      </c>
      <c r="D1610" t="s">
        <v>644</v>
      </c>
      <c r="E1610" t="s">
        <v>646</v>
      </c>
      <c r="F1610" t="s">
        <v>284</v>
      </c>
      <c r="G1610" t="s">
        <v>285</v>
      </c>
      <c r="H1610">
        <v>12961</v>
      </c>
      <c r="I1610">
        <v>248509.5595200955</v>
      </c>
      <c r="J1610">
        <v>261470.5595200955</v>
      </c>
      <c r="K1610">
        <f>IFERROR(VLOOKUP(F1610,'LEAID Match'!$A$2:$B$236,2,FALSE),"")</f>
        <v>2306870</v>
      </c>
    </row>
    <row r="1611" spans="1:11" x14ac:dyDescent="0.2">
      <c r="A1611">
        <f t="shared" si="25"/>
        <v>2306870</v>
      </c>
      <c r="B1611">
        <v>2016</v>
      </c>
      <c r="C1611" t="s">
        <v>642</v>
      </c>
      <c r="D1611" t="s">
        <v>644</v>
      </c>
      <c r="E1611" t="s">
        <v>646</v>
      </c>
      <c r="F1611" s="1" t="s">
        <v>284</v>
      </c>
      <c r="G1611" s="1" t="s">
        <v>285</v>
      </c>
      <c r="H1611" s="22">
        <v>11323</v>
      </c>
      <c r="I1611">
        <v>215189.11135835722</v>
      </c>
      <c r="J1611">
        <v>226512.11135835722</v>
      </c>
      <c r="K1611">
        <f>IFERROR(VLOOKUP(F1611,'LEAID Match'!$A$2:$B$236,2,FALSE),"")</f>
        <v>2306870</v>
      </c>
    </row>
    <row r="1612" spans="1:11" x14ac:dyDescent="0.2">
      <c r="A1612">
        <f t="shared" si="25"/>
        <v>2306870</v>
      </c>
      <c r="B1612">
        <v>2017</v>
      </c>
      <c r="C1612" t="s">
        <v>642</v>
      </c>
      <c r="D1612" t="s">
        <v>644</v>
      </c>
      <c r="E1612" t="s">
        <v>646</v>
      </c>
      <c r="F1612" t="s">
        <v>284</v>
      </c>
      <c r="G1612" t="s">
        <v>285</v>
      </c>
      <c r="H1612">
        <v>12205</v>
      </c>
      <c r="I1612">
        <v>232717.59177198919</v>
      </c>
      <c r="J1612">
        <v>244922.59177198919</v>
      </c>
      <c r="K1612">
        <f>IFERROR(VLOOKUP(F1612,'LEAID Match'!$A$2:$B$236,2,FALSE),"")</f>
        <v>2306870</v>
      </c>
    </row>
    <row r="1613" spans="1:11" x14ac:dyDescent="0.2">
      <c r="A1613">
        <f t="shared" si="25"/>
        <v>2306870</v>
      </c>
      <c r="B1613">
        <v>2018</v>
      </c>
      <c r="C1613" t="s">
        <v>642</v>
      </c>
      <c r="D1613" t="s">
        <v>644</v>
      </c>
      <c r="E1613" t="s">
        <v>646</v>
      </c>
      <c r="F1613" t="s">
        <v>284</v>
      </c>
      <c r="G1613" t="s">
        <v>285</v>
      </c>
      <c r="H1613">
        <v>11510</v>
      </c>
      <c r="I1613">
        <v>233299.57197494217</v>
      </c>
      <c r="J1613">
        <v>244809.57197494217</v>
      </c>
      <c r="K1613">
        <f>IFERROR(VLOOKUP(F1613,'LEAID Match'!$A$2:$B$236,2,FALSE),"")</f>
        <v>2306870</v>
      </c>
    </row>
    <row r="1614" spans="1:11" x14ac:dyDescent="0.2">
      <c r="A1614">
        <f t="shared" si="25"/>
        <v>2306870</v>
      </c>
      <c r="B1614">
        <v>2019</v>
      </c>
      <c r="C1614" t="s">
        <v>642</v>
      </c>
      <c r="D1614" t="s">
        <v>644</v>
      </c>
      <c r="E1614" t="s">
        <v>646</v>
      </c>
      <c r="F1614" t="s">
        <v>284</v>
      </c>
      <c r="G1614" t="s">
        <v>285</v>
      </c>
      <c r="H1614">
        <v>9158</v>
      </c>
      <c r="I1614">
        <v>196201.32537726776</v>
      </c>
      <c r="J1614">
        <v>205359.32537726776</v>
      </c>
      <c r="K1614">
        <f>IFERROR(VLOOKUP(F1614,'LEAID Match'!$A$2:$B$236,2,FALSE),"")</f>
        <v>2306870</v>
      </c>
    </row>
    <row r="1615" spans="1:11" x14ac:dyDescent="0.2">
      <c r="A1615">
        <f t="shared" si="25"/>
        <v>2306870</v>
      </c>
      <c r="B1615">
        <v>2020</v>
      </c>
      <c r="C1615" t="s">
        <v>642</v>
      </c>
      <c r="D1615" t="s">
        <v>644</v>
      </c>
      <c r="E1615" t="s">
        <v>646</v>
      </c>
      <c r="F1615" t="s">
        <v>284</v>
      </c>
      <c r="G1615" t="s">
        <v>285</v>
      </c>
      <c r="H1615">
        <v>12973</v>
      </c>
      <c r="I1615">
        <v>289063.43975874624</v>
      </c>
      <c r="J1615">
        <v>302036.43975874624</v>
      </c>
      <c r="K1615">
        <f>IFERROR(VLOOKUP(F1615,'LEAID Match'!$A$2:$B$236,2,FALSE),"")</f>
        <v>2306870</v>
      </c>
    </row>
    <row r="1616" spans="1:11" x14ac:dyDescent="0.2">
      <c r="A1616">
        <f t="shared" si="25"/>
        <v>2306870</v>
      </c>
      <c r="B1616">
        <v>2021</v>
      </c>
      <c r="C1616" t="s">
        <v>642</v>
      </c>
      <c r="D1616" t="s">
        <v>644</v>
      </c>
      <c r="E1616" t="s">
        <v>646</v>
      </c>
      <c r="F1616" t="s">
        <v>284</v>
      </c>
      <c r="G1616" t="s">
        <v>285</v>
      </c>
      <c r="H1616">
        <v>11777</v>
      </c>
      <c r="I1616">
        <v>197845.94985317031</v>
      </c>
      <c r="J1616">
        <v>209622.94985317031</v>
      </c>
      <c r="K1616">
        <f>IFERROR(VLOOKUP(F1616,'LEAID Match'!$A$2:$B$236,2,FALSE),"")</f>
        <v>2306870</v>
      </c>
    </row>
    <row r="1617" spans="1:11" x14ac:dyDescent="0.2">
      <c r="A1617">
        <f t="shared" si="25"/>
        <v>2306870</v>
      </c>
      <c r="B1617">
        <v>2022</v>
      </c>
      <c r="C1617" t="s">
        <v>642</v>
      </c>
      <c r="D1617" t="s">
        <v>644</v>
      </c>
      <c r="E1617" t="s">
        <v>646</v>
      </c>
      <c r="F1617" t="s">
        <v>284</v>
      </c>
      <c r="G1617" t="s">
        <v>285</v>
      </c>
      <c r="H1617">
        <v>14866</v>
      </c>
      <c r="I1617">
        <v>213995.66459312369</v>
      </c>
      <c r="J1617">
        <v>228861.66459312369</v>
      </c>
      <c r="K1617">
        <f>IFERROR(VLOOKUP(F1617,'LEAID Match'!$A$2:$B$236,2,FALSE),"")</f>
        <v>2306870</v>
      </c>
    </row>
    <row r="1618" spans="1:11" x14ac:dyDescent="0.2">
      <c r="A1618" t="str">
        <f t="shared" si="25"/>
        <v/>
      </c>
      <c r="B1618">
        <v>2015</v>
      </c>
      <c r="C1618" t="s">
        <v>642</v>
      </c>
      <c r="D1618" t="s">
        <v>644</v>
      </c>
      <c r="E1618" t="s">
        <v>646</v>
      </c>
      <c r="F1618" t="s">
        <v>286</v>
      </c>
      <c r="G1618" t="s">
        <v>287</v>
      </c>
      <c r="I1618">
        <v>0</v>
      </c>
      <c r="J1618">
        <v>0</v>
      </c>
      <c r="K1618" t="str">
        <f>IFERROR(VLOOKUP(F1618,'LEAID Match'!$A$2:$B$236,2,FALSE),"")</f>
        <v/>
      </c>
    </row>
    <row r="1619" spans="1:11" x14ac:dyDescent="0.2">
      <c r="A1619" t="str">
        <f t="shared" si="25"/>
        <v/>
      </c>
      <c r="B1619">
        <v>2016</v>
      </c>
      <c r="C1619" t="s">
        <v>642</v>
      </c>
      <c r="D1619" t="s">
        <v>644</v>
      </c>
      <c r="E1619" t="s">
        <v>646</v>
      </c>
      <c r="F1619" s="1" t="s">
        <v>286</v>
      </c>
      <c r="G1619" s="1" t="s">
        <v>287</v>
      </c>
      <c r="H1619" s="22"/>
      <c r="I1619">
        <v>0</v>
      </c>
      <c r="J1619">
        <v>0</v>
      </c>
      <c r="K1619" t="str">
        <f>IFERROR(VLOOKUP(F1619,'LEAID Match'!$A$2:$B$236,2,FALSE),"")</f>
        <v/>
      </c>
    </row>
    <row r="1620" spans="1:11" x14ac:dyDescent="0.2">
      <c r="A1620" t="str">
        <f t="shared" si="25"/>
        <v/>
      </c>
      <c r="B1620">
        <v>2017</v>
      </c>
      <c r="C1620" t="s">
        <v>642</v>
      </c>
      <c r="D1620" t="s">
        <v>644</v>
      </c>
      <c r="E1620" t="s">
        <v>646</v>
      </c>
      <c r="F1620" t="s">
        <v>286</v>
      </c>
      <c r="G1620" t="s">
        <v>287</v>
      </c>
      <c r="I1620">
        <v>0</v>
      </c>
      <c r="J1620">
        <v>0</v>
      </c>
      <c r="K1620" t="str">
        <f>IFERROR(VLOOKUP(F1620,'LEAID Match'!$A$2:$B$236,2,FALSE),"")</f>
        <v/>
      </c>
    </row>
    <row r="1621" spans="1:11" x14ac:dyDescent="0.2">
      <c r="A1621" t="str">
        <f t="shared" si="25"/>
        <v/>
      </c>
      <c r="B1621">
        <v>2018</v>
      </c>
      <c r="C1621" t="s">
        <v>642</v>
      </c>
      <c r="D1621" t="s">
        <v>644</v>
      </c>
      <c r="E1621" t="s">
        <v>646</v>
      </c>
      <c r="F1621" t="s">
        <v>286</v>
      </c>
      <c r="G1621" t="s">
        <v>287</v>
      </c>
      <c r="I1621">
        <v>0</v>
      </c>
      <c r="J1621">
        <v>0</v>
      </c>
      <c r="K1621" t="str">
        <f>IFERROR(VLOOKUP(F1621,'LEAID Match'!$A$2:$B$236,2,FALSE),"")</f>
        <v/>
      </c>
    </row>
    <row r="1622" spans="1:11" x14ac:dyDescent="0.2">
      <c r="A1622" t="str">
        <f t="shared" si="25"/>
        <v/>
      </c>
      <c r="B1622">
        <v>2019</v>
      </c>
      <c r="C1622" t="s">
        <v>642</v>
      </c>
      <c r="D1622" t="s">
        <v>644</v>
      </c>
      <c r="E1622" t="s">
        <v>646</v>
      </c>
      <c r="F1622" t="s">
        <v>286</v>
      </c>
      <c r="G1622" t="s">
        <v>287</v>
      </c>
      <c r="I1622">
        <v>0</v>
      </c>
      <c r="J1622">
        <v>0</v>
      </c>
      <c r="K1622" t="str">
        <f>IFERROR(VLOOKUP(F1622,'LEAID Match'!$A$2:$B$236,2,FALSE),"")</f>
        <v/>
      </c>
    </row>
    <row r="1623" spans="1:11" x14ac:dyDescent="0.2">
      <c r="A1623" t="str">
        <f t="shared" si="25"/>
        <v/>
      </c>
      <c r="B1623">
        <v>2020</v>
      </c>
      <c r="C1623" t="s">
        <v>642</v>
      </c>
      <c r="D1623" t="s">
        <v>644</v>
      </c>
      <c r="E1623" t="s">
        <v>646</v>
      </c>
      <c r="F1623" t="s">
        <v>286</v>
      </c>
      <c r="G1623" t="s">
        <v>287</v>
      </c>
      <c r="I1623">
        <v>0</v>
      </c>
      <c r="J1623">
        <v>0</v>
      </c>
      <c r="K1623" t="str">
        <f>IFERROR(VLOOKUP(F1623,'LEAID Match'!$A$2:$B$236,2,FALSE),"")</f>
        <v/>
      </c>
    </row>
    <row r="1624" spans="1:11" x14ac:dyDescent="0.2">
      <c r="A1624" t="str">
        <f t="shared" si="25"/>
        <v/>
      </c>
      <c r="B1624">
        <v>2021</v>
      </c>
      <c r="C1624" t="s">
        <v>642</v>
      </c>
      <c r="D1624" t="s">
        <v>644</v>
      </c>
      <c r="E1624" t="s">
        <v>646</v>
      </c>
      <c r="F1624" t="s">
        <v>286</v>
      </c>
      <c r="G1624" t="s">
        <v>287</v>
      </c>
      <c r="I1624">
        <v>0</v>
      </c>
      <c r="J1624">
        <v>0</v>
      </c>
      <c r="K1624" t="str">
        <f>IFERROR(VLOOKUP(F1624,'LEAID Match'!$A$2:$B$236,2,FALSE),"")</f>
        <v/>
      </c>
    </row>
    <row r="1625" spans="1:11" x14ac:dyDescent="0.2">
      <c r="A1625" t="str">
        <f t="shared" si="25"/>
        <v/>
      </c>
      <c r="B1625">
        <v>2022</v>
      </c>
      <c r="C1625" t="s">
        <v>642</v>
      </c>
      <c r="D1625" t="s">
        <v>644</v>
      </c>
      <c r="E1625" t="s">
        <v>646</v>
      </c>
      <c r="F1625" t="s">
        <v>286</v>
      </c>
      <c r="G1625" t="s">
        <v>287</v>
      </c>
      <c r="I1625">
        <v>0</v>
      </c>
      <c r="J1625">
        <v>0</v>
      </c>
      <c r="K1625" t="str">
        <f>IFERROR(VLOOKUP(F1625,'LEAID Match'!$A$2:$B$236,2,FALSE),"")</f>
        <v/>
      </c>
    </row>
    <row r="1626" spans="1:11" x14ac:dyDescent="0.2">
      <c r="A1626">
        <f t="shared" si="25"/>
        <v>2314781</v>
      </c>
      <c r="B1626">
        <v>2015</v>
      </c>
      <c r="C1626" t="s">
        <v>642</v>
      </c>
      <c r="D1626" t="s">
        <v>644</v>
      </c>
      <c r="E1626" t="s">
        <v>646</v>
      </c>
      <c r="F1626" s="1" t="s">
        <v>601</v>
      </c>
      <c r="G1626" t="s">
        <v>289</v>
      </c>
      <c r="H1626">
        <v>73138</v>
      </c>
      <c r="I1626">
        <v>1402321.7471013614</v>
      </c>
      <c r="J1626">
        <v>1475459.7471013614</v>
      </c>
      <c r="K1626">
        <f>IFERROR(VLOOKUP(F1626,'LEAID Match'!$A$2:$B$236,2,FALSE),"")</f>
        <v>2314781</v>
      </c>
    </row>
    <row r="1627" spans="1:11" x14ac:dyDescent="0.2">
      <c r="A1627">
        <f t="shared" si="25"/>
        <v>2314781</v>
      </c>
      <c r="B1627">
        <v>2016</v>
      </c>
      <c r="C1627" t="s">
        <v>642</v>
      </c>
      <c r="D1627" t="s">
        <v>644</v>
      </c>
      <c r="E1627" t="s">
        <v>646</v>
      </c>
      <c r="F1627" s="1" t="s">
        <v>601</v>
      </c>
      <c r="G1627" s="1" t="s">
        <v>289</v>
      </c>
      <c r="H1627" s="22">
        <v>53854</v>
      </c>
      <c r="I1627">
        <v>1023473.849959637</v>
      </c>
      <c r="J1627">
        <v>1077327.849959637</v>
      </c>
      <c r="K1627">
        <f>IFERROR(VLOOKUP(F1627,'LEAID Match'!$A$2:$B$236,2,FALSE),"")</f>
        <v>2314781</v>
      </c>
    </row>
    <row r="1628" spans="1:11" x14ac:dyDescent="0.2">
      <c r="A1628">
        <f t="shared" si="25"/>
        <v>2314781</v>
      </c>
      <c r="B1628">
        <v>2017</v>
      </c>
      <c r="C1628" t="s">
        <v>642</v>
      </c>
      <c r="D1628" t="s">
        <v>644</v>
      </c>
      <c r="E1628" t="s">
        <v>646</v>
      </c>
      <c r="F1628" t="s">
        <v>601</v>
      </c>
      <c r="G1628" t="s">
        <v>289</v>
      </c>
      <c r="H1628">
        <v>52167</v>
      </c>
      <c r="I1628">
        <v>994688.94796963222</v>
      </c>
      <c r="J1628">
        <v>1046855.9479696322</v>
      </c>
      <c r="K1628">
        <f>IFERROR(VLOOKUP(F1628,'LEAID Match'!$A$2:$B$236,2,FALSE),"")</f>
        <v>2314781</v>
      </c>
    </row>
    <row r="1629" spans="1:11" x14ac:dyDescent="0.2">
      <c r="A1629">
        <f t="shared" si="25"/>
        <v>2314781</v>
      </c>
      <c r="B1629">
        <v>2018</v>
      </c>
      <c r="C1629" t="s">
        <v>642</v>
      </c>
      <c r="D1629" t="s">
        <v>644</v>
      </c>
      <c r="E1629" t="s">
        <v>646</v>
      </c>
      <c r="F1629" t="s">
        <v>601</v>
      </c>
      <c r="G1629" t="s">
        <v>289</v>
      </c>
      <c r="H1629">
        <v>58855</v>
      </c>
      <c r="I1629">
        <v>1192949.2883219135</v>
      </c>
      <c r="J1629">
        <v>1251804.2883219135</v>
      </c>
      <c r="K1629">
        <f>IFERROR(VLOOKUP(F1629,'LEAID Match'!$A$2:$B$236,2,FALSE),"")</f>
        <v>2314781</v>
      </c>
    </row>
    <row r="1630" spans="1:11" x14ac:dyDescent="0.2">
      <c r="A1630">
        <f t="shared" si="25"/>
        <v>2314781</v>
      </c>
      <c r="B1630">
        <v>2019</v>
      </c>
      <c r="C1630" t="s">
        <v>642</v>
      </c>
      <c r="D1630" t="s">
        <v>644</v>
      </c>
      <c r="E1630" t="s">
        <v>646</v>
      </c>
      <c r="F1630" t="s">
        <v>601</v>
      </c>
      <c r="G1630" t="s">
        <v>289</v>
      </c>
      <c r="H1630">
        <v>58674</v>
      </c>
      <c r="I1630">
        <v>1257033.9119006123</v>
      </c>
      <c r="J1630">
        <v>1315707.9119006123</v>
      </c>
      <c r="K1630">
        <f>IFERROR(VLOOKUP(F1630,'LEAID Match'!$A$2:$B$236,2,FALSE),"")</f>
        <v>2314781</v>
      </c>
    </row>
    <row r="1631" spans="1:11" x14ac:dyDescent="0.2">
      <c r="A1631">
        <f t="shared" si="25"/>
        <v>2314781</v>
      </c>
      <c r="B1631">
        <v>2020</v>
      </c>
      <c r="C1631" t="s">
        <v>642</v>
      </c>
      <c r="D1631" t="s">
        <v>644</v>
      </c>
      <c r="E1631" t="s">
        <v>646</v>
      </c>
      <c r="F1631" t="s">
        <v>601</v>
      </c>
      <c r="G1631" t="s">
        <v>289</v>
      </c>
      <c r="H1631">
        <v>83846</v>
      </c>
      <c r="I1631">
        <v>1868250.4563332952</v>
      </c>
      <c r="J1631">
        <v>1952096.4563332952</v>
      </c>
      <c r="K1631">
        <f>IFERROR(VLOOKUP(F1631,'LEAID Match'!$A$2:$B$236,2,FALSE),"")</f>
        <v>2314781</v>
      </c>
    </row>
    <row r="1632" spans="1:11" x14ac:dyDescent="0.2">
      <c r="A1632">
        <f t="shared" si="25"/>
        <v>2314781</v>
      </c>
      <c r="B1632">
        <v>2021</v>
      </c>
      <c r="C1632" t="s">
        <v>642</v>
      </c>
      <c r="D1632" t="s">
        <v>644</v>
      </c>
      <c r="E1632" t="s">
        <v>646</v>
      </c>
      <c r="F1632" t="s">
        <v>601</v>
      </c>
      <c r="G1632" t="s">
        <v>289</v>
      </c>
      <c r="H1632">
        <v>80057</v>
      </c>
      <c r="I1632">
        <v>1344905.5962804835</v>
      </c>
      <c r="J1632">
        <v>1424962.5962804835</v>
      </c>
      <c r="K1632">
        <f>IFERROR(VLOOKUP(F1632,'LEAID Match'!$A$2:$B$236,2,FALSE),"")</f>
        <v>2314781</v>
      </c>
    </row>
    <row r="1633" spans="1:11" x14ac:dyDescent="0.2">
      <c r="A1633">
        <f t="shared" si="25"/>
        <v>2314781</v>
      </c>
      <c r="B1633">
        <v>2022</v>
      </c>
      <c r="C1633" t="s">
        <v>642</v>
      </c>
      <c r="D1633" t="s">
        <v>644</v>
      </c>
      <c r="E1633" t="s">
        <v>646</v>
      </c>
      <c r="F1633" t="s">
        <v>601</v>
      </c>
      <c r="G1633" t="s">
        <v>289</v>
      </c>
      <c r="H1633">
        <v>102338</v>
      </c>
      <c r="I1633">
        <v>1473152.7191666281</v>
      </c>
      <c r="J1633">
        <v>1575490.7191666281</v>
      </c>
      <c r="K1633">
        <f>IFERROR(VLOOKUP(F1633,'LEAID Match'!$A$2:$B$236,2,FALSE),"")</f>
        <v>2314781</v>
      </c>
    </row>
    <row r="1634" spans="1:11" x14ac:dyDescent="0.2">
      <c r="A1634">
        <f t="shared" si="25"/>
        <v>2306330</v>
      </c>
      <c r="B1634">
        <v>2015</v>
      </c>
      <c r="C1634" t="s">
        <v>642</v>
      </c>
      <c r="D1634" t="s">
        <v>644</v>
      </c>
      <c r="E1634" t="s">
        <v>646</v>
      </c>
      <c r="F1634" t="s">
        <v>293</v>
      </c>
      <c r="G1634" t="s">
        <v>290</v>
      </c>
      <c r="H1634">
        <v>6.133</v>
      </c>
      <c r="I1634">
        <v>117.5919395522526</v>
      </c>
      <c r="J1634">
        <v>123.72493955225259</v>
      </c>
      <c r="K1634">
        <f>IFERROR(VLOOKUP(F1634,'LEAID Match'!$A$2:$B$236,2,FALSE),"")</f>
        <v>2306330</v>
      </c>
    </row>
    <row r="1635" spans="1:11" x14ac:dyDescent="0.2">
      <c r="A1635">
        <f t="shared" si="25"/>
        <v>2306330</v>
      </c>
      <c r="B1635">
        <v>2016</v>
      </c>
      <c r="C1635" t="s">
        <v>642</v>
      </c>
      <c r="D1635" t="s">
        <v>644</v>
      </c>
      <c r="E1635" t="s">
        <v>646</v>
      </c>
      <c r="F1635" s="1" t="s">
        <v>293</v>
      </c>
      <c r="G1635" s="1" t="s">
        <v>290</v>
      </c>
      <c r="H1635" s="22">
        <v>6900</v>
      </c>
      <c r="I1635">
        <v>131131.75557472976</v>
      </c>
      <c r="J1635">
        <v>138031.75557472976</v>
      </c>
      <c r="K1635">
        <f>IFERROR(VLOOKUP(F1635,'LEAID Match'!$A$2:$B$236,2,FALSE),"")</f>
        <v>2306330</v>
      </c>
    </row>
    <row r="1636" spans="1:11" x14ac:dyDescent="0.2">
      <c r="A1636">
        <f t="shared" si="25"/>
        <v>2306330</v>
      </c>
      <c r="B1636">
        <v>2017</v>
      </c>
      <c r="C1636" t="s">
        <v>642</v>
      </c>
      <c r="D1636" t="s">
        <v>644</v>
      </c>
      <c r="E1636" t="s">
        <v>646</v>
      </c>
      <c r="F1636" t="s">
        <v>293</v>
      </c>
      <c r="G1636" t="s">
        <v>290</v>
      </c>
      <c r="H1636">
        <v>6261</v>
      </c>
      <c r="I1636">
        <v>119380.97845837152</v>
      </c>
      <c r="J1636">
        <v>125641.97845837152</v>
      </c>
      <c r="K1636">
        <f>IFERROR(VLOOKUP(F1636,'LEAID Match'!$A$2:$B$236,2,FALSE),"")</f>
        <v>2306330</v>
      </c>
    </row>
    <row r="1637" spans="1:11" x14ac:dyDescent="0.2">
      <c r="A1637">
        <f t="shared" si="25"/>
        <v>2306330</v>
      </c>
      <c r="B1637">
        <v>2018</v>
      </c>
      <c r="C1637" t="s">
        <v>642</v>
      </c>
      <c r="D1637" t="s">
        <v>644</v>
      </c>
      <c r="E1637" t="s">
        <v>646</v>
      </c>
      <c r="F1637" t="s">
        <v>293</v>
      </c>
      <c r="G1637" t="s">
        <v>290</v>
      </c>
      <c r="H1637">
        <v>5226</v>
      </c>
      <c r="I1637">
        <v>105927.32955178522</v>
      </c>
      <c r="J1637">
        <v>111153.32955178522</v>
      </c>
      <c r="K1637">
        <f>IFERROR(VLOOKUP(F1637,'LEAID Match'!$A$2:$B$236,2,FALSE),"")</f>
        <v>2306330</v>
      </c>
    </row>
    <row r="1638" spans="1:11" x14ac:dyDescent="0.2">
      <c r="A1638">
        <f t="shared" si="25"/>
        <v>2306330</v>
      </c>
      <c r="B1638">
        <v>2019</v>
      </c>
      <c r="C1638" t="s">
        <v>642</v>
      </c>
      <c r="D1638" t="s">
        <v>644</v>
      </c>
      <c r="E1638" t="s">
        <v>646</v>
      </c>
      <c r="F1638" t="s">
        <v>293</v>
      </c>
      <c r="G1638" t="s">
        <v>290</v>
      </c>
      <c r="H1638">
        <v>5554</v>
      </c>
      <c r="I1638">
        <v>118989.09818140916</v>
      </c>
      <c r="J1638">
        <v>124543.09818140916</v>
      </c>
      <c r="K1638">
        <f>IFERROR(VLOOKUP(F1638,'LEAID Match'!$A$2:$B$236,2,FALSE),"")</f>
        <v>2306330</v>
      </c>
    </row>
    <row r="1639" spans="1:11" x14ac:dyDescent="0.2">
      <c r="A1639">
        <f t="shared" si="25"/>
        <v>2306330</v>
      </c>
      <c r="B1639">
        <v>2020</v>
      </c>
      <c r="C1639" t="s">
        <v>642</v>
      </c>
      <c r="D1639" t="s">
        <v>644</v>
      </c>
      <c r="E1639" t="s">
        <v>646</v>
      </c>
      <c r="F1639" t="s">
        <v>293</v>
      </c>
      <c r="G1639" t="s">
        <v>290</v>
      </c>
      <c r="H1639">
        <v>7423</v>
      </c>
      <c r="I1639">
        <v>165398.74457173925</v>
      </c>
      <c r="J1639">
        <v>172821.74457173925</v>
      </c>
      <c r="K1639">
        <f>IFERROR(VLOOKUP(F1639,'LEAID Match'!$A$2:$B$236,2,FALSE),"")</f>
        <v>2306330</v>
      </c>
    </row>
    <row r="1640" spans="1:11" x14ac:dyDescent="0.2">
      <c r="A1640">
        <f t="shared" si="25"/>
        <v>2306330</v>
      </c>
      <c r="B1640">
        <v>2021</v>
      </c>
      <c r="C1640" t="s">
        <v>642</v>
      </c>
      <c r="D1640" t="s">
        <v>644</v>
      </c>
      <c r="E1640" t="s">
        <v>646</v>
      </c>
      <c r="F1640" t="s">
        <v>293</v>
      </c>
      <c r="G1640" t="s">
        <v>290</v>
      </c>
      <c r="H1640">
        <v>6128</v>
      </c>
      <c r="I1640">
        <v>102946.41935129726</v>
      </c>
      <c r="J1640">
        <v>109074.41935129726</v>
      </c>
      <c r="K1640">
        <f>IFERROR(VLOOKUP(F1640,'LEAID Match'!$A$2:$B$236,2,FALSE),"")</f>
        <v>2306330</v>
      </c>
    </row>
    <row r="1641" spans="1:11" x14ac:dyDescent="0.2">
      <c r="A1641">
        <f t="shared" si="25"/>
        <v>2306330</v>
      </c>
      <c r="B1641">
        <v>2022</v>
      </c>
      <c r="C1641" t="s">
        <v>642</v>
      </c>
      <c r="D1641" t="s">
        <v>644</v>
      </c>
      <c r="E1641" t="s">
        <v>646</v>
      </c>
      <c r="F1641" t="s">
        <v>293</v>
      </c>
      <c r="G1641" t="s">
        <v>290</v>
      </c>
      <c r="H1641">
        <v>13317</v>
      </c>
      <c r="I1641">
        <v>191697.85183550575</v>
      </c>
      <c r="J1641">
        <v>205014.85183550575</v>
      </c>
      <c r="K1641">
        <f>IFERROR(VLOOKUP(F1641,'LEAID Match'!$A$2:$B$236,2,FALSE),"")</f>
        <v>2306330</v>
      </c>
    </row>
    <row r="1642" spans="1:11" x14ac:dyDescent="0.2">
      <c r="A1642" t="str">
        <f t="shared" si="25"/>
        <v/>
      </c>
      <c r="B1642">
        <v>2015</v>
      </c>
      <c r="C1642" t="s">
        <v>642</v>
      </c>
      <c r="D1642" t="s">
        <v>644</v>
      </c>
      <c r="E1642" t="s">
        <v>646</v>
      </c>
      <c r="F1642" t="s">
        <v>291</v>
      </c>
      <c r="G1642" t="s">
        <v>292</v>
      </c>
      <c r="I1642">
        <v>0</v>
      </c>
      <c r="J1642">
        <v>0</v>
      </c>
      <c r="K1642" t="str">
        <f>IFERROR(VLOOKUP(F1642,'LEAID Match'!$A$2:$B$236,2,FALSE),"")</f>
        <v/>
      </c>
    </row>
    <row r="1643" spans="1:11" x14ac:dyDescent="0.2">
      <c r="A1643" t="str">
        <f t="shared" si="25"/>
        <v/>
      </c>
      <c r="B1643">
        <v>2016</v>
      </c>
      <c r="C1643" t="s">
        <v>642</v>
      </c>
      <c r="D1643" t="s">
        <v>644</v>
      </c>
      <c r="E1643" t="s">
        <v>646</v>
      </c>
      <c r="F1643" s="1" t="s">
        <v>291</v>
      </c>
      <c r="G1643" s="1" t="s">
        <v>292</v>
      </c>
      <c r="H1643" s="22"/>
      <c r="I1643">
        <v>0</v>
      </c>
      <c r="J1643">
        <v>0</v>
      </c>
      <c r="K1643" t="str">
        <f>IFERROR(VLOOKUP(F1643,'LEAID Match'!$A$2:$B$236,2,FALSE),"")</f>
        <v/>
      </c>
    </row>
    <row r="1644" spans="1:11" x14ac:dyDescent="0.2">
      <c r="A1644" t="str">
        <f t="shared" si="25"/>
        <v/>
      </c>
      <c r="B1644">
        <v>2017</v>
      </c>
      <c r="C1644" t="s">
        <v>642</v>
      </c>
      <c r="D1644" t="s">
        <v>644</v>
      </c>
      <c r="E1644" t="s">
        <v>646</v>
      </c>
      <c r="F1644" t="s">
        <v>291</v>
      </c>
      <c r="G1644" t="s">
        <v>292</v>
      </c>
      <c r="I1644">
        <v>0</v>
      </c>
      <c r="J1644">
        <v>0</v>
      </c>
      <c r="K1644" t="str">
        <f>IFERROR(VLOOKUP(F1644,'LEAID Match'!$A$2:$B$236,2,FALSE),"")</f>
        <v/>
      </c>
    </row>
    <row r="1645" spans="1:11" x14ac:dyDescent="0.2">
      <c r="A1645" t="str">
        <f t="shared" si="25"/>
        <v/>
      </c>
      <c r="B1645">
        <v>2018</v>
      </c>
      <c r="C1645" t="s">
        <v>642</v>
      </c>
      <c r="D1645" t="s">
        <v>644</v>
      </c>
      <c r="E1645" t="s">
        <v>646</v>
      </c>
      <c r="F1645" t="s">
        <v>291</v>
      </c>
      <c r="G1645" t="s">
        <v>292</v>
      </c>
      <c r="I1645">
        <v>0</v>
      </c>
      <c r="J1645">
        <v>0</v>
      </c>
      <c r="K1645" t="str">
        <f>IFERROR(VLOOKUP(F1645,'LEAID Match'!$A$2:$B$236,2,FALSE),"")</f>
        <v/>
      </c>
    </row>
    <row r="1646" spans="1:11" x14ac:dyDescent="0.2">
      <c r="A1646" t="str">
        <f t="shared" si="25"/>
        <v/>
      </c>
      <c r="B1646">
        <v>2019</v>
      </c>
      <c r="C1646" t="s">
        <v>642</v>
      </c>
      <c r="D1646" t="s">
        <v>644</v>
      </c>
      <c r="E1646" t="s">
        <v>646</v>
      </c>
      <c r="F1646" t="s">
        <v>291</v>
      </c>
      <c r="G1646" t="s">
        <v>292</v>
      </c>
      <c r="I1646">
        <v>0</v>
      </c>
      <c r="J1646">
        <v>0</v>
      </c>
      <c r="K1646" t="str">
        <f>IFERROR(VLOOKUP(F1646,'LEAID Match'!$A$2:$B$236,2,FALSE),"")</f>
        <v/>
      </c>
    </row>
    <row r="1647" spans="1:11" x14ac:dyDescent="0.2">
      <c r="A1647" t="str">
        <f t="shared" si="25"/>
        <v/>
      </c>
      <c r="B1647">
        <v>2020</v>
      </c>
      <c r="C1647" t="s">
        <v>642</v>
      </c>
      <c r="D1647" t="s">
        <v>644</v>
      </c>
      <c r="E1647" t="s">
        <v>646</v>
      </c>
      <c r="F1647" t="s">
        <v>291</v>
      </c>
      <c r="G1647" t="s">
        <v>292</v>
      </c>
      <c r="I1647">
        <v>0</v>
      </c>
      <c r="J1647">
        <v>0</v>
      </c>
      <c r="K1647" t="str">
        <f>IFERROR(VLOOKUP(F1647,'LEAID Match'!$A$2:$B$236,2,FALSE),"")</f>
        <v/>
      </c>
    </row>
    <row r="1648" spans="1:11" x14ac:dyDescent="0.2">
      <c r="A1648" t="str">
        <f t="shared" si="25"/>
        <v/>
      </c>
      <c r="B1648">
        <v>2021</v>
      </c>
      <c r="C1648" t="s">
        <v>642</v>
      </c>
      <c r="D1648" t="s">
        <v>644</v>
      </c>
      <c r="E1648" t="s">
        <v>646</v>
      </c>
      <c r="F1648" t="s">
        <v>291</v>
      </c>
      <c r="G1648" t="s">
        <v>292</v>
      </c>
      <c r="I1648">
        <v>0</v>
      </c>
      <c r="J1648">
        <v>0</v>
      </c>
      <c r="K1648" t="str">
        <f>IFERROR(VLOOKUP(F1648,'LEAID Match'!$A$2:$B$236,2,FALSE),"")</f>
        <v/>
      </c>
    </row>
    <row r="1649" spans="1:11" x14ac:dyDescent="0.2">
      <c r="A1649" t="str">
        <f t="shared" si="25"/>
        <v/>
      </c>
      <c r="B1649">
        <v>2022</v>
      </c>
      <c r="C1649" t="s">
        <v>642</v>
      </c>
      <c r="D1649" t="s">
        <v>644</v>
      </c>
      <c r="E1649" t="s">
        <v>646</v>
      </c>
      <c r="F1649" t="s">
        <v>291</v>
      </c>
      <c r="G1649" t="s">
        <v>292</v>
      </c>
      <c r="I1649">
        <v>0</v>
      </c>
      <c r="J1649">
        <v>0</v>
      </c>
      <c r="K1649" t="str">
        <f>IFERROR(VLOOKUP(F1649,'LEAID Match'!$A$2:$B$236,2,FALSE),"")</f>
        <v/>
      </c>
    </row>
    <row r="1650" spans="1:11" x14ac:dyDescent="0.2">
      <c r="A1650">
        <f t="shared" si="25"/>
        <v>0</v>
      </c>
      <c r="B1650">
        <v>2015</v>
      </c>
      <c r="C1650" t="s">
        <v>642</v>
      </c>
      <c r="D1650" t="s">
        <v>644</v>
      </c>
      <c r="E1650" t="s">
        <v>646</v>
      </c>
      <c r="F1650" t="s">
        <v>602</v>
      </c>
      <c r="G1650" t="s">
        <v>294</v>
      </c>
      <c r="I1650">
        <v>0</v>
      </c>
      <c r="J1650">
        <v>0</v>
      </c>
      <c r="K1650">
        <f>IFERROR(VLOOKUP(F1650,'LEAID Match'!$A$2:$B$236,2,FALSE),"")</f>
        <v>0</v>
      </c>
    </row>
    <row r="1651" spans="1:11" x14ac:dyDescent="0.2">
      <c r="A1651">
        <f t="shared" si="25"/>
        <v>0</v>
      </c>
      <c r="B1651">
        <v>2016</v>
      </c>
      <c r="C1651" t="s">
        <v>642</v>
      </c>
      <c r="D1651" t="s">
        <v>644</v>
      </c>
      <c r="E1651" t="s">
        <v>646</v>
      </c>
      <c r="F1651" s="1" t="s">
        <v>602</v>
      </c>
      <c r="G1651" s="1" t="s">
        <v>294</v>
      </c>
      <c r="H1651" s="22"/>
      <c r="I1651">
        <v>0</v>
      </c>
      <c r="J1651">
        <v>0</v>
      </c>
      <c r="K1651">
        <f>IFERROR(VLOOKUP(F1651,'LEAID Match'!$A$2:$B$236,2,FALSE),"")</f>
        <v>0</v>
      </c>
    </row>
    <row r="1652" spans="1:11" x14ac:dyDescent="0.2">
      <c r="A1652">
        <f t="shared" si="25"/>
        <v>0</v>
      </c>
      <c r="B1652">
        <v>2017</v>
      </c>
      <c r="C1652" t="s">
        <v>642</v>
      </c>
      <c r="D1652" t="s">
        <v>644</v>
      </c>
      <c r="E1652" t="s">
        <v>646</v>
      </c>
      <c r="F1652" t="s">
        <v>602</v>
      </c>
      <c r="G1652" t="s">
        <v>294</v>
      </c>
      <c r="I1652">
        <v>0</v>
      </c>
      <c r="J1652">
        <v>0</v>
      </c>
      <c r="K1652">
        <f>IFERROR(VLOOKUP(F1652,'LEAID Match'!$A$2:$B$236,2,FALSE),"")</f>
        <v>0</v>
      </c>
    </row>
    <row r="1653" spans="1:11" x14ac:dyDescent="0.2">
      <c r="A1653">
        <f t="shared" si="25"/>
        <v>0</v>
      </c>
      <c r="B1653">
        <v>2018</v>
      </c>
      <c r="C1653" t="s">
        <v>642</v>
      </c>
      <c r="D1653" t="s">
        <v>644</v>
      </c>
      <c r="E1653" t="s">
        <v>646</v>
      </c>
      <c r="F1653" t="s">
        <v>602</v>
      </c>
      <c r="G1653" t="s">
        <v>294</v>
      </c>
      <c r="I1653">
        <v>0</v>
      </c>
      <c r="J1653">
        <v>0</v>
      </c>
      <c r="K1653">
        <f>IFERROR(VLOOKUP(F1653,'LEAID Match'!$A$2:$B$236,2,FALSE),"")</f>
        <v>0</v>
      </c>
    </row>
    <row r="1654" spans="1:11" x14ac:dyDescent="0.2">
      <c r="A1654">
        <f t="shared" si="25"/>
        <v>0</v>
      </c>
      <c r="B1654">
        <v>2019</v>
      </c>
      <c r="C1654" t="s">
        <v>642</v>
      </c>
      <c r="D1654" t="s">
        <v>644</v>
      </c>
      <c r="E1654" t="s">
        <v>646</v>
      </c>
      <c r="F1654" t="s">
        <v>602</v>
      </c>
      <c r="G1654" t="s">
        <v>294</v>
      </c>
      <c r="I1654">
        <v>0</v>
      </c>
      <c r="J1654">
        <v>0</v>
      </c>
      <c r="K1654">
        <f>IFERROR(VLOOKUP(F1654,'LEAID Match'!$A$2:$B$236,2,FALSE),"")</f>
        <v>0</v>
      </c>
    </row>
    <row r="1655" spans="1:11" x14ac:dyDescent="0.2">
      <c r="A1655">
        <f t="shared" si="25"/>
        <v>0</v>
      </c>
      <c r="B1655">
        <v>2020</v>
      </c>
      <c r="C1655" t="s">
        <v>642</v>
      </c>
      <c r="D1655" t="s">
        <v>644</v>
      </c>
      <c r="E1655" t="s">
        <v>646</v>
      </c>
      <c r="F1655" t="s">
        <v>602</v>
      </c>
      <c r="G1655" t="s">
        <v>294</v>
      </c>
      <c r="I1655">
        <v>0</v>
      </c>
      <c r="J1655">
        <v>0</v>
      </c>
      <c r="K1655">
        <f>IFERROR(VLOOKUP(F1655,'LEAID Match'!$A$2:$B$236,2,FALSE),"")</f>
        <v>0</v>
      </c>
    </row>
    <row r="1656" spans="1:11" x14ac:dyDescent="0.2">
      <c r="A1656">
        <f t="shared" si="25"/>
        <v>0</v>
      </c>
      <c r="B1656">
        <v>2021</v>
      </c>
      <c r="C1656" t="s">
        <v>642</v>
      </c>
      <c r="D1656" t="s">
        <v>644</v>
      </c>
      <c r="E1656" t="s">
        <v>646</v>
      </c>
      <c r="F1656" t="s">
        <v>602</v>
      </c>
      <c r="G1656" t="s">
        <v>294</v>
      </c>
      <c r="I1656">
        <v>0</v>
      </c>
      <c r="J1656">
        <v>0</v>
      </c>
      <c r="K1656">
        <f>IFERROR(VLOOKUP(F1656,'LEAID Match'!$A$2:$B$236,2,FALSE),"")</f>
        <v>0</v>
      </c>
    </row>
    <row r="1657" spans="1:11" x14ac:dyDescent="0.2">
      <c r="A1657">
        <f t="shared" si="25"/>
        <v>0</v>
      </c>
      <c r="B1657">
        <v>2022</v>
      </c>
      <c r="C1657" t="s">
        <v>642</v>
      </c>
      <c r="D1657" t="s">
        <v>644</v>
      </c>
      <c r="E1657" t="s">
        <v>646</v>
      </c>
      <c r="F1657" t="s">
        <v>602</v>
      </c>
      <c r="G1657" t="s">
        <v>294</v>
      </c>
      <c r="I1657">
        <v>0</v>
      </c>
      <c r="J1657">
        <v>0</v>
      </c>
      <c r="K1657">
        <f>IFERROR(VLOOKUP(F1657,'LEAID Match'!$A$2:$B$236,2,FALSE),"")</f>
        <v>0</v>
      </c>
    </row>
    <row r="1658" spans="1:11" x14ac:dyDescent="0.2">
      <c r="A1658">
        <f t="shared" si="25"/>
        <v>0</v>
      </c>
      <c r="B1658">
        <v>2015</v>
      </c>
      <c r="C1658" t="s">
        <v>642</v>
      </c>
      <c r="D1658" t="s">
        <v>644</v>
      </c>
      <c r="E1658" t="s">
        <v>646</v>
      </c>
      <c r="F1658" t="s">
        <v>295</v>
      </c>
      <c r="G1658" t="s">
        <v>296</v>
      </c>
      <c r="I1658">
        <v>0</v>
      </c>
      <c r="J1658">
        <v>0</v>
      </c>
      <c r="K1658">
        <f>IFERROR(VLOOKUP(F1658,'LEAID Match'!$A$2:$B$236,2,FALSE),"")</f>
        <v>0</v>
      </c>
    </row>
    <row r="1659" spans="1:11" x14ac:dyDescent="0.2">
      <c r="A1659">
        <f t="shared" si="25"/>
        <v>0</v>
      </c>
      <c r="B1659">
        <v>2016</v>
      </c>
      <c r="C1659" t="s">
        <v>642</v>
      </c>
      <c r="D1659" t="s">
        <v>644</v>
      </c>
      <c r="E1659" t="s">
        <v>646</v>
      </c>
      <c r="F1659" s="1" t="s">
        <v>603</v>
      </c>
      <c r="G1659" s="1" t="s">
        <v>296</v>
      </c>
      <c r="H1659" s="22"/>
      <c r="I1659">
        <v>0</v>
      </c>
      <c r="J1659">
        <v>0</v>
      </c>
      <c r="K1659">
        <f>IFERROR(VLOOKUP(F1659,'LEAID Match'!$A$2:$B$236,2,FALSE),"")</f>
        <v>0</v>
      </c>
    </row>
    <row r="1660" spans="1:11" x14ac:dyDescent="0.2">
      <c r="A1660">
        <f t="shared" si="25"/>
        <v>0</v>
      </c>
      <c r="B1660">
        <v>2017</v>
      </c>
      <c r="C1660" t="s">
        <v>642</v>
      </c>
      <c r="D1660" t="s">
        <v>644</v>
      </c>
      <c r="E1660" t="s">
        <v>646</v>
      </c>
      <c r="F1660" t="s">
        <v>603</v>
      </c>
      <c r="G1660" t="s">
        <v>296</v>
      </c>
      <c r="I1660">
        <v>0</v>
      </c>
      <c r="J1660">
        <v>0</v>
      </c>
      <c r="K1660">
        <f>IFERROR(VLOOKUP(F1660,'LEAID Match'!$A$2:$B$236,2,FALSE),"")</f>
        <v>0</v>
      </c>
    </row>
    <row r="1661" spans="1:11" x14ac:dyDescent="0.2">
      <c r="A1661">
        <f t="shared" si="25"/>
        <v>0</v>
      </c>
      <c r="B1661">
        <v>2018</v>
      </c>
      <c r="C1661" t="s">
        <v>642</v>
      </c>
      <c r="D1661" t="s">
        <v>644</v>
      </c>
      <c r="E1661" t="s">
        <v>646</v>
      </c>
      <c r="F1661" t="s">
        <v>603</v>
      </c>
      <c r="G1661" t="s">
        <v>296</v>
      </c>
      <c r="I1661">
        <v>0</v>
      </c>
      <c r="J1661">
        <v>0</v>
      </c>
      <c r="K1661">
        <f>IFERROR(VLOOKUP(F1661,'LEAID Match'!$A$2:$B$236,2,FALSE),"")</f>
        <v>0</v>
      </c>
    </row>
    <row r="1662" spans="1:11" x14ac:dyDescent="0.2">
      <c r="A1662">
        <f t="shared" si="25"/>
        <v>0</v>
      </c>
      <c r="B1662">
        <v>2019</v>
      </c>
      <c r="C1662" t="s">
        <v>642</v>
      </c>
      <c r="D1662" t="s">
        <v>644</v>
      </c>
      <c r="E1662" t="s">
        <v>646</v>
      </c>
      <c r="F1662" t="s">
        <v>603</v>
      </c>
      <c r="G1662" t="s">
        <v>296</v>
      </c>
      <c r="I1662">
        <v>0</v>
      </c>
      <c r="J1662">
        <v>0</v>
      </c>
      <c r="K1662">
        <f>IFERROR(VLOOKUP(F1662,'LEAID Match'!$A$2:$B$236,2,FALSE),"")</f>
        <v>0</v>
      </c>
    </row>
    <row r="1663" spans="1:11" x14ac:dyDescent="0.2">
      <c r="A1663">
        <f t="shared" si="25"/>
        <v>0</v>
      </c>
      <c r="B1663">
        <v>2020</v>
      </c>
      <c r="C1663" t="s">
        <v>642</v>
      </c>
      <c r="D1663" t="s">
        <v>644</v>
      </c>
      <c r="E1663" t="s">
        <v>646</v>
      </c>
      <c r="F1663" t="s">
        <v>603</v>
      </c>
      <c r="G1663" t="s">
        <v>296</v>
      </c>
      <c r="I1663">
        <v>0</v>
      </c>
      <c r="J1663">
        <v>0</v>
      </c>
      <c r="K1663">
        <f>IFERROR(VLOOKUP(F1663,'LEAID Match'!$A$2:$B$236,2,FALSE),"")</f>
        <v>0</v>
      </c>
    </row>
    <row r="1664" spans="1:11" x14ac:dyDescent="0.2">
      <c r="A1664">
        <f t="shared" si="25"/>
        <v>0</v>
      </c>
      <c r="B1664">
        <v>2021</v>
      </c>
      <c r="C1664" t="s">
        <v>642</v>
      </c>
      <c r="D1664" t="s">
        <v>644</v>
      </c>
      <c r="E1664" t="s">
        <v>646</v>
      </c>
      <c r="F1664" t="s">
        <v>603</v>
      </c>
      <c r="G1664" t="s">
        <v>296</v>
      </c>
      <c r="I1664">
        <v>0</v>
      </c>
      <c r="J1664">
        <v>0</v>
      </c>
      <c r="K1664">
        <f>IFERROR(VLOOKUP(F1664,'LEAID Match'!$A$2:$B$236,2,FALSE),"")</f>
        <v>0</v>
      </c>
    </row>
    <row r="1665" spans="1:11" x14ac:dyDescent="0.2">
      <c r="A1665">
        <f t="shared" si="25"/>
        <v>0</v>
      </c>
      <c r="B1665">
        <v>2022</v>
      </c>
      <c r="C1665" t="s">
        <v>642</v>
      </c>
      <c r="D1665" t="s">
        <v>644</v>
      </c>
      <c r="E1665" t="s">
        <v>646</v>
      </c>
      <c r="F1665" t="s">
        <v>603</v>
      </c>
      <c r="G1665" t="s">
        <v>296</v>
      </c>
      <c r="I1665">
        <v>0</v>
      </c>
      <c r="J1665">
        <v>0</v>
      </c>
      <c r="K1665">
        <f>IFERROR(VLOOKUP(F1665,'LEAID Match'!$A$2:$B$236,2,FALSE),"")</f>
        <v>0</v>
      </c>
    </row>
    <row r="1666" spans="1:11" x14ac:dyDescent="0.2">
      <c r="A1666" t="str">
        <f t="shared" si="25"/>
        <v/>
      </c>
      <c r="B1666">
        <v>2015</v>
      </c>
      <c r="C1666" t="s">
        <v>642</v>
      </c>
      <c r="D1666" t="s">
        <v>644</v>
      </c>
      <c r="E1666" t="s">
        <v>646</v>
      </c>
      <c r="F1666" t="s">
        <v>297</v>
      </c>
      <c r="G1666" t="s">
        <v>298</v>
      </c>
      <c r="I1666">
        <v>0</v>
      </c>
      <c r="J1666">
        <v>0</v>
      </c>
      <c r="K1666" t="str">
        <f>IFERROR(VLOOKUP(F1666,'LEAID Match'!$A$2:$B$236,2,FALSE),"")</f>
        <v/>
      </c>
    </row>
    <row r="1667" spans="1:11" x14ac:dyDescent="0.2">
      <c r="A1667" t="str">
        <f t="shared" ref="A1667:A1730" si="26">K1667</f>
        <v/>
      </c>
      <c r="B1667">
        <v>2016</v>
      </c>
      <c r="C1667" t="s">
        <v>642</v>
      </c>
      <c r="D1667" t="s">
        <v>644</v>
      </c>
      <c r="E1667" t="s">
        <v>646</v>
      </c>
      <c r="F1667" s="1" t="s">
        <v>297</v>
      </c>
      <c r="G1667" s="1" t="s">
        <v>298</v>
      </c>
      <c r="H1667" s="22"/>
      <c r="I1667">
        <v>0</v>
      </c>
      <c r="J1667">
        <v>0</v>
      </c>
      <c r="K1667" t="str">
        <f>IFERROR(VLOOKUP(F1667,'LEAID Match'!$A$2:$B$236,2,FALSE),"")</f>
        <v/>
      </c>
    </row>
    <row r="1668" spans="1:11" x14ac:dyDescent="0.2">
      <c r="A1668" t="str">
        <f t="shared" si="26"/>
        <v/>
      </c>
      <c r="B1668">
        <v>2017</v>
      </c>
      <c r="C1668" t="s">
        <v>642</v>
      </c>
      <c r="D1668" t="s">
        <v>644</v>
      </c>
      <c r="E1668" t="s">
        <v>646</v>
      </c>
      <c r="F1668" t="s">
        <v>297</v>
      </c>
      <c r="G1668" t="s">
        <v>298</v>
      </c>
      <c r="I1668">
        <v>0</v>
      </c>
      <c r="J1668">
        <v>0</v>
      </c>
      <c r="K1668" t="str">
        <f>IFERROR(VLOOKUP(F1668,'LEAID Match'!$A$2:$B$236,2,FALSE),"")</f>
        <v/>
      </c>
    </row>
    <row r="1669" spans="1:11" x14ac:dyDescent="0.2">
      <c r="A1669" t="str">
        <f t="shared" si="26"/>
        <v/>
      </c>
      <c r="B1669">
        <v>2018</v>
      </c>
      <c r="C1669" t="s">
        <v>642</v>
      </c>
      <c r="D1669" t="s">
        <v>644</v>
      </c>
      <c r="E1669" t="s">
        <v>646</v>
      </c>
      <c r="F1669" t="s">
        <v>297</v>
      </c>
      <c r="G1669" t="s">
        <v>298</v>
      </c>
      <c r="I1669">
        <v>0</v>
      </c>
      <c r="J1669">
        <v>0</v>
      </c>
      <c r="K1669" t="str">
        <f>IFERROR(VLOOKUP(F1669,'LEAID Match'!$A$2:$B$236,2,FALSE),"")</f>
        <v/>
      </c>
    </row>
    <row r="1670" spans="1:11" x14ac:dyDescent="0.2">
      <c r="A1670" t="str">
        <f t="shared" si="26"/>
        <v/>
      </c>
      <c r="B1670">
        <v>2019</v>
      </c>
      <c r="C1670" t="s">
        <v>642</v>
      </c>
      <c r="D1670" t="s">
        <v>644</v>
      </c>
      <c r="E1670" t="s">
        <v>646</v>
      </c>
      <c r="F1670" t="s">
        <v>297</v>
      </c>
      <c r="G1670" t="s">
        <v>298</v>
      </c>
      <c r="I1670">
        <v>0</v>
      </c>
      <c r="J1670">
        <v>0</v>
      </c>
      <c r="K1670" t="str">
        <f>IFERROR(VLOOKUP(F1670,'LEAID Match'!$A$2:$B$236,2,FALSE),"")</f>
        <v/>
      </c>
    </row>
    <row r="1671" spans="1:11" x14ac:dyDescent="0.2">
      <c r="A1671" t="str">
        <f t="shared" si="26"/>
        <v/>
      </c>
      <c r="B1671">
        <v>2020</v>
      </c>
      <c r="C1671" t="s">
        <v>642</v>
      </c>
      <c r="D1671" t="s">
        <v>644</v>
      </c>
      <c r="E1671" t="s">
        <v>646</v>
      </c>
      <c r="F1671" t="s">
        <v>297</v>
      </c>
      <c r="G1671" t="s">
        <v>298</v>
      </c>
      <c r="I1671">
        <v>0</v>
      </c>
      <c r="J1671">
        <v>0</v>
      </c>
      <c r="K1671" t="str">
        <f>IFERROR(VLOOKUP(F1671,'LEAID Match'!$A$2:$B$236,2,FALSE),"")</f>
        <v/>
      </c>
    </row>
    <row r="1672" spans="1:11" x14ac:dyDescent="0.2">
      <c r="A1672" t="str">
        <f t="shared" si="26"/>
        <v/>
      </c>
      <c r="B1672">
        <v>2021</v>
      </c>
      <c r="C1672" t="s">
        <v>642</v>
      </c>
      <c r="D1672" t="s">
        <v>644</v>
      </c>
      <c r="E1672" t="s">
        <v>646</v>
      </c>
      <c r="F1672" t="s">
        <v>297</v>
      </c>
      <c r="G1672" t="s">
        <v>298</v>
      </c>
      <c r="I1672">
        <v>0</v>
      </c>
      <c r="J1672">
        <v>0</v>
      </c>
      <c r="K1672" t="str">
        <f>IFERROR(VLOOKUP(F1672,'LEAID Match'!$A$2:$B$236,2,FALSE),"")</f>
        <v/>
      </c>
    </row>
    <row r="1673" spans="1:11" x14ac:dyDescent="0.2">
      <c r="A1673" t="str">
        <f t="shared" si="26"/>
        <v/>
      </c>
      <c r="B1673">
        <v>2022</v>
      </c>
      <c r="C1673" t="s">
        <v>642</v>
      </c>
      <c r="D1673" t="s">
        <v>644</v>
      </c>
      <c r="E1673" t="s">
        <v>646</v>
      </c>
      <c r="F1673" t="s">
        <v>297</v>
      </c>
      <c r="G1673" t="s">
        <v>298</v>
      </c>
      <c r="I1673">
        <v>0</v>
      </c>
      <c r="J1673">
        <v>0</v>
      </c>
      <c r="K1673" t="str">
        <f>IFERROR(VLOOKUP(F1673,'LEAID Match'!$A$2:$B$236,2,FALSE),"")</f>
        <v/>
      </c>
    </row>
    <row r="1674" spans="1:11" x14ac:dyDescent="0.2">
      <c r="A1674">
        <f t="shared" si="26"/>
        <v>2300065</v>
      </c>
      <c r="B1674">
        <v>2015</v>
      </c>
      <c r="C1674" t="s">
        <v>642</v>
      </c>
      <c r="D1674" t="s">
        <v>644</v>
      </c>
      <c r="E1674" t="s">
        <v>646</v>
      </c>
      <c r="F1674" t="s">
        <v>312</v>
      </c>
      <c r="G1674" t="s">
        <v>313</v>
      </c>
      <c r="H1674">
        <v>4026</v>
      </c>
      <c r="I1674">
        <v>77193.078205995262</v>
      </c>
      <c r="J1674">
        <v>81219.078205995262</v>
      </c>
      <c r="K1674">
        <f>IFERROR(VLOOKUP(F1674,'LEAID Match'!$A$2:$B$236,2,FALSE),"")</f>
        <v>2300065</v>
      </c>
    </row>
    <row r="1675" spans="1:11" x14ac:dyDescent="0.2">
      <c r="A1675">
        <f t="shared" si="26"/>
        <v>2300062</v>
      </c>
      <c r="B1675">
        <v>2015</v>
      </c>
      <c r="C1675" t="s">
        <v>642</v>
      </c>
      <c r="D1675" t="s">
        <v>644</v>
      </c>
      <c r="E1675" t="s">
        <v>646</v>
      </c>
      <c r="F1675" t="s">
        <v>299</v>
      </c>
      <c r="G1675" t="s">
        <v>300</v>
      </c>
      <c r="H1675">
        <v>11187</v>
      </c>
      <c r="I1675">
        <v>214495.52058879012</v>
      </c>
      <c r="J1675">
        <v>225682.52058879012</v>
      </c>
      <c r="K1675">
        <f>IFERROR(VLOOKUP(F1675,'LEAID Match'!$A$2:$B$236,2,FALSE),"")</f>
        <v>2300062</v>
      </c>
    </row>
    <row r="1676" spans="1:11" x14ac:dyDescent="0.2">
      <c r="A1676">
        <f t="shared" si="26"/>
        <v>2300062</v>
      </c>
      <c r="B1676">
        <v>2016</v>
      </c>
      <c r="C1676" t="s">
        <v>642</v>
      </c>
      <c r="D1676" t="s">
        <v>644</v>
      </c>
      <c r="E1676" t="s">
        <v>646</v>
      </c>
      <c r="F1676" s="1" t="s">
        <v>299</v>
      </c>
      <c r="G1676" s="1" t="s">
        <v>300</v>
      </c>
      <c r="H1676" s="22">
        <v>8672</v>
      </c>
      <c r="I1676">
        <v>164807.91077450092</v>
      </c>
      <c r="J1676">
        <v>173479.91077450092</v>
      </c>
      <c r="K1676">
        <f>IFERROR(VLOOKUP(F1676,'LEAID Match'!$A$2:$B$236,2,FALSE),"")</f>
        <v>2300062</v>
      </c>
    </row>
    <row r="1677" spans="1:11" x14ac:dyDescent="0.2">
      <c r="A1677">
        <f t="shared" si="26"/>
        <v>2300062</v>
      </c>
      <c r="B1677">
        <v>2017</v>
      </c>
      <c r="C1677" t="s">
        <v>642</v>
      </c>
      <c r="D1677" t="s">
        <v>644</v>
      </c>
      <c r="E1677" t="s">
        <v>646</v>
      </c>
      <c r="F1677" t="s">
        <v>299</v>
      </c>
      <c r="G1677" t="s">
        <v>300</v>
      </c>
      <c r="H1677">
        <v>8245</v>
      </c>
      <c r="I1677">
        <v>157210.69595739868</v>
      </c>
      <c r="J1677">
        <v>165455.69595739868</v>
      </c>
      <c r="K1677">
        <f>IFERROR(VLOOKUP(F1677,'LEAID Match'!$A$2:$B$236,2,FALSE),"")</f>
        <v>2300062</v>
      </c>
    </row>
    <row r="1678" spans="1:11" x14ac:dyDescent="0.2">
      <c r="A1678">
        <f t="shared" si="26"/>
        <v>2300062</v>
      </c>
      <c r="B1678">
        <v>2018</v>
      </c>
      <c r="C1678" t="s">
        <v>642</v>
      </c>
      <c r="D1678" t="s">
        <v>644</v>
      </c>
      <c r="E1678" t="s">
        <v>646</v>
      </c>
      <c r="F1678" t="s">
        <v>299</v>
      </c>
      <c r="G1678" t="s">
        <v>300</v>
      </c>
      <c r="H1678">
        <v>7697</v>
      </c>
      <c r="I1678">
        <v>156012.75460392091</v>
      </c>
      <c r="J1678">
        <v>163709.75460392091</v>
      </c>
      <c r="K1678">
        <f>IFERROR(VLOOKUP(F1678,'LEAID Match'!$A$2:$B$236,2,FALSE),"")</f>
        <v>2300062</v>
      </c>
    </row>
    <row r="1679" spans="1:11" x14ac:dyDescent="0.2">
      <c r="A1679">
        <f t="shared" si="26"/>
        <v>2300062</v>
      </c>
      <c r="B1679">
        <v>2019</v>
      </c>
      <c r="C1679" t="s">
        <v>642</v>
      </c>
      <c r="D1679" t="s">
        <v>644</v>
      </c>
      <c r="E1679" t="s">
        <v>646</v>
      </c>
      <c r="F1679" t="s">
        <v>299</v>
      </c>
      <c r="G1679" t="s">
        <v>300</v>
      </c>
      <c r="H1679">
        <v>12130</v>
      </c>
      <c r="I1679">
        <v>259873.56156652735</v>
      </c>
      <c r="J1679">
        <v>272003.56156652735</v>
      </c>
      <c r="K1679">
        <f>IFERROR(VLOOKUP(F1679,'LEAID Match'!$A$2:$B$236,2,FALSE),"")</f>
        <v>2300062</v>
      </c>
    </row>
    <row r="1680" spans="1:11" x14ac:dyDescent="0.2">
      <c r="A1680">
        <f t="shared" si="26"/>
        <v>2300062</v>
      </c>
      <c r="B1680">
        <v>2020</v>
      </c>
      <c r="C1680" t="s">
        <v>642</v>
      </c>
      <c r="D1680" t="s">
        <v>644</v>
      </c>
      <c r="E1680" t="s">
        <v>646</v>
      </c>
      <c r="F1680" t="s">
        <v>299</v>
      </c>
      <c r="G1680" t="s">
        <v>300</v>
      </c>
      <c r="H1680">
        <v>11655</v>
      </c>
      <c r="I1680">
        <v>259695.85989271468</v>
      </c>
      <c r="J1680">
        <v>271350.85989271465</v>
      </c>
      <c r="K1680">
        <f>IFERROR(VLOOKUP(F1680,'LEAID Match'!$A$2:$B$236,2,FALSE),"")</f>
        <v>2300062</v>
      </c>
    </row>
    <row r="1681" spans="1:11" x14ac:dyDescent="0.2">
      <c r="A1681">
        <f t="shared" si="26"/>
        <v>2300062</v>
      </c>
      <c r="B1681">
        <v>2021</v>
      </c>
      <c r="C1681" t="s">
        <v>642</v>
      </c>
      <c r="D1681" t="s">
        <v>644</v>
      </c>
      <c r="E1681" t="s">
        <v>646</v>
      </c>
      <c r="F1681" t="s">
        <v>299</v>
      </c>
      <c r="G1681" t="s">
        <v>300</v>
      </c>
      <c r="H1681">
        <v>13303</v>
      </c>
      <c r="I1681">
        <v>223481.75858849662</v>
      </c>
      <c r="J1681">
        <v>236784.75858849662</v>
      </c>
      <c r="K1681">
        <f>IFERROR(VLOOKUP(F1681,'LEAID Match'!$A$2:$B$236,2,FALSE),"")</f>
        <v>2300062</v>
      </c>
    </row>
    <row r="1682" spans="1:11" x14ac:dyDescent="0.2">
      <c r="A1682">
        <f t="shared" si="26"/>
        <v>2300062</v>
      </c>
      <c r="B1682">
        <v>2022</v>
      </c>
      <c r="C1682" t="s">
        <v>642</v>
      </c>
      <c r="D1682" t="s">
        <v>644</v>
      </c>
      <c r="E1682" t="s">
        <v>646</v>
      </c>
      <c r="F1682" t="s">
        <v>299</v>
      </c>
      <c r="G1682" t="s">
        <v>300</v>
      </c>
      <c r="H1682">
        <v>12342</v>
      </c>
      <c r="I1682">
        <v>177662.75342448088</v>
      </c>
      <c r="J1682">
        <v>190004.75342448088</v>
      </c>
      <c r="K1682">
        <f>IFERROR(VLOOKUP(F1682,'LEAID Match'!$A$2:$B$236,2,FALSE),"")</f>
        <v>2300062</v>
      </c>
    </row>
    <row r="1683" spans="1:11" x14ac:dyDescent="0.2">
      <c r="A1683">
        <f t="shared" si="26"/>
        <v>2306900</v>
      </c>
      <c r="B1683">
        <v>2015</v>
      </c>
      <c r="C1683" t="s">
        <v>642</v>
      </c>
      <c r="D1683" t="s">
        <v>644</v>
      </c>
      <c r="E1683" t="s">
        <v>646</v>
      </c>
      <c r="F1683" t="s">
        <v>301</v>
      </c>
      <c r="G1683" t="s">
        <v>302</v>
      </c>
      <c r="H1683">
        <v>2683</v>
      </c>
      <c r="I1683">
        <v>51442.878496444428</v>
      </c>
      <c r="J1683">
        <v>54125.878496444428</v>
      </c>
      <c r="K1683">
        <f>IFERROR(VLOOKUP(F1683,'LEAID Match'!$A$2:$B$236,2,FALSE),"")</f>
        <v>2306900</v>
      </c>
    </row>
    <row r="1684" spans="1:11" x14ac:dyDescent="0.2">
      <c r="A1684">
        <f t="shared" si="26"/>
        <v>2306900</v>
      </c>
      <c r="B1684">
        <v>2016</v>
      </c>
      <c r="C1684" t="s">
        <v>642</v>
      </c>
      <c r="D1684" t="s">
        <v>644</v>
      </c>
      <c r="E1684" t="s">
        <v>646</v>
      </c>
      <c r="F1684" s="1" t="s">
        <v>301</v>
      </c>
      <c r="G1684" s="1" t="s">
        <v>302</v>
      </c>
      <c r="H1684" s="22">
        <v>1854</v>
      </c>
      <c r="I1684">
        <v>35234.532584862165</v>
      </c>
      <c r="J1684">
        <v>37088.532584862165</v>
      </c>
      <c r="K1684">
        <f>IFERROR(VLOOKUP(F1684,'LEAID Match'!$A$2:$B$236,2,FALSE),"")</f>
        <v>2306900</v>
      </c>
    </row>
    <row r="1685" spans="1:11" x14ac:dyDescent="0.2">
      <c r="A1685">
        <f t="shared" si="26"/>
        <v>2306900</v>
      </c>
      <c r="B1685">
        <v>2017</v>
      </c>
      <c r="C1685" t="s">
        <v>642</v>
      </c>
      <c r="D1685" t="s">
        <v>644</v>
      </c>
      <c r="E1685" t="s">
        <v>646</v>
      </c>
      <c r="F1685" t="s">
        <v>301</v>
      </c>
      <c r="G1685" t="s">
        <v>302</v>
      </c>
      <c r="H1685">
        <v>1639</v>
      </c>
      <c r="I1685">
        <v>31251.465212149964</v>
      </c>
      <c r="J1685">
        <v>32890.465212149968</v>
      </c>
      <c r="K1685">
        <f>IFERROR(VLOOKUP(F1685,'LEAID Match'!$A$2:$B$236,2,FALSE),"")</f>
        <v>2306900</v>
      </c>
    </row>
    <row r="1686" spans="1:11" x14ac:dyDescent="0.2">
      <c r="A1686">
        <f t="shared" si="26"/>
        <v>2306900</v>
      </c>
      <c r="B1686">
        <v>2018</v>
      </c>
      <c r="C1686" t="s">
        <v>642</v>
      </c>
      <c r="D1686" t="s">
        <v>644</v>
      </c>
      <c r="E1686" t="s">
        <v>646</v>
      </c>
      <c r="F1686" t="s">
        <v>301</v>
      </c>
      <c r="G1686" t="s">
        <v>302</v>
      </c>
      <c r="H1686">
        <v>1915</v>
      </c>
      <c r="I1686">
        <v>38815.69768305945</v>
      </c>
      <c r="J1686">
        <v>40730.69768305945</v>
      </c>
      <c r="K1686">
        <f>IFERROR(VLOOKUP(F1686,'LEAID Match'!$A$2:$B$236,2,FALSE),"")</f>
        <v>2306900</v>
      </c>
    </row>
    <row r="1687" spans="1:11" x14ac:dyDescent="0.2">
      <c r="A1687">
        <f t="shared" si="26"/>
        <v>2306900</v>
      </c>
      <c r="B1687">
        <v>2019</v>
      </c>
      <c r="C1687" t="s">
        <v>642</v>
      </c>
      <c r="D1687" t="s">
        <v>644</v>
      </c>
      <c r="E1687" t="s">
        <v>646</v>
      </c>
      <c r="F1687" t="s">
        <v>301</v>
      </c>
      <c r="G1687" t="s">
        <v>302</v>
      </c>
      <c r="H1687">
        <v>1938</v>
      </c>
      <c r="I1687">
        <v>41519.782548716415</v>
      </c>
      <c r="J1687">
        <v>43457.782548716415</v>
      </c>
      <c r="K1687">
        <f>IFERROR(VLOOKUP(F1687,'LEAID Match'!$A$2:$B$236,2,FALSE),"")</f>
        <v>2306900</v>
      </c>
    </row>
    <row r="1688" spans="1:11" x14ac:dyDescent="0.2">
      <c r="A1688">
        <f t="shared" si="26"/>
        <v>2306900</v>
      </c>
      <c r="B1688">
        <v>2020</v>
      </c>
      <c r="C1688" t="s">
        <v>642</v>
      </c>
      <c r="D1688" t="s">
        <v>644</v>
      </c>
      <c r="E1688" t="s">
        <v>646</v>
      </c>
      <c r="F1688" t="s">
        <v>301</v>
      </c>
      <c r="G1688" t="s">
        <v>302</v>
      </c>
      <c r="H1688">
        <v>3406</v>
      </c>
      <c r="I1688">
        <v>75892.24356881906</v>
      </c>
      <c r="J1688">
        <v>79298.24356881906</v>
      </c>
      <c r="K1688">
        <f>IFERROR(VLOOKUP(F1688,'LEAID Match'!$A$2:$B$236,2,FALSE),"")</f>
        <v>2306900</v>
      </c>
    </row>
    <row r="1689" spans="1:11" x14ac:dyDescent="0.2">
      <c r="A1689">
        <f t="shared" si="26"/>
        <v>2306900</v>
      </c>
      <c r="B1689">
        <v>2021</v>
      </c>
      <c r="C1689" t="s">
        <v>642</v>
      </c>
      <c r="D1689" t="s">
        <v>644</v>
      </c>
      <c r="E1689" t="s">
        <v>646</v>
      </c>
      <c r="F1689" t="s">
        <v>301</v>
      </c>
      <c r="G1689" t="s">
        <v>302</v>
      </c>
      <c r="H1689">
        <v>3661</v>
      </c>
      <c r="I1689">
        <v>61502.42187420027</v>
      </c>
      <c r="J1689">
        <v>65163.42187420027</v>
      </c>
      <c r="K1689">
        <f>IFERROR(VLOOKUP(F1689,'LEAID Match'!$A$2:$B$236,2,FALSE),"")</f>
        <v>2306900</v>
      </c>
    </row>
    <row r="1690" spans="1:11" x14ac:dyDescent="0.2">
      <c r="A1690">
        <f t="shared" si="26"/>
        <v>2306900</v>
      </c>
      <c r="B1690">
        <v>2022</v>
      </c>
      <c r="C1690" t="s">
        <v>642</v>
      </c>
      <c r="D1690" t="s">
        <v>644</v>
      </c>
      <c r="E1690" t="s">
        <v>646</v>
      </c>
      <c r="F1690" t="s">
        <v>301</v>
      </c>
      <c r="G1690" t="s">
        <v>302</v>
      </c>
      <c r="H1690">
        <v>3610</v>
      </c>
      <c r="I1690">
        <v>51965.851552615139</v>
      </c>
      <c r="J1690">
        <v>55575.851552615139</v>
      </c>
      <c r="K1690">
        <f>IFERROR(VLOOKUP(F1690,'LEAID Match'!$A$2:$B$236,2,FALSE),"")</f>
        <v>2306900</v>
      </c>
    </row>
    <row r="1691" spans="1:11" x14ac:dyDescent="0.2">
      <c r="A1691">
        <f t="shared" si="26"/>
        <v>2307710</v>
      </c>
      <c r="B1691">
        <v>2015</v>
      </c>
      <c r="C1691" t="s">
        <v>642</v>
      </c>
      <c r="D1691" t="s">
        <v>644</v>
      </c>
      <c r="E1691" t="s">
        <v>646</v>
      </c>
      <c r="F1691" t="s">
        <v>303</v>
      </c>
      <c r="G1691" t="s">
        <v>304</v>
      </c>
      <c r="H1691">
        <v>21723</v>
      </c>
      <c r="I1691">
        <v>416509.0009609625</v>
      </c>
      <c r="J1691">
        <v>438232.0009609625</v>
      </c>
      <c r="K1691">
        <f>IFERROR(VLOOKUP(F1691,'LEAID Match'!$A$2:$B$236,2,FALSE),"")</f>
        <v>2307710</v>
      </c>
    </row>
    <row r="1692" spans="1:11" x14ac:dyDescent="0.2">
      <c r="A1692">
        <f t="shared" si="26"/>
        <v>2307710</v>
      </c>
      <c r="B1692">
        <v>2016</v>
      </c>
      <c r="C1692" t="s">
        <v>642</v>
      </c>
      <c r="D1692" t="s">
        <v>644</v>
      </c>
      <c r="E1692" t="s">
        <v>646</v>
      </c>
      <c r="F1692" s="1" t="s">
        <v>303</v>
      </c>
      <c r="G1692" s="1" t="s">
        <v>304</v>
      </c>
      <c r="H1692" s="22">
        <v>16169</v>
      </c>
      <c r="I1692">
        <v>307285.41389678337</v>
      </c>
      <c r="J1692">
        <v>323454.41389678337</v>
      </c>
      <c r="K1692">
        <f>IFERROR(VLOOKUP(F1692,'LEAID Match'!$A$2:$B$236,2,FALSE),"")</f>
        <v>2307710</v>
      </c>
    </row>
    <row r="1693" spans="1:11" x14ac:dyDescent="0.2">
      <c r="A1693">
        <f t="shared" si="26"/>
        <v>2307710</v>
      </c>
      <c r="B1693">
        <v>2017</v>
      </c>
      <c r="C1693" t="s">
        <v>642</v>
      </c>
      <c r="D1693" t="s">
        <v>644</v>
      </c>
      <c r="E1693" t="s">
        <v>646</v>
      </c>
      <c r="F1693" t="s">
        <v>303</v>
      </c>
      <c r="G1693" t="s">
        <v>304</v>
      </c>
      <c r="H1693">
        <v>21749</v>
      </c>
      <c r="I1693">
        <v>414696.83764432551</v>
      </c>
      <c r="J1693">
        <v>436445.83764432551</v>
      </c>
      <c r="K1693">
        <f>IFERROR(VLOOKUP(F1693,'LEAID Match'!$A$2:$B$236,2,FALSE),"")</f>
        <v>2307710</v>
      </c>
    </row>
    <row r="1694" spans="1:11" x14ac:dyDescent="0.2">
      <c r="A1694">
        <f t="shared" si="26"/>
        <v>2307710</v>
      </c>
      <c r="B1694">
        <v>2018</v>
      </c>
      <c r="C1694" t="s">
        <v>642</v>
      </c>
      <c r="D1694" t="s">
        <v>644</v>
      </c>
      <c r="E1694" t="s">
        <v>646</v>
      </c>
      <c r="F1694" t="s">
        <v>303</v>
      </c>
      <c r="G1694" t="s">
        <v>304</v>
      </c>
      <c r="H1694">
        <v>26339</v>
      </c>
      <c r="I1694">
        <v>533872.9301692443</v>
      </c>
      <c r="J1694">
        <v>560211.9301692443</v>
      </c>
      <c r="K1694">
        <f>IFERROR(VLOOKUP(F1694,'LEAID Match'!$A$2:$B$236,2,FALSE),"")</f>
        <v>2307710</v>
      </c>
    </row>
    <row r="1695" spans="1:11" x14ac:dyDescent="0.2">
      <c r="A1695">
        <f t="shared" si="26"/>
        <v>2307710</v>
      </c>
      <c r="B1695">
        <v>2019</v>
      </c>
      <c r="C1695" t="s">
        <v>642</v>
      </c>
      <c r="D1695" t="s">
        <v>644</v>
      </c>
      <c r="E1695" t="s">
        <v>646</v>
      </c>
      <c r="F1695" t="s">
        <v>303</v>
      </c>
      <c r="G1695" t="s">
        <v>304</v>
      </c>
      <c r="H1695">
        <v>25887</v>
      </c>
      <c r="I1695">
        <v>554604.03036048589</v>
      </c>
      <c r="J1695">
        <v>580491.03036048589</v>
      </c>
      <c r="K1695">
        <f>IFERROR(VLOOKUP(F1695,'LEAID Match'!$A$2:$B$236,2,FALSE),"")</f>
        <v>2307710</v>
      </c>
    </row>
    <row r="1696" spans="1:11" x14ac:dyDescent="0.2">
      <c r="A1696">
        <f t="shared" si="26"/>
        <v>2307710</v>
      </c>
      <c r="B1696">
        <v>2020</v>
      </c>
      <c r="C1696" t="s">
        <v>642</v>
      </c>
      <c r="D1696" t="s">
        <v>644</v>
      </c>
      <c r="E1696" t="s">
        <v>646</v>
      </c>
      <c r="F1696" t="s">
        <v>303</v>
      </c>
      <c r="G1696" t="s">
        <v>304</v>
      </c>
      <c r="H1696">
        <v>34460</v>
      </c>
      <c r="I1696">
        <v>767835.20651247946</v>
      </c>
      <c r="J1696">
        <v>802295.20651247946</v>
      </c>
      <c r="K1696">
        <f>IFERROR(VLOOKUP(F1696,'LEAID Match'!$A$2:$B$236,2,FALSE),"")</f>
        <v>2307710</v>
      </c>
    </row>
    <row r="1697" spans="1:11" x14ac:dyDescent="0.2">
      <c r="A1697">
        <f t="shared" si="26"/>
        <v>2307710</v>
      </c>
      <c r="B1697">
        <v>2021</v>
      </c>
      <c r="C1697" t="s">
        <v>642</v>
      </c>
      <c r="D1697" t="s">
        <v>644</v>
      </c>
      <c r="E1697" t="s">
        <v>646</v>
      </c>
      <c r="F1697" t="s">
        <v>303</v>
      </c>
      <c r="G1697" t="s">
        <v>304</v>
      </c>
      <c r="H1697">
        <v>47975</v>
      </c>
      <c r="I1697">
        <v>805948.83622364316</v>
      </c>
      <c r="J1697">
        <v>853923.83622364316</v>
      </c>
      <c r="K1697">
        <f>IFERROR(VLOOKUP(F1697,'LEAID Match'!$A$2:$B$236,2,FALSE),"")</f>
        <v>2307710</v>
      </c>
    </row>
    <row r="1698" spans="1:11" x14ac:dyDescent="0.2">
      <c r="A1698">
        <f t="shared" si="26"/>
        <v>2307710</v>
      </c>
      <c r="B1698">
        <v>2022</v>
      </c>
      <c r="C1698" t="s">
        <v>642</v>
      </c>
      <c r="D1698" t="s">
        <v>644</v>
      </c>
      <c r="E1698" t="s">
        <v>646</v>
      </c>
      <c r="F1698" t="s">
        <v>303</v>
      </c>
      <c r="G1698" t="s">
        <v>304</v>
      </c>
      <c r="H1698">
        <v>46055</v>
      </c>
      <c r="I1698">
        <v>662960.46904589748</v>
      </c>
      <c r="J1698">
        <v>709015.46904589748</v>
      </c>
      <c r="K1698">
        <f>IFERROR(VLOOKUP(F1698,'LEAID Match'!$A$2:$B$236,2,FALSE),"")</f>
        <v>2307710</v>
      </c>
    </row>
    <row r="1699" spans="1:11" x14ac:dyDescent="0.2">
      <c r="A1699">
        <f t="shared" si="26"/>
        <v>2307980</v>
      </c>
      <c r="B1699">
        <v>2016</v>
      </c>
      <c r="C1699" t="s">
        <v>642</v>
      </c>
      <c r="D1699" t="s">
        <v>644</v>
      </c>
      <c r="E1699" t="s">
        <v>646</v>
      </c>
      <c r="F1699" s="1" t="s">
        <v>305</v>
      </c>
      <c r="G1699" s="1" t="s">
        <v>604</v>
      </c>
      <c r="H1699" s="22"/>
      <c r="I1699">
        <v>0</v>
      </c>
      <c r="J1699">
        <v>0</v>
      </c>
      <c r="K1699">
        <f>IFERROR(VLOOKUP(F1699,'LEAID Match'!$A$2:$B$236,2,FALSE),"")</f>
        <v>2307980</v>
      </c>
    </row>
    <row r="1700" spans="1:11" x14ac:dyDescent="0.2">
      <c r="A1700">
        <f t="shared" si="26"/>
        <v>2307980</v>
      </c>
      <c r="B1700">
        <v>2017</v>
      </c>
      <c r="C1700" t="s">
        <v>642</v>
      </c>
      <c r="D1700" t="s">
        <v>644</v>
      </c>
      <c r="E1700" t="s">
        <v>646</v>
      </c>
      <c r="F1700" t="s">
        <v>305</v>
      </c>
      <c r="G1700" t="s">
        <v>604</v>
      </c>
      <c r="I1700">
        <v>0</v>
      </c>
      <c r="J1700">
        <v>0</v>
      </c>
      <c r="K1700">
        <f>IFERROR(VLOOKUP(F1700,'LEAID Match'!$A$2:$B$236,2,FALSE),"")</f>
        <v>2307980</v>
      </c>
    </row>
    <row r="1701" spans="1:11" x14ac:dyDescent="0.2">
      <c r="A1701">
        <f t="shared" si="26"/>
        <v>2307980</v>
      </c>
      <c r="B1701">
        <v>2018</v>
      </c>
      <c r="C1701" t="s">
        <v>642</v>
      </c>
      <c r="D1701" t="s">
        <v>644</v>
      </c>
      <c r="E1701" t="s">
        <v>646</v>
      </c>
      <c r="F1701" t="s">
        <v>305</v>
      </c>
      <c r="G1701" t="s">
        <v>604</v>
      </c>
      <c r="I1701">
        <v>0</v>
      </c>
      <c r="J1701">
        <v>0</v>
      </c>
      <c r="K1701">
        <f>IFERROR(VLOOKUP(F1701,'LEAID Match'!$A$2:$B$236,2,FALSE),"")</f>
        <v>2307980</v>
      </c>
    </row>
    <row r="1702" spans="1:11" x14ac:dyDescent="0.2">
      <c r="A1702">
        <f t="shared" si="26"/>
        <v>2307980</v>
      </c>
      <c r="B1702">
        <v>2019</v>
      </c>
      <c r="C1702" t="s">
        <v>642</v>
      </c>
      <c r="D1702" t="s">
        <v>644</v>
      </c>
      <c r="E1702" t="s">
        <v>646</v>
      </c>
      <c r="F1702" t="s">
        <v>305</v>
      </c>
      <c r="G1702" t="s">
        <v>604</v>
      </c>
      <c r="I1702">
        <v>0</v>
      </c>
      <c r="J1702">
        <v>0</v>
      </c>
      <c r="K1702">
        <f>IFERROR(VLOOKUP(F1702,'LEAID Match'!$A$2:$B$236,2,FALSE),"")</f>
        <v>2307980</v>
      </c>
    </row>
    <row r="1703" spans="1:11" x14ac:dyDescent="0.2">
      <c r="A1703">
        <f t="shared" si="26"/>
        <v>2307980</v>
      </c>
      <c r="B1703">
        <v>2020</v>
      </c>
      <c r="C1703" t="s">
        <v>642</v>
      </c>
      <c r="D1703" t="s">
        <v>644</v>
      </c>
      <c r="E1703" t="s">
        <v>646</v>
      </c>
      <c r="F1703" t="s">
        <v>305</v>
      </c>
      <c r="G1703" t="s">
        <v>604</v>
      </c>
      <c r="I1703">
        <v>0</v>
      </c>
      <c r="J1703">
        <v>0</v>
      </c>
      <c r="K1703">
        <f>IFERROR(VLOOKUP(F1703,'LEAID Match'!$A$2:$B$236,2,FALSE),"")</f>
        <v>2307980</v>
      </c>
    </row>
    <row r="1704" spans="1:11" x14ac:dyDescent="0.2">
      <c r="A1704">
        <f t="shared" si="26"/>
        <v>2307980</v>
      </c>
      <c r="B1704">
        <v>2021</v>
      </c>
      <c r="C1704" t="s">
        <v>642</v>
      </c>
      <c r="D1704" t="s">
        <v>644</v>
      </c>
      <c r="E1704" t="s">
        <v>646</v>
      </c>
      <c r="F1704" t="s">
        <v>305</v>
      </c>
      <c r="G1704" t="s">
        <v>604</v>
      </c>
      <c r="I1704">
        <v>0</v>
      </c>
      <c r="J1704">
        <v>0</v>
      </c>
      <c r="K1704">
        <f>IFERROR(VLOOKUP(F1704,'LEAID Match'!$A$2:$B$236,2,FALSE),"")</f>
        <v>2307980</v>
      </c>
    </row>
    <row r="1705" spans="1:11" x14ac:dyDescent="0.2">
      <c r="A1705">
        <f t="shared" si="26"/>
        <v>2307980</v>
      </c>
      <c r="B1705">
        <v>2022</v>
      </c>
      <c r="C1705" t="s">
        <v>642</v>
      </c>
      <c r="D1705" t="s">
        <v>644</v>
      </c>
      <c r="E1705" t="s">
        <v>646</v>
      </c>
      <c r="F1705" t="s">
        <v>305</v>
      </c>
      <c r="G1705" t="s">
        <v>604</v>
      </c>
      <c r="I1705">
        <v>0</v>
      </c>
      <c r="J1705">
        <v>0</v>
      </c>
      <c r="K1705">
        <f>IFERROR(VLOOKUP(F1705,'LEAID Match'!$A$2:$B$236,2,FALSE),"")</f>
        <v>2307980</v>
      </c>
    </row>
    <row r="1706" spans="1:11" x14ac:dyDescent="0.2">
      <c r="A1706">
        <f t="shared" si="26"/>
        <v>2309090</v>
      </c>
      <c r="B1706">
        <v>2015</v>
      </c>
      <c r="C1706" t="s">
        <v>642</v>
      </c>
      <c r="D1706" t="s">
        <v>644</v>
      </c>
      <c r="E1706" t="s">
        <v>646</v>
      </c>
      <c r="F1706" t="s">
        <v>307</v>
      </c>
      <c r="G1706" t="s">
        <v>308</v>
      </c>
      <c r="H1706">
        <v>240</v>
      </c>
      <c r="I1706">
        <v>4601.6738125779584</v>
      </c>
      <c r="J1706">
        <v>4841.6738125779584</v>
      </c>
      <c r="K1706">
        <f>IFERROR(VLOOKUP(F1706,'LEAID Match'!$A$2:$B$236,2,FALSE),"")</f>
        <v>2309090</v>
      </c>
    </row>
    <row r="1707" spans="1:11" x14ac:dyDescent="0.2">
      <c r="A1707">
        <f t="shared" si="26"/>
        <v>2309090</v>
      </c>
      <c r="B1707">
        <v>2016</v>
      </c>
      <c r="C1707" t="s">
        <v>642</v>
      </c>
      <c r="D1707" t="s">
        <v>644</v>
      </c>
      <c r="E1707" t="s">
        <v>646</v>
      </c>
      <c r="F1707" s="1" t="s">
        <v>307</v>
      </c>
      <c r="G1707" s="1" t="s">
        <v>308</v>
      </c>
      <c r="H1707" s="22">
        <v>45</v>
      </c>
      <c r="I1707">
        <v>855.2071015743245</v>
      </c>
      <c r="J1707">
        <v>900.2071015743245</v>
      </c>
      <c r="K1707">
        <f>IFERROR(VLOOKUP(F1707,'LEAID Match'!$A$2:$B$236,2,FALSE),"")</f>
        <v>2309090</v>
      </c>
    </row>
    <row r="1708" spans="1:11" x14ac:dyDescent="0.2">
      <c r="A1708">
        <f t="shared" si="26"/>
        <v>2309090</v>
      </c>
      <c r="B1708">
        <v>2017</v>
      </c>
      <c r="C1708" t="s">
        <v>642</v>
      </c>
      <c r="D1708" t="s">
        <v>644</v>
      </c>
      <c r="E1708" t="s">
        <v>646</v>
      </c>
      <c r="F1708" t="s">
        <v>307</v>
      </c>
      <c r="G1708" t="s">
        <v>308</v>
      </c>
      <c r="I1708">
        <v>0</v>
      </c>
      <c r="J1708">
        <v>0</v>
      </c>
      <c r="K1708">
        <f>IFERROR(VLOOKUP(F1708,'LEAID Match'!$A$2:$B$236,2,FALSE),"")</f>
        <v>2309090</v>
      </c>
    </row>
    <row r="1709" spans="1:11" x14ac:dyDescent="0.2">
      <c r="A1709">
        <f t="shared" si="26"/>
        <v>2309090</v>
      </c>
      <c r="B1709">
        <v>2018</v>
      </c>
      <c r="C1709" t="s">
        <v>642</v>
      </c>
      <c r="D1709" t="s">
        <v>644</v>
      </c>
      <c r="E1709" t="s">
        <v>646</v>
      </c>
      <c r="F1709" t="s">
        <v>307</v>
      </c>
      <c r="G1709" t="s">
        <v>308</v>
      </c>
      <c r="I1709">
        <v>0</v>
      </c>
      <c r="J1709">
        <v>0</v>
      </c>
      <c r="K1709">
        <f>IFERROR(VLOOKUP(F1709,'LEAID Match'!$A$2:$B$236,2,FALSE),"")</f>
        <v>2309090</v>
      </c>
    </row>
    <row r="1710" spans="1:11" x14ac:dyDescent="0.2">
      <c r="A1710">
        <f t="shared" si="26"/>
        <v>2309090</v>
      </c>
      <c r="B1710">
        <v>2019</v>
      </c>
      <c r="C1710" t="s">
        <v>642</v>
      </c>
      <c r="D1710" t="s">
        <v>644</v>
      </c>
      <c r="E1710" t="s">
        <v>646</v>
      </c>
      <c r="F1710" t="s">
        <v>307</v>
      </c>
      <c r="G1710" t="s">
        <v>308</v>
      </c>
      <c r="I1710">
        <v>0</v>
      </c>
      <c r="J1710">
        <v>0</v>
      </c>
      <c r="K1710">
        <f>IFERROR(VLOOKUP(F1710,'LEAID Match'!$A$2:$B$236,2,FALSE),"")</f>
        <v>2309090</v>
      </c>
    </row>
    <row r="1711" spans="1:11" x14ac:dyDescent="0.2">
      <c r="A1711">
        <f t="shared" si="26"/>
        <v>2309090</v>
      </c>
      <c r="B1711">
        <v>2020</v>
      </c>
      <c r="C1711" t="s">
        <v>642</v>
      </c>
      <c r="D1711" t="s">
        <v>644</v>
      </c>
      <c r="E1711" t="s">
        <v>646</v>
      </c>
      <c r="F1711" t="s">
        <v>307</v>
      </c>
      <c r="G1711" t="s">
        <v>308</v>
      </c>
      <c r="I1711">
        <v>0</v>
      </c>
      <c r="J1711">
        <v>0</v>
      </c>
      <c r="K1711">
        <f>IFERROR(VLOOKUP(F1711,'LEAID Match'!$A$2:$B$236,2,FALSE),"")</f>
        <v>2309090</v>
      </c>
    </row>
    <row r="1712" spans="1:11" x14ac:dyDescent="0.2">
      <c r="A1712">
        <f t="shared" si="26"/>
        <v>2309090</v>
      </c>
      <c r="B1712">
        <v>2021</v>
      </c>
      <c r="C1712" t="s">
        <v>642</v>
      </c>
      <c r="D1712" t="s">
        <v>644</v>
      </c>
      <c r="E1712" t="s">
        <v>646</v>
      </c>
      <c r="F1712" t="s">
        <v>307</v>
      </c>
      <c r="G1712" t="s">
        <v>308</v>
      </c>
      <c r="I1712">
        <v>0</v>
      </c>
      <c r="J1712">
        <v>0</v>
      </c>
      <c r="K1712">
        <f>IFERROR(VLOOKUP(F1712,'LEAID Match'!$A$2:$B$236,2,FALSE),"")</f>
        <v>2309090</v>
      </c>
    </row>
    <row r="1713" spans="1:11" x14ac:dyDescent="0.2">
      <c r="A1713">
        <f t="shared" si="26"/>
        <v>2309090</v>
      </c>
      <c r="B1713">
        <v>2022</v>
      </c>
      <c r="C1713" t="s">
        <v>642</v>
      </c>
      <c r="D1713" t="s">
        <v>644</v>
      </c>
      <c r="E1713" t="s">
        <v>646</v>
      </c>
      <c r="F1713" t="s">
        <v>307</v>
      </c>
      <c r="G1713" t="s">
        <v>308</v>
      </c>
      <c r="I1713">
        <v>0</v>
      </c>
      <c r="J1713">
        <v>0</v>
      </c>
      <c r="K1713">
        <f>IFERROR(VLOOKUP(F1713,'LEAID Match'!$A$2:$B$236,2,FALSE),"")</f>
        <v>2309090</v>
      </c>
    </row>
    <row r="1714" spans="1:11" x14ac:dyDescent="0.2">
      <c r="A1714">
        <f t="shared" si="26"/>
        <v>2310320</v>
      </c>
      <c r="B1714">
        <v>2015</v>
      </c>
      <c r="C1714" t="s">
        <v>642</v>
      </c>
      <c r="D1714" t="s">
        <v>644</v>
      </c>
      <c r="E1714" t="s">
        <v>646</v>
      </c>
      <c r="F1714" t="s">
        <v>309</v>
      </c>
      <c r="G1714" t="s">
        <v>310</v>
      </c>
      <c r="I1714">
        <v>0</v>
      </c>
      <c r="J1714">
        <v>0</v>
      </c>
      <c r="K1714">
        <f>IFERROR(VLOOKUP(F1714,'LEAID Match'!$A$2:$B$236,2,FALSE),"")</f>
        <v>2310320</v>
      </c>
    </row>
    <row r="1715" spans="1:11" x14ac:dyDescent="0.2">
      <c r="A1715">
        <f t="shared" si="26"/>
        <v>2310320</v>
      </c>
      <c r="B1715">
        <v>2016</v>
      </c>
      <c r="C1715" t="s">
        <v>642</v>
      </c>
      <c r="D1715" t="s">
        <v>644</v>
      </c>
      <c r="E1715" t="s">
        <v>646</v>
      </c>
      <c r="F1715" s="1" t="s">
        <v>309</v>
      </c>
      <c r="G1715" s="1" t="s">
        <v>310</v>
      </c>
      <c r="H1715" s="22"/>
      <c r="I1715">
        <v>0</v>
      </c>
      <c r="J1715">
        <v>0</v>
      </c>
      <c r="K1715">
        <f>IFERROR(VLOOKUP(F1715,'LEAID Match'!$A$2:$B$236,2,FALSE),"")</f>
        <v>2310320</v>
      </c>
    </row>
    <row r="1716" spans="1:11" x14ac:dyDescent="0.2">
      <c r="A1716">
        <f t="shared" si="26"/>
        <v>2310320</v>
      </c>
      <c r="B1716">
        <v>2017</v>
      </c>
      <c r="C1716" t="s">
        <v>642</v>
      </c>
      <c r="D1716" t="s">
        <v>644</v>
      </c>
      <c r="E1716" t="s">
        <v>646</v>
      </c>
      <c r="F1716" t="s">
        <v>309</v>
      </c>
      <c r="G1716" t="s">
        <v>310</v>
      </c>
      <c r="I1716">
        <v>0</v>
      </c>
      <c r="J1716">
        <v>0</v>
      </c>
      <c r="K1716">
        <f>IFERROR(VLOOKUP(F1716,'LEAID Match'!$A$2:$B$236,2,FALSE),"")</f>
        <v>2310320</v>
      </c>
    </row>
    <row r="1717" spans="1:11" x14ac:dyDescent="0.2">
      <c r="A1717">
        <f t="shared" si="26"/>
        <v>2310320</v>
      </c>
      <c r="B1717">
        <v>2018</v>
      </c>
      <c r="C1717" t="s">
        <v>642</v>
      </c>
      <c r="D1717" t="s">
        <v>644</v>
      </c>
      <c r="E1717" t="s">
        <v>646</v>
      </c>
      <c r="F1717" t="s">
        <v>309</v>
      </c>
      <c r="G1717" t="s">
        <v>310</v>
      </c>
      <c r="I1717">
        <v>0</v>
      </c>
      <c r="J1717">
        <v>0</v>
      </c>
      <c r="K1717">
        <f>IFERROR(VLOOKUP(F1717,'LEAID Match'!$A$2:$B$236,2,FALSE),"")</f>
        <v>2310320</v>
      </c>
    </row>
    <row r="1718" spans="1:11" x14ac:dyDescent="0.2">
      <c r="A1718">
        <f t="shared" si="26"/>
        <v>2310320</v>
      </c>
      <c r="B1718">
        <v>2019</v>
      </c>
      <c r="C1718" t="s">
        <v>642</v>
      </c>
      <c r="D1718" t="s">
        <v>644</v>
      </c>
      <c r="E1718" t="s">
        <v>646</v>
      </c>
      <c r="F1718" t="s">
        <v>309</v>
      </c>
      <c r="G1718" t="s">
        <v>310</v>
      </c>
      <c r="I1718">
        <v>0</v>
      </c>
      <c r="J1718">
        <v>0</v>
      </c>
      <c r="K1718">
        <f>IFERROR(VLOOKUP(F1718,'LEAID Match'!$A$2:$B$236,2,FALSE),"")</f>
        <v>2310320</v>
      </c>
    </row>
    <row r="1719" spans="1:11" x14ac:dyDescent="0.2">
      <c r="A1719">
        <f t="shared" si="26"/>
        <v>2310320</v>
      </c>
      <c r="B1719">
        <v>2020</v>
      </c>
      <c r="C1719" t="s">
        <v>642</v>
      </c>
      <c r="D1719" t="s">
        <v>644</v>
      </c>
      <c r="E1719" t="s">
        <v>646</v>
      </c>
      <c r="F1719" t="s">
        <v>309</v>
      </c>
      <c r="G1719" t="s">
        <v>310</v>
      </c>
      <c r="I1719">
        <v>0</v>
      </c>
      <c r="J1719">
        <v>0</v>
      </c>
      <c r="K1719">
        <f>IFERROR(VLOOKUP(F1719,'LEAID Match'!$A$2:$B$236,2,FALSE),"")</f>
        <v>2310320</v>
      </c>
    </row>
    <row r="1720" spans="1:11" x14ac:dyDescent="0.2">
      <c r="A1720">
        <f t="shared" si="26"/>
        <v>2310320</v>
      </c>
      <c r="B1720">
        <v>2021</v>
      </c>
      <c r="C1720" t="s">
        <v>642</v>
      </c>
      <c r="D1720" t="s">
        <v>644</v>
      </c>
      <c r="E1720" t="s">
        <v>646</v>
      </c>
      <c r="F1720" t="s">
        <v>309</v>
      </c>
      <c r="G1720" t="s">
        <v>310</v>
      </c>
      <c r="I1720">
        <v>0</v>
      </c>
      <c r="J1720">
        <v>0</v>
      </c>
      <c r="K1720">
        <f>IFERROR(VLOOKUP(F1720,'LEAID Match'!$A$2:$B$236,2,FALSE),"")</f>
        <v>2310320</v>
      </c>
    </row>
    <row r="1721" spans="1:11" x14ac:dyDescent="0.2">
      <c r="A1721">
        <f t="shared" si="26"/>
        <v>2310320</v>
      </c>
      <c r="B1721">
        <v>2022</v>
      </c>
      <c r="C1721" t="s">
        <v>642</v>
      </c>
      <c r="D1721" t="s">
        <v>644</v>
      </c>
      <c r="E1721" t="s">
        <v>646</v>
      </c>
      <c r="F1721" t="s">
        <v>309</v>
      </c>
      <c r="G1721" t="s">
        <v>310</v>
      </c>
      <c r="I1721">
        <v>0</v>
      </c>
      <c r="J1721">
        <v>0</v>
      </c>
      <c r="K1721">
        <f>IFERROR(VLOOKUP(F1721,'LEAID Match'!$A$2:$B$236,2,FALSE),"")</f>
        <v>2310320</v>
      </c>
    </row>
    <row r="1722" spans="1:11" x14ac:dyDescent="0.2">
      <c r="A1722">
        <f t="shared" si="26"/>
        <v>2313500</v>
      </c>
      <c r="B1722">
        <v>2015</v>
      </c>
      <c r="C1722" t="s">
        <v>642</v>
      </c>
      <c r="D1722" t="s">
        <v>644</v>
      </c>
      <c r="E1722" t="s">
        <v>646</v>
      </c>
      <c r="F1722" t="s">
        <v>605</v>
      </c>
      <c r="G1722" t="s">
        <v>311</v>
      </c>
      <c r="H1722">
        <v>375</v>
      </c>
      <c r="I1722">
        <v>7190.115332153061</v>
      </c>
      <c r="J1722">
        <v>7565.115332153061</v>
      </c>
      <c r="K1722">
        <f>IFERROR(VLOOKUP(F1722,'LEAID Match'!$A$2:$B$236,2,FALSE),"")</f>
        <v>2313500</v>
      </c>
    </row>
    <row r="1723" spans="1:11" x14ac:dyDescent="0.2">
      <c r="A1723">
        <f t="shared" si="26"/>
        <v>2313500</v>
      </c>
      <c r="B1723">
        <v>2016</v>
      </c>
      <c r="C1723" t="s">
        <v>642</v>
      </c>
      <c r="D1723" t="s">
        <v>644</v>
      </c>
      <c r="E1723" t="s">
        <v>646</v>
      </c>
      <c r="F1723" s="1" t="s">
        <v>605</v>
      </c>
      <c r="G1723" s="1" t="s">
        <v>311</v>
      </c>
      <c r="H1723" s="22">
        <v>563</v>
      </c>
      <c r="I1723">
        <v>10699.591070807659</v>
      </c>
      <c r="J1723">
        <v>11262.591070807659</v>
      </c>
      <c r="K1723">
        <f>IFERROR(VLOOKUP(F1723,'LEAID Match'!$A$2:$B$236,2,FALSE),"")</f>
        <v>2313500</v>
      </c>
    </row>
    <row r="1724" spans="1:11" x14ac:dyDescent="0.2">
      <c r="A1724">
        <f t="shared" si="26"/>
        <v>2313500</v>
      </c>
      <c r="B1724">
        <v>2017</v>
      </c>
      <c r="C1724" t="s">
        <v>642</v>
      </c>
      <c r="D1724" t="s">
        <v>644</v>
      </c>
      <c r="E1724" t="s">
        <v>646</v>
      </c>
      <c r="F1724" t="s">
        <v>605</v>
      </c>
      <c r="G1724" t="s">
        <v>311</v>
      </c>
      <c r="H1724">
        <v>642</v>
      </c>
      <c r="I1724">
        <v>12241.269472971493</v>
      </c>
      <c r="J1724">
        <v>12883.269472971493</v>
      </c>
      <c r="K1724">
        <f>IFERROR(VLOOKUP(F1724,'LEAID Match'!$A$2:$B$236,2,FALSE),"")</f>
        <v>2313500</v>
      </c>
    </row>
    <row r="1725" spans="1:11" x14ac:dyDescent="0.2">
      <c r="A1725">
        <f t="shared" si="26"/>
        <v>2313500</v>
      </c>
      <c r="B1725">
        <v>2018</v>
      </c>
      <c r="C1725" t="s">
        <v>642</v>
      </c>
      <c r="D1725" t="s">
        <v>644</v>
      </c>
      <c r="E1725" t="s">
        <v>646</v>
      </c>
      <c r="F1725" t="s">
        <v>605</v>
      </c>
      <c r="G1725" t="s">
        <v>311</v>
      </c>
      <c r="H1725">
        <v>617</v>
      </c>
      <c r="I1725">
        <v>12506.154292661975</v>
      </c>
      <c r="J1725">
        <v>13123.154292661975</v>
      </c>
      <c r="K1725">
        <f>IFERROR(VLOOKUP(F1725,'LEAID Match'!$A$2:$B$236,2,FALSE),"")</f>
        <v>2313500</v>
      </c>
    </row>
    <row r="1726" spans="1:11" x14ac:dyDescent="0.2">
      <c r="A1726">
        <f t="shared" si="26"/>
        <v>2313500</v>
      </c>
      <c r="B1726">
        <v>2019</v>
      </c>
      <c r="C1726" t="s">
        <v>642</v>
      </c>
      <c r="D1726" t="s">
        <v>644</v>
      </c>
      <c r="E1726" t="s">
        <v>646</v>
      </c>
      <c r="F1726" t="s">
        <v>605</v>
      </c>
      <c r="G1726" t="s">
        <v>311</v>
      </c>
      <c r="H1726">
        <v>320</v>
      </c>
      <c r="I1726">
        <v>6855.6916489108626</v>
      </c>
      <c r="J1726">
        <v>7175.6916489108626</v>
      </c>
      <c r="K1726">
        <f>IFERROR(VLOOKUP(F1726,'LEAID Match'!$A$2:$B$236,2,FALSE),"")</f>
        <v>2313500</v>
      </c>
    </row>
    <row r="1727" spans="1:11" x14ac:dyDescent="0.2">
      <c r="A1727">
        <f t="shared" si="26"/>
        <v>2313500</v>
      </c>
      <c r="B1727">
        <v>2020</v>
      </c>
      <c r="C1727" t="s">
        <v>642</v>
      </c>
      <c r="D1727" t="s">
        <v>644</v>
      </c>
      <c r="E1727" t="s">
        <v>646</v>
      </c>
      <c r="F1727" t="s">
        <v>605</v>
      </c>
      <c r="G1727" t="s">
        <v>311</v>
      </c>
      <c r="H1727">
        <v>395</v>
      </c>
      <c r="I1727">
        <v>8801.3611889851818</v>
      </c>
      <c r="J1727">
        <v>9196.3611889851818</v>
      </c>
      <c r="K1727">
        <f>IFERROR(VLOOKUP(F1727,'LEAID Match'!$A$2:$B$236,2,FALSE),"")</f>
        <v>2313500</v>
      </c>
    </row>
    <row r="1728" spans="1:11" x14ac:dyDescent="0.2">
      <c r="A1728">
        <f t="shared" si="26"/>
        <v>2313500</v>
      </c>
      <c r="B1728">
        <v>2021</v>
      </c>
      <c r="C1728" t="s">
        <v>642</v>
      </c>
      <c r="D1728" t="s">
        <v>644</v>
      </c>
      <c r="E1728" t="s">
        <v>646</v>
      </c>
      <c r="F1728" t="s">
        <v>605</v>
      </c>
      <c r="G1728" t="s">
        <v>311</v>
      </c>
      <c r="H1728">
        <v>1422</v>
      </c>
      <c r="I1728">
        <v>23888.676292027529</v>
      </c>
      <c r="J1728">
        <v>25310.676292027529</v>
      </c>
      <c r="K1728">
        <f>IFERROR(VLOOKUP(F1728,'LEAID Match'!$A$2:$B$236,2,FALSE),"")</f>
        <v>2313500</v>
      </c>
    </row>
    <row r="1729" spans="1:11" x14ac:dyDescent="0.2">
      <c r="A1729">
        <f t="shared" si="26"/>
        <v>2313500</v>
      </c>
      <c r="B1729">
        <v>2022</v>
      </c>
      <c r="C1729" t="s">
        <v>642</v>
      </c>
      <c r="D1729" t="s">
        <v>644</v>
      </c>
      <c r="E1729" t="s">
        <v>646</v>
      </c>
      <c r="F1729" t="s">
        <v>605</v>
      </c>
      <c r="G1729" t="s">
        <v>311</v>
      </c>
      <c r="H1729">
        <v>973</v>
      </c>
      <c r="I1729">
        <v>14006.30846556635</v>
      </c>
      <c r="J1729">
        <v>14979.30846556635</v>
      </c>
      <c r="K1729">
        <f>IFERROR(VLOOKUP(F1729,'LEAID Match'!$A$2:$B$236,2,FALSE),"")</f>
        <v>2313500</v>
      </c>
    </row>
    <row r="1730" spans="1:11" x14ac:dyDescent="0.2">
      <c r="A1730">
        <f t="shared" si="26"/>
        <v>2313710</v>
      </c>
      <c r="B1730">
        <v>2017</v>
      </c>
      <c r="C1730" t="s">
        <v>642</v>
      </c>
      <c r="D1730" t="s">
        <v>644</v>
      </c>
      <c r="E1730" t="s">
        <v>646</v>
      </c>
      <c r="F1730" t="s">
        <v>622</v>
      </c>
      <c r="G1730" t="s">
        <v>623</v>
      </c>
      <c r="I1730">
        <v>0</v>
      </c>
      <c r="J1730">
        <v>0</v>
      </c>
      <c r="K1730">
        <f>IFERROR(VLOOKUP(F1730,'LEAID Match'!$A$2:$B$236,2,FALSE),"")</f>
        <v>2313710</v>
      </c>
    </row>
    <row r="1731" spans="1:11" x14ac:dyDescent="0.2">
      <c r="A1731">
        <f t="shared" ref="A1731:A1794" si="27">K1731</f>
        <v>2313710</v>
      </c>
      <c r="B1731">
        <v>2018</v>
      </c>
      <c r="C1731" t="s">
        <v>642</v>
      </c>
      <c r="D1731" t="s">
        <v>644</v>
      </c>
      <c r="E1731" t="s">
        <v>646</v>
      </c>
      <c r="F1731" t="s">
        <v>622</v>
      </c>
      <c r="G1731" t="s">
        <v>623</v>
      </c>
      <c r="I1731">
        <v>0</v>
      </c>
      <c r="J1731">
        <v>0</v>
      </c>
      <c r="K1731">
        <f>IFERROR(VLOOKUP(F1731,'LEAID Match'!$A$2:$B$236,2,FALSE),"")</f>
        <v>2313710</v>
      </c>
    </row>
    <row r="1732" spans="1:11" x14ac:dyDescent="0.2">
      <c r="A1732">
        <f t="shared" si="27"/>
        <v>2313710</v>
      </c>
      <c r="B1732">
        <v>2019</v>
      </c>
      <c r="C1732" t="s">
        <v>642</v>
      </c>
      <c r="D1732" t="s">
        <v>644</v>
      </c>
      <c r="E1732" t="s">
        <v>646</v>
      </c>
      <c r="F1732" t="s">
        <v>622</v>
      </c>
      <c r="G1732" t="s">
        <v>623</v>
      </c>
      <c r="I1732">
        <v>0</v>
      </c>
      <c r="J1732">
        <v>0</v>
      </c>
      <c r="K1732">
        <f>IFERROR(VLOOKUP(F1732,'LEAID Match'!$A$2:$B$236,2,FALSE),"")</f>
        <v>2313710</v>
      </c>
    </row>
    <row r="1733" spans="1:11" x14ac:dyDescent="0.2">
      <c r="A1733">
        <f t="shared" si="27"/>
        <v>2313710</v>
      </c>
      <c r="B1733">
        <v>2020</v>
      </c>
      <c r="C1733" t="s">
        <v>642</v>
      </c>
      <c r="D1733" t="s">
        <v>644</v>
      </c>
      <c r="E1733" t="s">
        <v>646</v>
      </c>
      <c r="F1733" t="s">
        <v>622</v>
      </c>
      <c r="G1733" t="s">
        <v>623</v>
      </c>
      <c r="I1733">
        <v>0</v>
      </c>
      <c r="J1733">
        <v>0</v>
      </c>
      <c r="K1733">
        <f>IFERROR(VLOOKUP(F1733,'LEAID Match'!$A$2:$B$236,2,FALSE),"")</f>
        <v>2313710</v>
      </c>
    </row>
    <row r="1734" spans="1:11" x14ac:dyDescent="0.2">
      <c r="A1734">
        <f t="shared" si="27"/>
        <v>2313710</v>
      </c>
      <c r="B1734">
        <v>2021</v>
      </c>
      <c r="C1734" t="s">
        <v>642</v>
      </c>
      <c r="D1734" t="s">
        <v>644</v>
      </c>
      <c r="E1734" t="s">
        <v>646</v>
      </c>
      <c r="F1734" t="s">
        <v>622</v>
      </c>
      <c r="G1734" t="s">
        <v>623</v>
      </c>
      <c r="I1734">
        <v>0</v>
      </c>
      <c r="J1734">
        <v>0</v>
      </c>
      <c r="K1734">
        <f>IFERROR(VLOOKUP(F1734,'LEAID Match'!$A$2:$B$236,2,FALSE),"")</f>
        <v>2313710</v>
      </c>
    </row>
    <row r="1735" spans="1:11" x14ac:dyDescent="0.2">
      <c r="A1735">
        <f t="shared" si="27"/>
        <v>2313710</v>
      </c>
      <c r="B1735">
        <v>2022</v>
      </c>
      <c r="C1735" t="s">
        <v>642</v>
      </c>
      <c r="D1735" t="s">
        <v>644</v>
      </c>
      <c r="E1735" t="s">
        <v>646</v>
      </c>
      <c r="F1735" t="s">
        <v>622</v>
      </c>
      <c r="G1735" t="s">
        <v>623</v>
      </c>
      <c r="I1735">
        <v>0</v>
      </c>
      <c r="J1735">
        <v>0</v>
      </c>
      <c r="K1735">
        <f>IFERROR(VLOOKUP(F1735,'LEAID Match'!$A$2:$B$236,2,FALSE),"")</f>
        <v>2313710</v>
      </c>
    </row>
    <row r="1736" spans="1:11" x14ac:dyDescent="0.2">
      <c r="A1736">
        <f t="shared" si="27"/>
        <v>2300065</v>
      </c>
      <c r="B1736">
        <v>2016</v>
      </c>
      <c r="C1736" t="s">
        <v>642</v>
      </c>
      <c r="D1736" t="s">
        <v>644</v>
      </c>
      <c r="E1736" t="s">
        <v>646</v>
      </c>
      <c r="F1736" s="1" t="s">
        <v>312</v>
      </c>
      <c r="G1736" s="1" t="s">
        <v>606</v>
      </c>
      <c r="H1736" s="22">
        <v>3185</v>
      </c>
      <c r="I1736">
        <v>60529.658189204958</v>
      </c>
      <c r="J1736">
        <v>63714.658189204958</v>
      </c>
      <c r="K1736">
        <f>IFERROR(VLOOKUP(F1736,'LEAID Match'!$A$2:$B$236,2,FALSE),"")</f>
        <v>2300065</v>
      </c>
    </row>
    <row r="1737" spans="1:11" x14ac:dyDescent="0.2">
      <c r="A1737">
        <f t="shared" si="27"/>
        <v>2300065</v>
      </c>
      <c r="B1737">
        <v>2017</v>
      </c>
      <c r="C1737" t="s">
        <v>642</v>
      </c>
      <c r="D1737" t="s">
        <v>644</v>
      </c>
      <c r="E1737" t="s">
        <v>646</v>
      </c>
      <c r="F1737" t="s">
        <v>312</v>
      </c>
      <c r="G1737" t="s">
        <v>606</v>
      </c>
      <c r="H1737">
        <v>1612</v>
      </c>
      <c r="I1737">
        <v>30736.645467959574</v>
      </c>
      <c r="J1737">
        <v>32348.645467959574</v>
      </c>
      <c r="K1737">
        <f>IFERROR(VLOOKUP(F1737,'LEAID Match'!$A$2:$B$236,2,FALSE),"")</f>
        <v>2300065</v>
      </c>
    </row>
    <row r="1738" spans="1:11" x14ac:dyDescent="0.2">
      <c r="A1738">
        <f t="shared" si="27"/>
        <v>2300065</v>
      </c>
      <c r="B1738">
        <v>2018</v>
      </c>
      <c r="C1738" t="s">
        <v>642</v>
      </c>
      <c r="D1738" t="s">
        <v>644</v>
      </c>
      <c r="E1738" t="s">
        <v>646</v>
      </c>
      <c r="F1738" t="s">
        <v>312</v>
      </c>
      <c r="G1738" t="s">
        <v>606</v>
      </c>
      <c r="H1738">
        <v>931</v>
      </c>
      <c r="I1738">
        <v>18870.712555053968</v>
      </c>
      <c r="J1738">
        <v>19801.712555053968</v>
      </c>
      <c r="K1738">
        <f>IFERROR(VLOOKUP(F1738,'LEAID Match'!$A$2:$B$236,2,FALSE),"")</f>
        <v>2300065</v>
      </c>
    </row>
    <row r="1739" spans="1:11" x14ac:dyDescent="0.2">
      <c r="A1739">
        <f t="shared" si="27"/>
        <v>2300065</v>
      </c>
      <c r="B1739">
        <v>2019</v>
      </c>
      <c r="C1739" t="s">
        <v>642</v>
      </c>
      <c r="D1739" t="s">
        <v>644</v>
      </c>
      <c r="E1739" t="s">
        <v>646</v>
      </c>
      <c r="F1739" t="s">
        <v>312</v>
      </c>
      <c r="G1739" t="s">
        <v>606</v>
      </c>
      <c r="H1739">
        <v>786</v>
      </c>
      <c r="I1739">
        <v>16839.292612637306</v>
      </c>
      <c r="J1739">
        <v>17625.292612637306</v>
      </c>
      <c r="K1739">
        <f>IFERROR(VLOOKUP(F1739,'LEAID Match'!$A$2:$B$236,2,FALSE),"")</f>
        <v>2300065</v>
      </c>
    </row>
    <row r="1740" spans="1:11" x14ac:dyDescent="0.2">
      <c r="A1740">
        <f t="shared" si="27"/>
        <v>2300065</v>
      </c>
      <c r="B1740">
        <v>2020</v>
      </c>
      <c r="C1740" t="s">
        <v>642</v>
      </c>
      <c r="D1740" t="s">
        <v>644</v>
      </c>
      <c r="E1740" t="s">
        <v>646</v>
      </c>
      <c r="F1740" t="s">
        <v>312</v>
      </c>
      <c r="G1740" t="s">
        <v>606</v>
      </c>
      <c r="H1740">
        <v>1035</v>
      </c>
      <c r="I1740">
        <v>23061.794507847251</v>
      </c>
      <c r="J1740">
        <v>24096.794507847251</v>
      </c>
      <c r="K1740">
        <f>IFERROR(VLOOKUP(F1740,'LEAID Match'!$A$2:$B$236,2,FALSE),"")</f>
        <v>2300065</v>
      </c>
    </row>
    <row r="1741" spans="1:11" x14ac:dyDescent="0.2">
      <c r="A1741">
        <f t="shared" si="27"/>
        <v>2300065</v>
      </c>
      <c r="B1741">
        <v>2021</v>
      </c>
      <c r="C1741" t="s">
        <v>642</v>
      </c>
      <c r="D1741" t="s">
        <v>644</v>
      </c>
      <c r="E1741" t="s">
        <v>646</v>
      </c>
      <c r="F1741" t="s">
        <v>312</v>
      </c>
      <c r="G1741" t="s">
        <v>606</v>
      </c>
      <c r="H1741">
        <v>4705</v>
      </c>
      <c r="I1741">
        <v>79040.943708853389</v>
      </c>
      <c r="J1741">
        <v>83745.943708853389</v>
      </c>
      <c r="K1741">
        <f>IFERROR(VLOOKUP(F1741,'LEAID Match'!$A$2:$B$236,2,FALSE),"")</f>
        <v>2300065</v>
      </c>
    </row>
    <row r="1742" spans="1:11" x14ac:dyDescent="0.2">
      <c r="A1742">
        <f t="shared" si="27"/>
        <v>2300065</v>
      </c>
      <c r="B1742">
        <v>2022</v>
      </c>
      <c r="C1742" t="s">
        <v>642</v>
      </c>
      <c r="D1742" t="s">
        <v>644</v>
      </c>
      <c r="E1742" t="s">
        <v>646</v>
      </c>
      <c r="F1742" t="s">
        <v>312</v>
      </c>
      <c r="G1742" t="s">
        <v>606</v>
      </c>
      <c r="H1742">
        <v>7604</v>
      </c>
      <c r="I1742">
        <v>109459.37263326468</v>
      </c>
      <c r="J1742">
        <v>117063.37263326468</v>
      </c>
      <c r="K1742">
        <f>IFERROR(VLOOKUP(F1742,'LEAID Match'!$A$2:$B$236,2,FALSE),"")</f>
        <v>2300065</v>
      </c>
    </row>
    <row r="1743" spans="1:11" x14ac:dyDescent="0.2">
      <c r="A1743">
        <f t="shared" si="27"/>
        <v>2300067</v>
      </c>
      <c r="B1743">
        <v>2015</v>
      </c>
      <c r="C1743" t="s">
        <v>642</v>
      </c>
      <c r="D1743" t="s">
        <v>644</v>
      </c>
      <c r="E1743" t="s">
        <v>646</v>
      </c>
      <c r="F1743" t="s">
        <v>607</v>
      </c>
      <c r="G1743" t="s">
        <v>314</v>
      </c>
      <c r="H1743">
        <v>6067</v>
      </c>
      <c r="I1743">
        <v>116326.47925379364</v>
      </c>
      <c r="J1743">
        <v>122393.47925379364</v>
      </c>
      <c r="K1743">
        <f>IFERROR(VLOOKUP(F1743,'LEAID Match'!$A$2:$B$236,2,FALSE),"")</f>
        <v>2300067</v>
      </c>
    </row>
    <row r="1744" spans="1:11" x14ac:dyDescent="0.2">
      <c r="A1744">
        <f t="shared" si="27"/>
        <v>2300067</v>
      </c>
      <c r="B1744">
        <v>2016</v>
      </c>
      <c r="C1744" t="s">
        <v>642</v>
      </c>
      <c r="D1744" t="s">
        <v>644</v>
      </c>
      <c r="E1744" t="s">
        <v>646</v>
      </c>
      <c r="F1744" s="1" t="s">
        <v>607</v>
      </c>
      <c r="G1744" s="1" t="s">
        <v>314</v>
      </c>
      <c r="H1744" s="22">
        <v>5176</v>
      </c>
      <c r="I1744">
        <v>98367.821283304525</v>
      </c>
      <c r="J1744">
        <v>103543.82128330453</v>
      </c>
      <c r="K1744">
        <f>IFERROR(VLOOKUP(F1744,'LEAID Match'!$A$2:$B$236,2,FALSE),"")</f>
        <v>2300067</v>
      </c>
    </row>
    <row r="1745" spans="1:11" x14ac:dyDescent="0.2">
      <c r="A1745">
        <f t="shared" si="27"/>
        <v>2300067</v>
      </c>
      <c r="B1745">
        <v>2017</v>
      </c>
      <c r="C1745" t="s">
        <v>642</v>
      </c>
      <c r="D1745" t="s">
        <v>644</v>
      </c>
      <c r="E1745" t="s">
        <v>646</v>
      </c>
      <c r="F1745" t="s">
        <v>607</v>
      </c>
      <c r="G1745" t="s">
        <v>314</v>
      </c>
      <c r="H1745">
        <v>4555</v>
      </c>
      <c r="I1745">
        <v>86851.997584712066</v>
      </c>
      <c r="J1745">
        <v>91406.997584712066</v>
      </c>
      <c r="K1745">
        <f>IFERROR(VLOOKUP(F1745,'LEAID Match'!$A$2:$B$236,2,FALSE),"")</f>
        <v>2300067</v>
      </c>
    </row>
    <row r="1746" spans="1:11" x14ac:dyDescent="0.2">
      <c r="A1746">
        <f t="shared" si="27"/>
        <v>2300067</v>
      </c>
      <c r="B1746">
        <v>2018</v>
      </c>
      <c r="C1746" t="s">
        <v>642</v>
      </c>
      <c r="D1746" t="s">
        <v>644</v>
      </c>
      <c r="E1746" t="s">
        <v>646</v>
      </c>
      <c r="F1746" t="s">
        <v>607</v>
      </c>
      <c r="G1746" t="s">
        <v>314</v>
      </c>
      <c r="H1746">
        <v>5111</v>
      </c>
      <c r="I1746">
        <v>103596.36076141872</v>
      </c>
      <c r="J1746">
        <v>108707.36076141872</v>
      </c>
      <c r="K1746">
        <f>IFERROR(VLOOKUP(F1746,'LEAID Match'!$A$2:$B$236,2,FALSE),"")</f>
        <v>2300067</v>
      </c>
    </row>
    <row r="1747" spans="1:11" x14ac:dyDescent="0.2">
      <c r="A1747">
        <f t="shared" si="27"/>
        <v>2300067</v>
      </c>
      <c r="B1747">
        <v>2019</v>
      </c>
      <c r="C1747" t="s">
        <v>642</v>
      </c>
      <c r="D1747" t="s">
        <v>644</v>
      </c>
      <c r="E1747" t="s">
        <v>646</v>
      </c>
      <c r="F1747" t="s">
        <v>607</v>
      </c>
      <c r="G1747" t="s">
        <v>314</v>
      </c>
      <c r="H1747">
        <v>4109</v>
      </c>
      <c r="I1747">
        <v>88031.365579296049</v>
      </c>
      <c r="J1747">
        <v>92140.365579296049</v>
      </c>
      <c r="K1747">
        <f>IFERROR(VLOOKUP(F1747,'LEAID Match'!$A$2:$B$236,2,FALSE),"")</f>
        <v>2300067</v>
      </c>
    </row>
    <row r="1748" spans="1:11" x14ac:dyDescent="0.2">
      <c r="A1748">
        <f t="shared" si="27"/>
        <v>2300067</v>
      </c>
      <c r="B1748">
        <v>2020</v>
      </c>
      <c r="C1748" t="s">
        <v>642</v>
      </c>
      <c r="D1748" t="s">
        <v>644</v>
      </c>
      <c r="E1748" t="s">
        <v>646</v>
      </c>
      <c r="F1748" t="s">
        <v>607</v>
      </c>
      <c r="G1748" t="s">
        <v>314</v>
      </c>
      <c r="H1748">
        <v>6381</v>
      </c>
      <c r="I1748">
        <v>142180.97657446694</v>
      </c>
      <c r="J1748">
        <v>148561.97657446694</v>
      </c>
      <c r="K1748">
        <f>IFERROR(VLOOKUP(F1748,'LEAID Match'!$A$2:$B$236,2,FALSE),"")</f>
        <v>2300067</v>
      </c>
    </row>
    <row r="1749" spans="1:11" x14ac:dyDescent="0.2">
      <c r="A1749">
        <f t="shared" si="27"/>
        <v>2300067</v>
      </c>
      <c r="B1749">
        <v>2021</v>
      </c>
      <c r="C1749" t="s">
        <v>642</v>
      </c>
      <c r="D1749" t="s">
        <v>644</v>
      </c>
      <c r="E1749" t="s">
        <v>646</v>
      </c>
      <c r="F1749" t="s">
        <v>607</v>
      </c>
      <c r="G1749" t="s">
        <v>314</v>
      </c>
      <c r="H1749">
        <v>8736</v>
      </c>
      <c r="I1749">
        <v>146759.12523709738</v>
      </c>
      <c r="J1749">
        <v>155495.12523709738</v>
      </c>
      <c r="K1749">
        <f>IFERROR(VLOOKUP(F1749,'LEAID Match'!$A$2:$B$236,2,FALSE),"")</f>
        <v>2300067</v>
      </c>
    </row>
    <row r="1750" spans="1:11" x14ac:dyDescent="0.2">
      <c r="A1750">
        <f t="shared" si="27"/>
        <v>2300067</v>
      </c>
      <c r="B1750">
        <v>2022</v>
      </c>
      <c r="C1750" t="s">
        <v>642</v>
      </c>
      <c r="D1750" t="s">
        <v>644</v>
      </c>
      <c r="E1750" t="s">
        <v>646</v>
      </c>
      <c r="F1750" t="s">
        <v>607</v>
      </c>
      <c r="G1750" t="s">
        <v>314</v>
      </c>
      <c r="H1750">
        <v>8958</v>
      </c>
      <c r="I1750">
        <v>128950.16570867765</v>
      </c>
      <c r="J1750">
        <v>137908.16570867767</v>
      </c>
      <c r="K1750">
        <f>IFERROR(VLOOKUP(F1750,'LEAID Match'!$A$2:$B$236,2,FALSE),"")</f>
        <v>2300067</v>
      </c>
    </row>
    <row r="1751" spans="1:11" x14ac:dyDescent="0.2">
      <c r="A1751">
        <f t="shared" si="27"/>
        <v>2300068</v>
      </c>
      <c r="B1751">
        <v>2015</v>
      </c>
      <c r="C1751" t="s">
        <v>642</v>
      </c>
      <c r="D1751" t="s">
        <v>644</v>
      </c>
      <c r="E1751" t="s">
        <v>646</v>
      </c>
      <c r="F1751" t="s">
        <v>315</v>
      </c>
      <c r="G1751" t="s">
        <v>316</v>
      </c>
      <c r="H1751">
        <v>2801</v>
      </c>
      <c r="I1751">
        <v>53705.368120961924</v>
      </c>
      <c r="J1751">
        <v>56506.368120961924</v>
      </c>
      <c r="K1751">
        <f>IFERROR(VLOOKUP(F1751,'LEAID Match'!$A$2:$B$236,2,FALSE),"")</f>
        <v>2300068</v>
      </c>
    </row>
    <row r="1752" spans="1:11" x14ac:dyDescent="0.2">
      <c r="A1752">
        <f t="shared" si="27"/>
        <v>2300068</v>
      </c>
      <c r="B1752">
        <v>2016</v>
      </c>
      <c r="C1752" t="s">
        <v>642</v>
      </c>
      <c r="D1752" t="s">
        <v>644</v>
      </c>
      <c r="E1752" t="s">
        <v>646</v>
      </c>
      <c r="F1752" s="1" t="s">
        <v>315</v>
      </c>
      <c r="G1752" s="1" t="s">
        <v>316</v>
      </c>
      <c r="H1752" s="22">
        <v>2279</v>
      </c>
      <c r="I1752">
        <v>43311.488544175234</v>
      </c>
      <c r="J1752">
        <v>45590.488544175234</v>
      </c>
      <c r="K1752">
        <f>IFERROR(VLOOKUP(F1752,'LEAID Match'!$A$2:$B$236,2,FALSE),"")</f>
        <v>2300068</v>
      </c>
    </row>
    <row r="1753" spans="1:11" x14ac:dyDescent="0.2">
      <c r="A1753">
        <f t="shared" si="27"/>
        <v>2300068</v>
      </c>
      <c r="B1753">
        <v>2017</v>
      </c>
      <c r="C1753" t="s">
        <v>642</v>
      </c>
      <c r="D1753" t="s">
        <v>644</v>
      </c>
      <c r="E1753" t="s">
        <v>646</v>
      </c>
      <c r="F1753" t="s">
        <v>315</v>
      </c>
      <c r="G1753" t="s">
        <v>316</v>
      </c>
      <c r="H1753">
        <v>1876</v>
      </c>
      <c r="I1753">
        <v>35770.438522265606</v>
      </c>
      <c r="J1753">
        <v>37646.438522265606</v>
      </c>
      <c r="K1753">
        <f>IFERROR(VLOOKUP(F1753,'LEAID Match'!$A$2:$B$236,2,FALSE),"")</f>
        <v>2300068</v>
      </c>
    </row>
    <row r="1754" spans="1:11" x14ac:dyDescent="0.2">
      <c r="A1754">
        <f t="shared" si="27"/>
        <v>2300068</v>
      </c>
      <c r="B1754">
        <v>2018</v>
      </c>
      <c r="C1754" t="s">
        <v>642</v>
      </c>
      <c r="D1754" t="s">
        <v>644</v>
      </c>
      <c r="E1754" t="s">
        <v>646</v>
      </c>
      <c r="F1754" t="s">
        <v>315</v>
      </c>
      <c r="G1754" t="s">
        <v>316</v>
      </c>
      <c r="H1754">
        <v>4725</v>
      </c>
      <c r="I1754">
        <v>95772.413343319015</v>
      </c>
      <c r="J1754">
        <v>100497.41334331901</v>
      </c>
      <c r="K1754">
        <f>IFERROR(VLOOKUP(F1754,'LEAID Match'!$A$2:$B$236,2,FALSE),"")</f>
        <v>2300068</v>
      </c>
    </row>
    <row r="1755" spans="1:11" x14ac:dyDescent="0.2">
      <c r="A1755">
        <f t="shared" si="27"/>
        <v>2300068</v>
      </c>
      <c r="B1755">
        <v>2019</v>
      </c>
      <c r="C1755" t="s">
        <v>642</v>
      </c>
      <c r="D1755" t="s">
        <v>644</v>
      </c>
      <c r="E1755" t="s">
        <v>646</v>
      </c>
      <c r="F1755" t="s">
        <v>315</v>
      </c>
      <c r="G1755" t="s">
        <v>316</v>
      </c>
      <c r="H1755">
        <v>4958</v>
      </c>
      <c r="I1755">
        <v>106220.37248531268</v>
      </c>
      <c r="J1755">
        <v>111178.37248531268</v>
      </c>
      <c r="K1755">
        <f>IFERROR(VLOOKUP(F1755,'LEAID Match'!$A$2:$B$236,2,FALSE),"")</f>
        <v>2300068</v>
      </c>
    </row>
    <row r="1756" spans="1:11" x14ac:dyDescent="0.2">
      <c r="A1756">
        <f t="shared" si="27"/>
        <v>2300068</v>
      </c>
      <c r="B1756">
        <v>2020</v>
      </c>
      <c r="C1756" t="s">
        <v>642</v>
      </c>
      <c r="D1756" t="s">
        <v>644</v>
      </c>
      <c r="E1756" t="s">
        <v>646</v>
      </c>
      <c r="F1756" t="s">
        <v>315</v>
      </c>
      <c r="G1756" t="s">
        <v>316</v>
      </c>
      <c r="H1756">
        <v>4976</v>
      </c>
      <c r="I1756">
        <v>110874.86905415257</v>
      </c>
      <c r="J1756">
        <v>115850.86905415257</v>
      </c>
      <c r="K1756">
        <f>IFERROR(VLOOKUP(F1756,'LEAID Match'!$A$2:$B$236,2,FALSE),"")</f>
        <v>2300068</v>
      </c>
    </row>
    <row r="1757" spans="1:11" x14ac:dyDescent="0.2">
      <c r="A1757">
        <f t="shared" si="27"/>
        <v>2300068</v>
      </c>
      <c r="B1757">
        <v>2021</v>
      </c>
      <c r="C1757" t="s">
        <v>642</v>
      </c>
      <c r="D1757" t="s">
        <v>644</v>
      </c>
      <c r="E1757" t="s">
        <v>646</v>
      </c>
      <c r="F1757" t="s">
        <v>315</v>
      </c>
      <c r="G1757" t="s">
        <v>316</v>
      </c>
      <c r="H1757">
        <v>3690</v>
      </c>
      <c r="I1757">
        <v>61989.603036273962</v>
      </c>
      <c r="J1757">
        <v>65679.603036273969</v>
      </c>
      <c r="K1757">
        <f>IFERROR(VLOOKUP(F1757,'LEAID Match'!$A$2:$B$236,2,FALSE),"")</f>
        <v>2300068</v>
      </c>
    </row>
    <row r="1758" spans="1:11" x14ac:dyDescent="0.2">
      <c r="A1758">
        <f t="shared" si="27"/>
        <v>2300068</v>
      </c>
      <c r="B1758">
        <v>2022</v>
      </c>
      <c r="C1758" t="s">
        <v>642</v>
      </c>
      <c r="D1758" t="s">
        <v>644</v>
      </c>
      <c r="E1758" t="s">
        <v>646</v>
      </c>
      <c r="F1758" t="s">
        <v>315</v>
      </c>
      <c r="G1758" t="s">
        <v>316</v>
      </c>
      <c r="H1758">
        <v>4834</v>
      </c>
      <c r="I1758">
        <v>69585.298173224815</v>
      </c>
      <c r="J1758">
        <v>74419.298173224815</v>
      </c>
      <c r="K1758">
        <f>IFERROR(VLOOKUP(F1758,'LEAID Match'!$A$2:$B$236,2,FALSE),"")</f>
        <v>2300068</v>
      </c>
    </row>
    <row r="1759" spans="1:11" x14ac:dyDescent="0.2">
      <c r="A1759">
        <f t="shared" si="27"/>
        <v>2307980</v>
      </c>
      <c r="B1759">
        <v>2015</v>
      </c>
      <c r="C1759" t="s">
        <v>642</v>
      </c>
      <c r="D1759" t="s">
        <v>644</v>
      </c>
      <c r="E1759" t="s">
        <v>646</v>
      </c>
      <c r="F1759" t="s">
        <v>305</v>
      </c>
      <c r="G1759" t="s">
        <v>306</v>
      </c>
      <c r="I1759">
        <v>0</v>
      </c>
      <c r="J1759">
        <v>0</v>
      </c>
      <c r="K1759">
        <f>IFERROR(VLOOKUP(F1759,'LEAID Match'!$A$2:$B$236,2,FALSE),"")</f>
        <v>2307980</v>
      </c>
    </row>
    <row r="1760" spans="1:11" x14ac:dyDescent="0.2">
      <c r="A1760" t="str">
        <f t="shared" si="27"/>
        <v/>
      </c>
      <c r="B1760">
        <v>2015</v>
      </c>
      <c r="C1760" t="s">
        <v>642</v>
      </c>
      <c r="D1760" t="s">
        <v>644</v>
      </c>
      <c r="E1760" t="s">
        <v>646</v>
      </c>
      <c r="F1760" t="s">
        <v>317</v>
      </c>
      <c r="G1760" t="s">
        <v>318</v>
      </c>
      <c r="I1760">
        <v>0</v>
      </c>
      <c r="J1760">
        <v>0</v>
      </c>
      <c r="K1760" t="str">
        <f>IFERROR(VLOOKUP(F1760,'LEAID Match'!$A$2:$B$236,2,FALSE),"")</f>
        <v/>
      </c>
    </row>
    <row r="1761" spans="1:11" x14ac:dyDescent="0.2">
      <c r="A1761" t="str">
        <f t="shared" si="27"/>
        <v/>
      </c>
      <c r="B1761">
        <v>2016</v>
      </c>
      <c r="C1761" t="s">
        <v>642</v>
      </c>
      <c r="D1761" t="s">
        <v>644</v>
      </c>
      <c r="E1761" t="s">
        <v>646</v>
      </c>
      <c r="F1761" s="1" t="s">
        <v>317</v>
      </c>
      <c r="G1761" s="1" t="s">
        <v>318</v>
      </c>
      <c r="H1761" s="22"/>
      <c r="I1761">
        <v>0</v>
      </c>
      <c r="J1761">
        <v>0</v>
      </c>
      <c r="K1761" t="str">
        <f>IFERROR(VLOOKUP(F1761,'LEAID Match'!$A$2:$B$236,2,FALSE),"")</f>
        <v/>
      </c>
    </row>
    <row r="1762" spans="1:11" x14ac:dyDescent="0.2">
      <c r="A1762" t="str">
        <f t="shared" si="27"/>
        <v/>
      </c>
      <c r="B1762">
        <v>2017</v>
      </c>
      <c r="C1762" t="s">
        <v>642</v>
      </c>
      <c r="D1762" t="s">
        <v>644</v>
      </c>
      <c r="E1762" t="s">
        <v>646</v>
      </c>
      <c r="F1762" t="s">
        <v>317</v>
      </c>
      <c r="G1762" t="s">
        <v>318</v>
      </c>
      <c r="I1762">
        <v>0</v>
      </c>
      <c r="J1762">
        <v>0</v>
      </c>
      <c r="K1762" t="str">
        <f>IFERROR(VLOOKUP(F1762,'LEAID Match'!$A$2:$B$236,2,FALSE),"")</f>
        <v/>
      </c>
    </row>
    <row r="1763" spans="1:11" x14ac:dyDescent="0.2">
      <c r="A1763" t="str">
        <f t="shared" si="27"/>
        <v/>
      </c>
      <c r="B1763">
        <v>2018</v>
      </c>
      <c r="C1763" t="s">
        <v>642</v>
      </c>
      <c r="D1763" t="s">
        <v>644</v>
      </c>
      <c r="E1763" t="s">
        <v>646</v>
      </c>
      <c r="F1763" t="s">
        <v>317</v>
      </c>
      <c r="G1763" t="s">
        <v>318</v>
      </c>
      <c r="I1763">
        <v>0</v>
      </c>
      <c r="J1763">
        <v>0</v>
      </c>
      <c r="K1763" t="str">
        <f>IFERROR(VLOOKUP(F1763,'LEAID Match'!$A$2:$B$236,2,FALSE),"")</f>
        <v/>
      </c>
    </row>
    <row r="1764" spans="1:11" x14ac:dyDescent="0.2">
      <c r="A1764" t="str">
        <f t="shared" si="27"/>
        <v/>
      </c>
      <c r="B1764">
        <v>2019</v>
      </c>
      <c r="C1764" t="s">
        <v>642</v>
      </c>
      <c r="D1764" t="s">
        <v>644</v>
      </c>
      <c r="E1764" t="s">
        <v>646</v>
      </c>
      <c r="F1764" t="s">
        <v>317</v>
      </c>
      <c r="G1764" t="s">
        <v>318</v>
      </c>
      <c r="I1764">
        <v>0</v>
      </c>
      <c r="J1764">
        <v>0</v>
      </c>
      <c r="K1764" t="str">
        <f>IFERROR(VLOOKUP(F1764,'LEAID Match'!$A$2:$B$236,2,FALSE),"")</f>
        <v/>
      </c>
    </row>
    <row r="1765" spans="1:11" x14ac:dyDescent="0.2">
      <c r="A1765" t="str">
        <f t="shared" si="27"/>
        <v/>
      </c>
      <c r="B1765">
        <v>2020</v>
      </c>
      <c r="C1765" t="s">
        <v>642</v>
      </c>
      <c r="D1765" t="s">
        <v>644</v>
      </c>
      <c r="E1765" t="s">
        <v>646</v>
      </c>
      <c r="F1765" t="s">
        <v>317</v>
      </c>
      <c r="G1765" t="s">
        <v>318</v>
      </c>
      <c r="I1765">
        <v>0</v>
      </c>
      <c r="J1765">
        <v>0</v>
      </c>
      <c r="K1765" t="str">
        <f>IFERROR(VLOOKUP(F1765,'LEAID Match'!$A$2:$B$236,2,FALSE),"")</f>
        <v/>
      </c>
    </row>
    <row r="1766" spans="1:11" x14ac:dyDescent="0.2">
      <c r="A1766" t="str">
        <f t="shared" si="27"/>
        <v/>
      </c>
      <c r="B1766">
        <v>2021</v>
      </c>
      <c r="C1766" t="s">
        <v>642</v>
      </c>
      <c r="D1766" t="s">
        <v>644</v>
      </c>
      <c r="E1766" t="s">
        <v>646</v>
      </c>
      <c r="F1766" t="s">
        <v>317</v>
      </c>
      <c r="G1766" t="s">
        <v>318</v>
      </c>
      <c r="I1766">
        <v>0</v>
      </c>
      <c r="J1766">
        <v>0</v>
      </c>
      <c r="K1766" t="str">
        <f>IFERROR(VLOOKUP(F1766,'LEAID Match'!$A$2:$B$236,2,FALSE),"")</f>
        <v/>
      </c>
    </row>
    <row r="1767" spans="1:11" x14ac:dyDescent="0.2">
      <c r="A1767" t="str">
        <f t="shared" si="27"/>
        <v/>
      </c>
      <c r="B1767">
        <v>2022</v>
      </c>
      <c r="C1767" t="s">
        <v>642</v>
      </c>
      <c r="D1767" t="s">
        <v>644</v>
      </c>
      <c r="E1767" t="s">
        <v>646</v>
      </c>
      <c r="F1767" t="s">
        <v>317</v>
      </c>
      <c r="G1767" t="s">
        <v>318</v>
      </c>
      <c r="I1767">
        <v>0</v>
      </c>
      <c r="J1767">
        <v>0</v>
      </c>
      <c r="K1767" t="str">
        <f>IFERROR(VLOOKUP(F1767,'LEAID Match'!$A$2:$B$236,2,FALSE),"")</f>
        <v/>
      </c>
    </row>
    <row r="1768" spans="1:11" x14ac:dyDescent="0.2">
      <c r="A1768" t="str">
        <f t="shared" si="27"/>
        <v/>
      </c>
      <c r="B1768">
        <v>2015</v>
      </c>
      <c r="C1768" t="s">
        <v>642</v>
      </c>
      <c r="D1768" t="s">
        <v>644</v>
      </c>
      <c r="E1768" t="s">
        <v>646</v>
      </c>
      <c r="F1768" t="s">
        <v>608</v>
      </c>
      <c r="G1768" t="s">
        <v>319</v>
      </c>
      <c r="I1768">
        <v>0</v>
      </c>
      <c r="J1768">
        <v>0</v>
      </c>
      <c r="K1768" t="str">
        <f>IFERROR(VLOOKUP(F1768,'LEAID Match'!$A$2:$B$236,2,FALSE),"")</f>
        <v/>
      </c>
    </row>
    <row r="1769" spans="1:11" x14ac:dyDescent="0.2">
      <c r="A1769" t="str">
        <f t="shared" si="27"/>
        <v/>
      </c>
      <c r="B1769">
        <v>2016</v>
      </c>
      <c r="C1769" t="s">
        <v>642</v>
      </c>
      <c r="D1769" t="s">
        <v>644</v>
      </c>
      <c r="E1769" t="s">
        <v>646</v>
      </c>
      <c r="F1769" s="1" t="s">
        <v>608</v>
      </c>
      <c r="G1769" s="1" t="s">
        <v>319</v>
      </c>
      <c r="H1769" s="22"/>
      <c r="I1769">
        <v>0</v>
      </c>
      <c r="J1769">
        <v>0</v>
      </c>
      <c r="K1769" t="str">
        <f>IFERROR(VLOOKUP(F1769,'LEAID Match'!$A$2:$B$236,2,FALSE),"")</f>
        <v/>
      </c>
    </row>
    <row r="1770" spans="1:11" x14ac:dyDescent="0.2">
      <c r="A1770" t="str">
        <f t="shared" si="27"/>
        <v/>
      </c>
      <c r="B1770">
        <v>2017</v>
      </c>
      <c r="C1770" t="s">
        <v>642</v>
      </c>
      <c r="D1770" t="s">
        <v>644</v>
      </c>
      <c r="E1770" t="s">
        <v>646</v>
      </c>
      <c r="F1770" t="s">
        <v>608</v>
      </c>
      <c r="G1770" t="s">
        <v>319</v>
      </c>
      <c r="I1770">
        <v>0</v>
      </c>
      <c r="J1770">
        <v>0</v>
      </c>
      <c r="K1770" t="str">
        <f>IFERROR(VLOOKUP(F1770,'LEAID Match'!$A$2:$B$236,2,FALSE),"")</f>
        <v/>
      </c>
    </row>
    <row r="1771" spans="1:11" x14ac:dyDescent="0.2">
      <c r="A1771" t="str">
        <f t="shared" si="27"/>
        <v/>
      </c>
      <c r="B1771">
        <v>2018</v>
      </c>
      <c r="C1771" t="s">
        <v>642</v>
      </c>
      <c r="D1771" t="s">
        <v>644</v>
      </c>
      <c r="E1771" t="s">
        <v>646</v>
      </c>
      <c r="F1771" t="s">
        <v>608</v>
      </c>
      <c r="G1771" t="s">
        <v>319</v>
      </c>
      <c r="I1771">
        <v>0</v>
      </c>
      <c r="J1771">
        <v>0</v>
      </c>
      <c r="K1771" t="str">
        <f>IFERROR(VLOOKUP(F1771,'LEAID Match'!$A$2:$B$236,2,FALSE),"")</f>
        <v/>
      </c>
    </row>
    <row r="1772" spans="1:11" x14ac:dyDescent="0.2">
      <c r="A1772" t="str">
        <f t="shared" si="27"/>
        <v/>
      </c>
      <c r="B1772">
        <v>2019</v>
      </c>
      <c r="C1772" t="s">
        <v>642</v>
      </c>
      <c r="D1772" t="s">
        <v>644</v>
      </c>
      <c r="E1772" t="s">
        <v>646</v>
      </c>
      <c r="F1772" t="s">
        <v>608</v>
      </c>
      <c r="G1772" t="s">
        <v>319</v>
      </c>
      <c r="I1772">
        <v>0</v>
      </c>
      <c r="J1772">
        <v>0</v>
      </c>
      <c r="K1772" t="str">
        <f>IFERROR(VLOOKUP(F1772,'LEAID Match'!$A$2:$B$236,2,FALSE),"")</f>
        <v/>
      </c>
    </row>
    <row r="1773" spans="1:11" x14ac:dyDescent="0.2">
      <c r="A1773" t="str">
        <f t="shared" si="27"/>
        <v/>
      </c>
      <c r="B1773">
        <v>2020</v>
      </c>
      <c r="C1773" t="s">
        <v>642</v>
      </c>
      <c r="D1773" t="s">
        <v>644</v>
      </c>
      <c r="E1773" t="s">
        <v>646</v>
      </c>
      <c r="F1773" t="s">
        <v>608</v>
      </c>
      <c r="G1773" t="s">
        <v>319</v>
      </c>
      <c r="I1773">
        <v>0</v>
      </c>
      <c r="J1773">
        <v>0</v>
      </c>
      <c r="K1773" t="str">
        <f>IFERROR(VLOOKUP(F1773,'LEAID Match'!$A$2:$B$236,2,FALSE),"")</f>
        <v/>
      </c>
    </row>
    <row r="1774" spans="1:11" x14ac:dyDescent="0.2">
      <c r="A1774" t="str">
        <f t="shared" si="27"/>
        <v/>
      </c>
      <c r="B1774">
        <v>2021</v>
      </c>
      <c r="C1774" t="s">
        <v>642</v>
      </c>
      <c r="D1774" t="s">
        <v>644</v>
      </c>
      <c r="E1774" t="s">
        <v>646</v>
      </c>
      <c r="F1774" t="s">
        <v>608</v>
      </c>
      <c r="G1774" t="s">
        <v>319</v>
      </c>
      <c r="I1774">
        <v>0</v>
      </c>
      <c r="J1774">
        <v>0</v>
      </c>
      <c r="K1774" t="str">
        <f>IFERROR(VLOOKUP(F1774,'LEAID Match'!$A$2:$B$236,2,FALSE),"")</f>
        <v/>
      </c>
    </row>
    <row r="1775" spans="1:11" x14ac:dyDescent="0.2">
      <c r="A1775" t="str">
        <f t="shared" si="27"/>
        <v/>
      </c>
      <c r="B1775">
        <v>2022</v>
      </c>
      <c r="C1775" t="s">
        <v>642</v>
      </c>
      <c r="D1775" t="s">
        <v>644</v>
      </c>
      <c r="E1775" t="s">
        <v>646</v>
      </c>
      <c r="F1775" t="s">
        <v>608</v>
      </c>
      <c r="G1775" t="s">
        <v>319</v>
      </c>
      <c r="I1775">
        <v>0</v>
      </c>
      <c r="J1775">
        <v>0</v>
      </c>
      <c r="K1775" t="str">
        <f>IFERROR(VLOOKUP(F1775,'LEAID Match'!$A$2:$B$236,2,FALSE),"")</f>
        <v/>
      </c>
    </row>
    <row r="1776" spans="1:11" x14ac:dyDescent="0.2">
      <c r="A1776" t="str">
        <f t="shared" si="27"/>
        <v/>
      </c>
      <c r="B1776">
        <v>2015</v>
      </c>
      <c r="C1776" t="s">
        <v>642</v>
      </c>
      <c r="D1776" t="s">
        <v>644</v>
      </c>
      <c r="E1776" t="s">
        <v>646</v>
      </c>
      <c r="F1776" t="s">
        <v>609</v>
      </c>
      <c r="G1776" t="s">
        <v>320</v>
      </c>
      <c r="H1776">
        <v>9</v>
      </c>
      <c r="I1776">
        <v>172.56276797167345</v>
      </c>
      <c r="J1776">
        <v>181.56276797167345</v>
      </c>
      <c r="K1776" t="str">
        <f>IFERROR(VLOOKUP(F1776,'LEAID Match'!$A$2:$B$236,2,FALSE),"")</f>
        <v/>
      </c>
    </row>
    <row r="1777" spans="1:11" x14ac:dyDescent="0.2">
      <c r="A1777" t="str">
        <f t="shared" si="27"/>
        <v/>
      </c>
      <c r="B1777">
        <v>2016</v>
      </c>
      <c r="C1777" t="s">
        <v>642</v>
      </c>
      <c r="D1777" t="s">
        <v>644</v>
      </c>
      <c r="E1777" t="s">
        <v>646</v>
      </c>
      <c r="F1777" s="1" t="s">
        <v>609</v>
      </c>
      <c r="G1777" s="1" t="s">
        <v>320</v>
      </c>
      <c r="H1777" s="22"/>
      <c r="I1777">
        <v>0</v>
      </c>
      <c r="J1777">
        <v>0</v>
      </c>
      <c r="K1777" t="str">
        <f>IFERROR(VLOOKUP(F1777,'LEAID Match'!$A$2:$B$236,2,FALSE),"")</f>
        <v/>
      </c>
    </row>
    <row r="1778" spans="1:11" x14ac:dyDescent="0.2">
      <c r="A1778" t="str">
        <f t="shared" si="27"/>
        <v/>
      </c>
      <c r="B1778">
        <v>2017</v>
      </c>
      <c r="C1778" t="s">
        <v>642</v>
      </c>
      <c r="D1778" t="s">
        <v>644</v>
      </c>
      <c r="E1778" t="s">
        <v>646</v>
      </c>
      <c r="F1778" t="s">
        <v>609</v>
      </c>
      <c r="G1778" t="s">
        <v>320</v>
      </c>
      <c r="I1778">
        <v>0</v>
      </c>
      <c r="J1778">
        <v>0</v>
      </c>
      <c r="K1778" t="str">
        <f>IFERROR(VLOOKUP(F1778,'LEAID Match'!$A$2:$B$236,2,FALSE),"")</f>
        <v/>
      </c>
    </row>
    <row r="1779" spans="1:11" x14ac:dyDescent="0.2">
      <c r="A1779" t="str">
        <f t="shared" si="27"/>
        <v/>
      </c>
      <c r="B1779">
        <v>2018</v>
      </c>
      <c r="C1779" t="s">
        <v>642</v>
      </c>
      <c r="D1779" t="s">
        <v>644</v>
      </c>
      <c r="E1779" t="s">
        <v>646</v>
      </c>
      <c r="F1779" t="s">
        <v>609</v>
      </c>
      <c r="G1779" t="s">
        <v>320</v>
      </c>
      <c r="I1779">
        <v>0</v>
      </c>
      <c r="J1779">
        <v>0</v>
      </c>
      <c r="K1779" t="str">
        <f>IFERROR(VLOOKUP(F1779,'LEAID Match'!$A$2:$B$236,2,FALSE),"")</f>
        <v/>
      </c>
    </row>
    <row r="1780" spans="1:11" x14ac:dyDescent="0.2">
      <c r="A1780" t="str">
        <f t="shared" si="27"/>
        <v/>
      </c>
      <c r="B1780">
        <v>2019</v>
      </c>
      <c r="C1780" t="s">
        <v>642</v>
      </c>
      <c r="D1780" t="s">
        <v>644</v>
      </c>
      <c r="E1780" t="s">
        <v>646</v>
      </c>
      <c r="F1780" t="s">
        <v>609</v>
      </c>
      <c r="G1780" t="s">
        <v>320</v>
      </c>
      <c r="I1780">
        <v>0</v>
      </c>
      <c r="J1780">
        <v>0</v>
      </c>
      <c r="K1780" t="str">
        <f>IFERROR(VLOOKUP(F1780,'LEAID Match'!$A$2:$B$236,2,FALSE),"")</f>
        <v/>
      </c>
    </row>
    <row r="1781" spans="1:11" x14ac:dyDescent="0.2">
      <c r="A1781" t="str">
        <f t="shared" si="27"/>
        <v/>
      </c>
      <c r="B1781">
        <v>2020</v>
      </c>
      <c r="C1781" t="s">
        <v>642</v>
      </c>
      <c r="D1781" t="s">
        <v>644</v>
      </c>
      <c r="E1781" t="s">
        <v>646</v>
      </c>
      <c r="F1781" t="s">
        <v>609</v>
      </c>
      <c r="G1781" t="s">
        <v>320</v>
      </c>
      <c r="I1781">
        <v>0</v>
      </c>
      <c r="J1781">
        <v>0</v>
      </c>
      <c r="K1781" t="str">
        <f>IFERROR(VLOOKUP(F1781,'LEAID Match'!$A$2:$B$236,2,FALSE),"")</f>
        <v/>
      </c>
    </row>
    <row r="1782" spans="1:11" x14ac:dyDescent="0.2">
      <c r="A1782" t="str">
        <f t="shared" si="27"/>
        <v/>
      </c>
      <c r="B1782">
        <v>2021</v>
      </c>
      <c r="C1782" t="s">
        <v>642</v>
      </c>
      <c r="D1782" t="s">
        <v>644</v>
      </c>
      <c r="E1782" t="s">
        <v>646</v>
      </c>
      <c r="F1782" t="s">
        <v>609</v>
      </c>
      <c r="G1782" t="s">
        <v>320</v>
      </c>
      <c r="I1782">
        <v>0</v>
      </c>
      <c r="J1782">
        <v>0</v>
      </c>
      <c r="K1782" t="str">
        <f>IFERROR(VLOOKUP(F1782,'LEAID Match'!$A$2:$B$236,2,FALSE),"")</f>
        <v/>
      </c>
    </row>
    <row r="1783" spans="1:11" x14ac:dyDescent="0.2">
      <c r="A1783" t="str">
        <f t="shared" si="27"/>
        <v/>
      </c>
      <c r="B1783">
        <v>2022</v>
      </c>
      <c r="C1783" t="s">
        <v>642</v>
      </c>
      <c r="D1783" t="s">
        <v>644</v>
      </c>
      <c r="E1783" t="s">
        <v>646</v>
      </c>
      <c r="F1783" t="s">
        <v>609</v>
      </c>
      <c r="G1783" t="s">
        <v>320</v>
      </c>
      <c r="I1783">
        <v>0</v>
      </c>
      <c r="J1783">
        <v>0</v>
      </c>
      <c r="K1783" t="str">
        <f>IFERROR(VLOOKUP(F1783,'LEAID Match'!$A$2:$B$236,2,FALSE),"")</f>
        <v/>
      </c>
    </row>
    <row r="1784" spans="1:11" x14ac:dyDescent="0.2">
      <c r="A1784" t="str">
        <f t="shared" si="27"/>
        <v/>
      </c>
      <c r="B1784">
        <v>2015</v>
      </c>
      <c r="C1784" t="s">
        <v>642</v>
      </c>
      <c r="D1784" t="s">
        <v>644</v>
      </c>
      <c r="E1784" t="s">
        <v>646</v>
      </c>
      <c r="F1784" t="s">
        <v>321</v>
      </c>
      <c r="G1784" t="s">
        <v>322</v>
      </c>
      <c r="I1784">
        <v>0</v>
      </c>
      <c r="J1784">
        <v>0</v>
      </c>
      <c r="K1784" t="str">
        <f>IFERROR(VLOOKUP(F1784,'LEAID Match'!$A$2:$B$236,2,FALSE),"")</f>
        <v/>
      </c>
    </row>
    <row r="1785" spans="1:11" x14ac:dyDescent="0.2">
      <c r="A1785" t="str">
        <f t="shared" si="27"/>
        <v/>
      </c>
      <c r="B1785">
        <v>2016</v>
      </c>
      <c r="C1785" t="s">
        <v>642</v>
      </c>
      <c r="D1785" t="s">
        <v>644</v>
      </c>
      <c r="E1785" t="s">
        <v>646</v>
      </c>
      <c r="F1785" s="1" t="s">
        <v>321</v>
      </c>
      <c r="G1785" s="1" t="s">
        <v>322</v>
      </c>
      <c r="H1785" s="22"/>
      <c r="I1785">
        <v>0</v>
      </c>
      <c r="J1785">
        <v>0</v>
      </c>
      <c r="K1785" t="str">
        <f>IFERROR(VLOOKUP(F1785,'LEAID Match'!$A$2:$B$236,2,FALSE),"")</f>
        <v/>
      </c>
    </row>
    <row r="1786" spans="1:11" x14ac:dyDescent="0.2">
      <c r="A1786" t="str">
        <f t="shared" si="27"/>
        <v/>
      </c>
      <c r="B1786">
        <v>2017</v>
      </c>
      <c r="C1786" t="s">
        <v>642</v>
      </c>
      <c r="D1786" t="s">
        <v>644</v>
      </c>
      <c r="E1786" t="s">
        <v>646</v>
      </c>
      <c r="F1786" t="s">
        <v>321</v>
      </c>
      <c r="G1786" t="s">
        <v>322</v>
      </c>
      <c r="I1786">
        <v>0</v>
      </c>
      <c r="J1786">
        <v>0</v>
      </c>
      <c r="K1786" t="str">
        <f>IFERROR(VLOOKUP(F1786,'LEAID Match'!$A$2:$B$236,2,FALSE),"")</f>
        <v/>
      </c>
    </row>
    <row r="1787" spans="1:11" x14ac:dyDescent="0.2">
      <c r="A1787" t="str">
        <f t="shared" si="27"/>
        <v/>
      </c>
      <c r="B1787">
        <v>2018</v>
      </c>
      <c r="C1787" t="s">
        <v>642</v>
      </c>
      <c r="D1787" t="s">
        <v>644</v>
      </c>
      <c r="E1787" t="s">
        <v>646</v>
      </c>
      <c r="F1787" t="s">
        <v>321</v>
      </c>
      <c r="G1787" t="s">
        <v>322</v>
      </c>
      <c r="I1787">
        <v>0</v>
      </c>
      <c r="J1787">
        <v>0</v>
      </c>
      <c r="K1787" t="str">
        <f>IFERROR(VLOOKUP(F1787,'LEAID Match'!$A$2:$B$236,2,FALSE),"")</f>
        <v/>
      </c>
    </row>
    <row r="1788" spans="1:11" x14ac:dyDescent="0.2">
      <c r="A1788" t="str">
        <f t="shared" si="27"/>
        <v/>
      </c>
      <c r="B1788">
        <v>2019</v>
      </c>
      <c r="C1788" t="s">
        <v>642</v>
      </c>
      <c r="D1788" t="s">
        <v>644</v>
      </c>
      <c r="E1788" t="s">
        <v>646</v>
      </c>
      <c r="F1788" t="s">
        <v>321</v>
      </c>
      <c r="G1788" t="s">
        <v>322</v>
      </c>
      <c r="I1788">
        <v>0</v>
      </c>
      <c r="J1788">
        <v>0</v>
      </c>
      <c r="K1788" t="str">
        <f>IFERROR(VLOOKUP(F1788,'LEAID Match'!$A$2:$B$236,2,FALSE),"")</f>
        <v/>
      </c>
    </row>
    <row r="1789" spans="1:11" x14ac:dyDescent="0.2">
      <c r="A1789" t="str">
        <f t="shared" si="27"/>
        <v/>
      </c>
      <c r="B1789">
        <v>2020</v>
      </c>
      <c r="C1789" t="s">
        <v>642</v>
      </c>
      <c r="D1789" t="s">
        <v>644</v>
      </c>
      <c r="E1789" t="s">
        <v>646</v>
      </c>
      <c r="F1789" t="s">
        <v>321</v>
      </c>
      <c r="G1789" t="s">
        <v>322</v>
      </c>
      <c r="I1789">
        <v>0</v>
      </c>
      <c r="J1789">
        <v>0</v>
      </c>
      <c r="K1789" t="str">
        <f>IFERROR(VLOOKUP(F1789,'LEAID Match'!$A$2:$B$236,2,FALSE),"")</f>
        <v/>
      </c>
    </row>
    <row r="1790" spans="1:11" x14ac:dyDescent="0.2">
      <c r="A1790" t="str">
        <f t="shared" si="27"/>
        <v/>
      </c>
      <c r="B1790">
        <v>2021</v>
      </c>
      <c r="C1790" t="s">
        <v>642</v>
      </c>
      <c r="D1790" t="s">
        <v>644</v>
      </c>
      <c r="E1790" t="s">
        <v>646</v>
      </c>
      <c r="F1790" t="s">
        <v>321</v>
      </c>
      <c r="G1790" t="s">
        <v>322</v>
      </c>
      <c r="I1790">
        <v>0</v>
      </c>
      <c r="J1790">
        <v>0</v>
      </c>
      <c r="K1790" t="str">
        <f>IFERROR(VLOOKUP(F1790,'LEAID Match'!$A$2:$B$236,2,FALSE),"")</f>
        <v/>
      </c>
    </row>
    <row r="1791" spans="1:11" x14ac:dyDescent="0.2">
      <c r="A1791" t="str">
        <f t="shared" si="27"/>
        <v/>
      </c>
      <c r="B1791">
        <v>2022</v>
      </c>
      <c r="C1791" t="s">
        <v>642</v>
      </c>
      <c r="D1791" t="s">
        <v>644</v>
      </c>
      <c r="E1791" t="s">
        <v>646</v>
      </c>
      <c r="F1791" t="s">
        <v>321</v>
      </c>
      <c r="G1791" t="s">
        <v>322</v>
      </c>
      <c r="I1791">
        <v>0</v>
      </c>
      <c r="J1791">
        <v>0</v>
      </c>
      <c r="K1791" t="str">
        <f>IFERROR(VLOOKUP(F1791,'LEAID Match'!$A$2:$B$236,2,FALSE),"")</f>
        <v/>
      </c>
    </row>
    <row r="1792" spans="1:11" x14ac:dyDescent="0.2">
      <c r="A1792">
        <f t="shared" si="27"/>
        <v>2303290</v>
      </c>
      <c r="B1792">
        <v>2015</v>
      </c>
      <c r="C1792" t="s">
        <v>642</v>
      </c>
      <c r="D1792" t="s">
        <v>644</v>
      </c>
      <c r="E1792" t="s">
        <v>646</v>
      </c>
      <c r="F1792" t="s">
        <v>610</v>
      </c>
      <c r="G1792" t="s">
        <v>323</v>
      </c>
      <c r="H1792">
        <v>21287</v>
      </c>
      <c r="I1792">
        <v>408149.29353477922</v>
      </c>
      <c r="J1792">
        <v>429436.29353477922</v>
      </c>
      <c r="K1792">
        <f>IFERROR(VLOOKUP(F1792,'LEAID Match'!$A$2:$B$236,2,FALSE),"")</f>
        <v>2303290</v>
      </c>
    </row>
    <row r="1793" spans="1:11" x14ac:dyDescent="0.2">
      <c r="A1793">
        <f t="shared" si="27"/>
        <v>2303290</v>
      </c>
      <c r="B1793">
        <v>2016</v>
      </c>
      <c r="C1793" t="s">
        <v>642</v>
      </c>
      <c r="D1793" t="s">
        <v>644</v>
      </c>
      <c r="E1793" t="s">
        <v>646</v>
      </c>
      <c r="F1793" s="1" t="s">
        <v>610</v>
      </c>
      <c r="G1793" s="1" t="s">
        <v>323</v>
      </c>
      <c r="H1793" s="22">
        <v>15923</v>
      </c>
      <c r="I1793">
        <v>302610.28174151038</v>
      </c>
      <c r="J1793">
        <v>318533.28174151038</v>
      </c>
      <c r="K1793">
        <f>IFERROR(VLOOKUP(F1793,'LEAID Match'!$A$2:$B$236,2,FALSE),"")</f>
        <v>2303290</v>
      </c>
    </row>
    <row r="1794" spans="1:11" x14ac:dyDescent="0.2">
      <c r="A1794">
        <f t="shared" si="27"/>
        <v>2303290</v>
      </c>
      <c r="B1794">
        <v>2017</v>
      </c>
      <c r="C1794" t="s">
        <v>642</v>
      </c>
      <c r="D1794" t="s">
        <v>644</v>
      </c>
      <c r="E1794" t="s">
        <v>646</v>
      </c>
      <c r="F1794" t="s">
        <v>610</v>
      </c>
      <c r="G1794" t="s">
        <v>323</v>
      </c>
      <c r="H1794">
        <v>14196</v>
      </c>
      <c r="I1794">
        <v>270680.78105654719</v>
      </c>
      <c r="J1794">
        <v>284876.78105654719</v>
      </c>
      <c r="K1794">
        <f>IFERROR(VLOOKUP(F1794,'LEAID Match'!$A$2:$B$236,2,FALSE),"")</f>
        <v>2303290</v>
      </c>
    </row>
    <row r="1795" spans="1:11" x14ac:dyDescent="0.2">
      <c r="A1795">
        <f t="shared" ref="A1795:A1858" si="28">K1795</f>
        <v>2303290</v>
      </c>
      <c r="B1795">
        <v>2018</v>
      </c>
      <c r="C1795" t="s">
        <v>642</v>
      </c>
      <c r="D1795" t="s">
        <v>644</v>
      </c>
      <c r="E1795" t="s">
        <v>646</v>
      </c>
      <c r="F1795" t="s">
        <v>610</v>
      </c>
      <c r="G1795" t="s">
        <v>323</v>
      </c>
      <c r="H1795">
        <v>18885</v>
      </c>
      <c r="I1795">
        <v>382785.61396583694</v>
      </c>
      <c r="J1795">
        <v>401670.61396583694</v>
      </c>
      <c r="K1795">
        <f>IFERROR(VLOOKUP(F1795,'LEAID Match'!$A$2:$B$236,2,FALSE),"")</f>
        <v>2303290</v>
      </c>
    </row>
    <row r="1796" spans="1:11" x14ac:dyDescent="0.2">
      <c r="A1796">
        <f t="shared" si="28"/>
        <v>2303290</v>
      </c>
      <c r="B1796">
        <v>2019</v>
      </c>
      <c r="C1796" t="s">
        <v>642</v>
      </c>
      <c r="D1796" t="s">
        <v>644</v>
      </c>
      <c r="E1796" t="s">
        <v>646</v>
      </c>
      <c r="F1796" t="s">
        <v>610</v>
      </c>
      <c r="G1796" t="s">
        <v>323</v>
      </c>
      <c r="H1796">
        <v>19271</v>
      </c>
      <c r="I1796">
        <v>412862.60551925382</v>
      </c>
      <c r="J1796">
        <v>432133.60551925382</v>
      </c>
      <c r="K1796">
        <f>IFERROR(VLOOKUP(F1796,'LEAID Match'!$A$2:$B$236,2,FALSE),"")</f>
        <v>2303290</v>
      </c>
    </row>
    <row r="1797" spans="1:11" x14ac:dyDescent="0.2">
      <c r="A1797">
        <f t="shared" si="28"/>
        <v>2303290</v>
      </c>
      <c r="B1797">
        <v>2020</v>
      </c>
      <c r="C1797" t="s">
        <v>642</v>
      </c>
      <c r="D1797" t="s">
        <v>644</v>
      </c>
      <c r="E1797" t="s">
        <v>646</v>
      </c>
      <c r="F1797" t="s">
        <v>610</v>
      </c>
      <c r="G1797" t="s">
        <v>323</v>
      </c>
      <c r="H1797">
        <v>20026</v>
      </c>
      <c r="I1797">
        <v>446217.87131801835</v>
      </c>
      <c r="J1797">
        <v>466243.87131801835</v>
      </c>
      <c r="K1797">
        <f>IFERROR(VLOOKUP(F1797,'LEAID Match'!$A$2:$B$236,2,FALSE),"")</f>
        <v>2303290</v>
      </c>
    </row>
    <row r="1798" spans="1:11" x14ac:dyDescent="0.2">
      <c r="A1798">
        <f t="shared" si="28"/>
        <v>2303290</v>
      </c>
      <c r="B1798">
        <v>2021</v>
      </c>
      <c r="C1798" t="s">
        <v>642</v>
      </c>
      <c r="D1798" t="s">
        <v>644</v>
      </c>
      <c r="E1798" t="s">
        <v>646</v>
      </c>
      <c r="F1798" t="s">
        <v>610</v>
      </c>
      <c r="G1798" t="s">
        <v>323</v>
      </c>
      <c r="H1798">
        <v>21548</v>
      </c>
      <c r="I1798">
        <v>361992.4027711738</v>
      </c>
      <c r="J1798">
        <v>383540.4027711738</v>
      </c>
      <c r="K1798">
        <f>IFERROR(VLOOKUP(F1798,'LEAID Match'!$A$2:$B$236,2,FALSE),"")</f>
        <v>2303290</v>
      </c>
    </row>
    <row r="1799" spans="1:11" x14ac:dyDescent="0.2">
      <c r="A1799">
        <f t="shared" si="28"/>
        <v>2303290</v>
      </c>
      <c r="B1799">
        <v>2022</v>
      </c>
      <c r="C1799" t="s">
        <v>642</v>
      </c>
      <c r="D1799" t="s">
        <v>644</v>
      </c>
      <c r="E1799" t="s">
        <v>646</v>
      </c>
      <c r="F1799" t="s">
        <v>610</v>
      </c>
      <c r="G1799" t="s">
        <v>323</v>
      </c>
      <c r="H1799">
        <v>40173</v>
      </c>
      <c r="I1799">
        <v>578289.23945241212</v>
      </c>
      <c r="J1799">
        <v>618462.23945241212</v>
      </c>
      <c r="K1799">
        <f>IFERROR(VLOOKUP(F1799,'LEAID Match'!$A$2:$B$236,2,FALSE),"")</f>
        <v>2303290</v>
      </c>
    </row>
    <row r="1800" spans="1:11" x14ac:dyDescent="0.2">
      <c r="A1800">
        <f t="shared" si="28"/>
        <v>2305400</v>
      </c>
      <c r="B1800">
        <v>2015</v>
      </c>
      <c r="C1800" t="s">
        <v>642</v>
      </c>
      <c r="D1800" t="s">
        <v>644</v>
      </c>
      <c r="E1800" t="s">
        <v>646</v>
      </c>
      <c r="F1800" t="s">
        <v>324</v>
      </c>
      <c r="G1800" t="s">
        <v>325</v>
      </c>
      <c r="H1800">
        <v>3582</v>
      </c>
      <c r="I1800">
        <v>68679.981652726041</v>
      </c>
      <c r="J1800">
        <v>72261.981652726041</v>
      </c>
      <c r="K1800">
        <f>IFERROR(VLOOKUP(F1800,'LEAID Match'!$A$2:$B$236,2,FALSE),"")</f>
        <v>2305400</v>
      </c>
    </row>
    <row r="1801" spans="1:11" x14ac:dyDescent="0.2">
      <c r="A1801">
        <f t="shared" si="28"/>
        <v>2305400</v>
      </c>
      <c r="B1801">
        <v>2016</v>
      </c>
      <c r="C1801" t="s">
        <v>642</v>
      </c>
      <c r="D1801" t="s">
        <v>644</v>
      </c>
      <c r="E1801" t="s">
        <v>646</v>
      </c>
      <c r="F1801" s="1" t="s">
        <v>324</v>
      </c>
      <c r="G1801" s="1" t="s">
        <v>325</v>
      </c>
      <c r="H1801" s="22">
        <v>3404</v>
      </c>
      <c r="I1801">
        <v>64691.666083533339</v>
      </c>
      <c r="J1801">
        <v>68095.666083533346</v>
      </c>
      <c r="K1801">
        <f>IFERROR(VLOOKUP(F1801,'LEAID Match'!$A$2:$B$236,2,FALSE),"")</f>
        <v>2305400</v>
      </c>
    </row>
    <row r="1802" spans="1:11" x14ac:dyDescent="0.2">
      <c r="A1802">
        <f t="shared" si="28"/>
        <v>2305400</v>
      </c>
      <c r="B1802">
        <v>2017</v>
      </c>
      <c r="C1802" t="s">
        <v>642</v>
      </c>
      <c r="D1802" t="s">
        <v>644</v>
      </c>
      <c r="E1802" t="s">
        <v>646</v>
      </c>
      <c r="F1802" t="s">
        <v>324</v>
      </c>
      <c r="G1802" t="s">
        <v>325</v>
      </c>
      <c r="H1802">
        <v>2782</v>
      </c>
      <c r="I1802">
        <v>53045.501049543134</v>
      </c>
      <c r="J1802">
        <v>55827.501049543134</v>
      </c>
      <c r="K1802">
        <f>IFERROR(VLOOKUP(F1802,'LEAID Match'!$A$2:$B$236,2,FALSE),"")</f>
        <v>2305400</v>
      </c>
    </row>
    <row r="1803" spans="1:11" x14ac:dyDescent="0.2">
      <c r="A1803">
        <f t="shared" si="28"/>
        <v>2305400</v>
      </c>
      <c r="B1803">
        <v>2018</v>
      </c>
      <c r="C1803" t="s">
        <v>642</v>
      </c>
      <c r="D1803" t="s">
        <v>644</v>
      </c>
      <c r="E1803" t="s">
        <v>646</v>
      </c>
      <c r="F1803" t="s">
        <v>324</v>
      </c>
      <c r="G1803" t="s">
        <v>325</v>
      </c>
      <c r="H1803">
        <v>4976</v>
      </c>
      <c r="I1803">
        <v>100860.00609446675</v>
      </c>
      <c r="J1803">
        <v>105836.00609446675</v>
      </c>
      <c r="K1803">
        <f>IFERROR(VLOOKUP(F1803,'LEAID Match'!$A$2:$B$236,2,FALSE),"")</f>
        <v>2305400</v>
      </c>
    </row>
    <row r="1804" spans="1:11" x14ac:dyDescent="0.2">
      <c r="A1804">
        <f t="shared" si="28"/>
        <v>2305400</v>
      </c>
      <c r="B1804">
        <v>2019</v>
      </c>
      <c r="C1804" t="s">
        <v>642</v>
      </c>
      <c r="D1804" t="s">
        <v>644</v>
      </c>
      <c r="E1804" t="s">
        <v>646</v>
      </c>
      <c r="F1804" t="s">
        <v>324</v>
      </c>
      <c r="G1804" t="s">
        <v>325</v>
      </c>
      <c r="H1804">
        <v>2274</v>
      </c>
      <c r="I1804">
        <v>48718.258780072822</v>
      </c>
      <c r="J1804">
        <v>50992.258780072822</v>
      </c>
      <c r="K1804">
        <f>IFERROR(VLOOKUP(F1804,'LEAID Match'!$A$2:$B$236,2,FALSE),"")</f>
        <v>2305400</v>
      </c>
    </row>
    <row r="1805" spans="1:11" x14ac:dyDescent="0.2">
      <c r="A1805">
        <f t="shared" si="28"/>
        <v>2305400</v>
      </c>
      <c r="B1805">
        <v>2020</v>
      </c>
      <c r="C1805" t="s">
        <v>642</v>
      </c>
      <c r="D1805" t="s">
        <v>644</v>
      </c>
      <c r="E1805" t="s">
        <v>646</v>
      </c>
      <c r="F1805" t="s">
        <v>324</v>
      </c>
      <c r="G1805" t="s">
        <v>325</v>
      </c>
      <c r="H1805">
        <v>3307</v>
      </c>
      <c r="I1805">
        <v>73686.332789807595</v>
      </c>
      <c r="J1805">
        <v>76993.332789807595</v>
      </c>
      <c r="K1805">
        <f>IFERROR(VLOOKUP(F1805,'LEAID Match'!$A$2:$B$236,2,FALSE),"")</f>
        <v>2305400</v>
      </c>
    </row>
    <row r="1806" spans="1:11" x14ac:dyDescent="0.2">
      <c r="A1806">
        <f t="shared" si="28"/>
        <v>2305400</v>
      </c>
      <c r="B1806">
        <v>2021</v>
      </c>
      <c r="C1806" t="s">
        <v>642</v>
      </c>
      <c r="D1806" t="s">
        <v>644</v>
      </c>
      <c r="E1806" t="s">
        <v>646</v>
      </c>
      <c r="F1806" t="s">
        <v>324</v>
      </c>
      <c r="G1806" t="s">
        <v>325</v>
      </c>
      <c r="H1806">
        <v>6754</v>
      </c>
      <c r="I1806">
        <v>113462.81271192258</v>
      </c>
      <c r="J1806">
        <v>120216.81271192258</v>
      </c>
      <c r="K1806">
        <f>IFERROR(VLOOKUP(F1806,'LEAID Match'!$A$2:$B$236,2,FALSE),"")</f>
        <v>2305400</v>
      </c>
    </row>
    <row r="1807" spans="1:11" x14ac:dyDescent="0.2">
      <c r="A1807">
        <f t="shared" si="28"/>
        <v>2305400</v>
      </c>
      <c r="B1807">
        <v>2022</v>
      </c>
      <c r="C1807" t="s">
        <v>642</v>
      </c>
      <c r="D1807" t="s">
        <v>644</v>
      </c>
      <c r="E1807" t="s">
        <v>646</v>
      </c>
      <c r="F1807" t="s">
        <v>324</v>
      </c>
      <c r="G1807" t="s">
        <v>325</v>
      </c>
      <c r="H1807">
        <v>7551</v>
      </c>
      <c r="I1807">
        <v>108696.4390786141</v>
      </c>
      <c r="J1807">
        <v>116247.4390786141</v>
      </c>
      <c r="K1807">
        <f>IFERROR(VLOOKUP(F1807,'LEAID Match'!$A$2:$B$236,2,FALSE),"")</f>
        <v>2305400</v>
      </c>
    </row>
    <row r="1808" spans="1:11" x14ac:dyDescent="0.2">
      <c r="A1808">
        <f t="shared" si="28"/>
        <v>2312360</v>
      </c>
      <c r="B1808">
        <v>2015</v>
      </c>
      <c r="C1808" t="s">
        <v>642</v>
      </c>
      <c r="D1808" t="s">
        <v>644</v>
      </c>
      <c r="E1808" t="s">
        <v>646</v>
      </c>
      <c r="F1808" t="s">
        <v>326</v>
      </c>
      <c r="G1808" t="s">
        <v>327</v>
      </c>
      <c r="I1808">
        <v>0</v>
      </c>
      <c r="J1808">
        <v>0</v>
      </c>
      <c r="K1808">
        <f>IFERROR(VLOOKUP(F1808,'LEAID Match'!$A$2:$B$236,2,FALSE),"")</f>
        <v>2312360</v>
      </c>
    </row>
    <row r="1809" spans="1:11" x14ac:dyDescent="0.2">
      <c r="A1809">
        <f t="shared" si="28"/>
        <v>2312360</v>
      </c>
      <c r="B1809">
        <v>2016</v>
      </c>
      <c r="C1809" t="s">
        <v>642</v>
      </c>
      <c r="D1809" t="s">
        <v>644</v>
      </c>
      <c r="E1809" t="s">
        <v>646</v>
      </c>
      <c r="F1809" s="1" t="s">
        <v>326</v>
      </c>
      <c r="G1809" s="1" t="s">
        <v>327</v>
      </c>
      <c r="H1809" s="22">
        <v>306</v>
      </c>
      <c r="I1809">
        <v>5815.4082907054053</v>
      </c>
      <c r="J1809">
        <v>6121.4082907054053</v>
      </c>
      <c r="K1809">
        <f>IFERROR(VLOOKUP(F1809,'LEAID Match'!$A$2:$B$236,2,FALSE),"")</f>
        <v>2312360</v>
      </c>
    </row>
    <row r="1810" spans="1:11" x14ac:dyDescent="0.2">
      <c r="A1810">
        <f t="shared" si="28"/>
        <v>2312360</v>
      </c>
      <c r="B1810">
        <v>2017</v>
      </c>
      <c r="C1810" t="s">
        <v>642</v>
      </c>
      <c r="D1810" t="s">
        <v>644</v>
      </c>
      <c r="E1810" t="s">
        <v>646</v>
      </c>
      <c r="F1810" t="s">
        <v>326</v>
      </c>
      <c r="G1810" t="s">
        <v>327</v>
      </c>
      <c r="H1810">
        <v>1330</v>
      </c>
      <c r="I1810">
        <v>25359.639250859946</v>
      </c>
      <c r="J1810">
        <v>26689.639250859946</v>
      </c>
      <c r="K1810">
        <f>IFERROR(VLOOKUP(F1810,'LEAID Match'!$A$2:$B$236,2,FALSE),"")</f>
        <v>2312360</v>
      </c>
    </row>
    <row r="1811" spans="1:11" x14ac:dyDescent="0.2">
      <c r="A1811">
        <f t="shared" si="28"/>
        <v>2312360</v>
      </c>
      <c r="B1811">
        <v>2018</v>
      </c>
      <c r="C1811" t="s">
        <v>642</v>
      </c>
      <c r="D1811" t="s">
        <v>644</v>
      </c>
      <c r="E1811" t="s">
        <v>646</v>
      </c>
      <c r="F1811" t="s">
        <v>326</v>
      </c>
      <c r="G1811" t="s">
        <v>327</v>
      </c>
      <c r="H1811">
        <v>1405</v>
      </c>
      <c r="I1811">
        <v>28478.357830129782</v>
      </c>
      <c r="J1811">
        <v>29883.357830129782</v>
      </c>
      <c r="K1811">
        <f>IFERROR(VLOOKUP(F1811,'LEAID Match'!$A$2:$B$236,2,FALSE),"")</f>
        <v>2312360</v>
      </c>
    </row>
    <row r="1812" spans="1:11" x14ac:dyDescent="0.2">
      <c r="A1812">
        <f t="shared" si="28"/>
        <v>2312360</v>
      </c>
      <c r="B1812">
        <v>2019</v>
      </c>
      <c r="C1812" t="s">
        <v>642</v>
      </c>
      <c r="D1812" t="s">
        <v>644</v>
      </c>
      <c r="E1812" t="s">
        <v>646</v>
      </c>
      <c r="F1812" t="s">
        <v>326</v>
      </c>
      <c r="G1812" t="s">
        <v>327</v>
      </c>
      <c r="H1812">
        <v>1301</v>
      </c>
      <c r="I1812">
        <v>27872.671360103224</v>
      </c>
      <c r="J1812">
        <v>29173.671360103224</v>
      </c>
      <c r="K1812">
        <f>IFERROR(VLOOKUP(F1812,'LEAID Match'!$A$2:$B$236,2,FALSE),"")</f>
        <v>2312360</v>
      </c>
    </row>
    <row r="1813" spans="1:11" x14ac:dyDescent="0.2">
      <c r="A1813">
        <f t="shared" si="28"/>
        <v>2312360</v>
      </c>
      <c r="B1813">
        <v>2020</v>
      </c>
      <c r="C1813" t="s">
        <v>642</v>
      </c>
      <c r="D1813" t="s">
        <v>644</v>
      </c>
      <c r="E1813" t="s">
        <v>646</v>
      </c>
      <c r="F1813" t="s">
        <v>326</v>
      </c>
      <c r="G1813" t="s">
        <v>327</v>
      </c>
      <c r="H1813">
        <v>3089</v>
      </c>
      <c r="I1813">
        <v>68828.872690570191</v>
      </c>
      <c r="J1813">
        <v>71917.872690570191</v>
      </c>
      <c r="K1813">
        <f>IFERROR(VLOOKUP(F1813,'LEAID Match'!$A$2:$B$236,2,FALSE),"")</f>
        <v>2312360</v>
      </c>
    </row>
    <row r="1814" spans="1:11" x14ac:dyDescent="0.2">
      <c r="A1814">
        <f t="shared" si="28"/>
        <v>2312360</v>
      </c>
      <c r="B1814">
        <v>2021</v>
      </c>
      <c r="C1814" t="s">
        <v>642</v>
      </c>
      <c r="D1814" t="s">
        <v>644</v>
      </c>
      <c r="E1814" t="s">
        <v>646</v>
      </c>
      <c r="F1814" t="s">
        <v>326</v>
      </c>
      <c r="G1814" t="s">
        <v>327</v>
      </c>
      <c r="H1814">
        <v>3473</v>
      </c>
      <c r="I1814">
        <v>58344.143995929393</v>
      </c>
      <c r="J1814">
        <v>61817.143995929393</v>
      </c>
      <c r="K1814">
        <f>IFERROR(VLOOKUP(F1814,'LEAID Match'!$A$2:$B$236,2,FALSE),"")</f>
        <v>2312360</v>
      </c>
    </row>
    <row r="1815" spans="1:11" x14ac:dyDescent="0.2">
      <c r="A1815">
        <f t="shared" si="28"/>
        <v>2312360</v>
      </c>
      <c r="B1815">
        <v>2022</v>
      </c>
      <c r="C1815" t="s">
        <v>642</v>
      </c>
      <c r="D1815" t="s">
        <v>644</v>
      </c>
      <c r="E1815" t="s">
        <v>646</v>
      </c>
      <c r="F1815" t="s">
        <v>326</v>
      </c>
      <c r="G1815" t="s">
        <v>327</v>
      </c>
      <c r="H1815">
        <v>2799</v>
      </c>
      <c r="I1815">
        <v>40291.528669188301</v>
      </c>
      <c r="J1815">
        <v>43090.528669188301</v>
      </c>
      <c r="K1815">
        <f>IFERROR(VLOOKUP(F1815,'LEAID Match'!$A$2:$B$236,2,FALSE),"")</f>
        <v>2312360</v>
      </c>
    </row>
    <row r="1816" spans="1:11" x14ac:dyDescent="0.2">
      <c r="A1816">
        <f t="shared" si="28"/>
        <v>2305970</v>
      </c>
      <c r="B1816">
        <v>2015</v>
      </c>
      <c r="C1816" t="s">
        <v>642</v>
      </c>
      <c r="D1816" t="s">
        <v>644</v>
      </c>
      <c r="E1816" t="s">
        <v>646</v>
      </c>
      <c r="F1816" t="s">
        <v>611</v>
      </c>
      <c r="G1816" t="s">
        <v>328</v>
      </c>
      <c r="H1816">
        <v>2146</v>
      </c>
      <c r="I1816">
        <v>41146.633340801243</v>
      </c>
      <c r="J1816">
        <v>43292.633340801243</v>
      </c>
      <c r="K1816">
        <f>IFERROR(VLOOKUP(F1816,'LEAID Match'!$A$2:$B$236,2,FALSE),"")</f>
        <v>2305970</v>
      </c>
    </row>
    <row r="1817" spans="1:11" x14ac:dyDescent="0.2">
      <c r="A1817">
        <f t="shared" si="28"/>
        <v>2305970</v>
      </c>
      <c r="B1817">
        <v>2016</v>
      </c>
      <c r="C1817" t="s">
        <v>642</v>
      </c>
      <c r="D1817" t="s">
        <v>644</v>
      </c>
      <c r="E1817" t="s">
        <v>646</v>
      </c>
      <c r="F1817" s="1" t="s">
        <v>611</v>
      </c>
      <c r="G1817" s="1" t="s">
        <v>328</v>
      </c>
      <c r="H1817" s="22">
        <v>2309</v>
      </c>
      <c r="I1817">
        <v>43881.62661189145</v>
      </c>
      <c r="J1817">
        <v>46190.62661189145</v>
      </c>
      <c r="K1817">
        <f>IFERROR(VLOOKUP(F1817,'LEAID Match'!$A$2:$B$236,2,FALSE),"")</f>
        <v>2305970</v>
      </c>
    </row>
    <row r="1818" spans="1:11" x14ac:dyDescent="0.2">
      <c r="A1818">
        <f t="shared" si="28"/>
        <v>2305970</v>
      </c>
      <c r="B1818">
        <v>2017</v>
      </c>
      <c r="C1818" t="s">
        <v>642</v>
      </c>
      <c r="D1818" t="s">
        <v>644</v>
      </c>
      <c r="E1818" t="s">
        <v>646</v>
      </c>
      <c r="F1818" t="s">
        <v>611</v>
      </c>
      <c r="G1818" t="s">
        <v>328</v>
      </c>
      <c r="H1818">
        <v>1396</v>
      </c>
      <c r="I1818">
        <v>26618.087514436455</v>
      </c>
      <c r="J1818">
        <v>28014.087514436455</v>
      </c>
      <c r="K1818">
        <f>IFERROR(VLOOKUP(F1818,'LEAID Match'!$A$2:$B$236,2,FALSE),"")</f>
        <v>2305970</v>
      </c>
    </row>
    <row r="1819" spans="1:11" x14ac:dyDescent="0.2">
      <c r="A1819">
        <f t="shared" si="28"/>
        <v>2305970</v>
      </c>
      <c r="B1819">
        <v>2018</v>
      </c>
      <c r="C1819" t="s">
        <v>642</v>
      </c>
      <c r="D1819" t="s">
        <v>644</v>
      </c>
      <c r="E1819" t="s">
        <v>646</v>
      </c>
      <c r="F1819" t="s">
        <v>611</v>
      </c>
      <c r="G1819" t="s">
        <v>328</v>
      </c>
      <c r="H1819">
        <v>167</v>
      </c>
      <c r="I1819">
        <v>3384.9720694887351</v>
      </c>
      <c r="J1819">
        <v>3551.9720694887351</v>
      </c>
      <c r="K1819">
        <f>IFERROR(VLOOKUP(F1819,'LEAID Match'!$A$2:$B$236,2,FALSE),"")</f>
        <v>2305970</v>
      </c>
    </row>
    <row r="1820" spans="1:11" x14ac:dyDescent="0.2">
      <c r="A1820">
        <f t="shared" si="28"/>
        <v>2305970</v>
      </c>
      <c r="B1820">
        <v>2019</v>
      </c>
      <c r="C1820" t="s">
        <v>642</v>
      </c>
      <c r="D1820" t="s">
        <v>644</v>
      </c>
      <c r="E1820" t="s">
        <v>646</v>
      </c>
      <c r="F1820" t="s">
        <v>611</v>
      </c>
      <c r="G1820" t="s">
        <v>328</v>
      </c>
      <c r="H1820">
        <v>621</v>
      </c>
      <c r="I1820">
        <v>13304.326606167642</v>
      </c>
      <c r="J1820">
        <v>13925.326606167642</v>
      </c>
      <c r="K1820">
        <f>IFERROR(VLOOKUP(F1820,'LEAID Match'!$A$2:$B$236,2,FALSE),"")</f>
        <v>2305970</v>
      </c>
    </row>
    <row r="1821" spans="1:11" x14ac:dyDescent="0.2">
      <c r="A1821">
        <f t="shared" si="28"/>
        <v>2305970</v>
      </c>
      <c r="B1821">
        <v>2020</v>
      </c>
      <c r="C1821" t="s">
        <v>642</v>
      </c>
      <c r="D1821" t="s">
        <v>644</v>
      </c>
      <c r="E1821" t="s">
        <v>646</v>
      </c>
      <c r="F1821" t="s">
        <v>611</v>
      </c>
      <c r="G1821" t="s">
        <v>328</v>
      </c>
      <c r="H1821">
        <v>3188</v>
      </c>
      <c r="I1821">
        <v>71034.783469581671</v>
      </c>
      <c r="J1821">
        <v>74222.783469581671</v>
      </c>
      <c r="K1821">
        <f>IFERROR(VLOOKUP(F1821,'LEAID Match'!$A$2:$B$236,2,FALSE),"")</f>
        <v>2305970</v>
      </c>
    </row>
    <row r="1822" spans="1:11" x14ac:dyDescent="0.2">
      <c r="A1822">
        <f t="shared" si="28"/>
        <v>2305970</v>
      </c>
      <c r="B1822">
        <v>2021</v>
      </c>
      <c r="C1822" t="s">
        <v>642</v>
      </c>
      <c r="D1822" t="s">
        <v>644</v>
      </c>
      <c r="E1822" t="s">
        <v>646</v>
      </c>
      <c r="F1822" t="s">
        <v>611</v>
      </c>
      <c r="G1822" t="s">
        <v>328</v>
      </c>
      <c r="H1822">
        <v>1994</v>
      </c>
      <c r="I1822">
        <v>33497.904730170805</v>
      </c>
      <c r="J1822">
        <v>35491.904730170805</v>
      </c>
      <c r="K1822">
        <f>IFERROR(VLOOKUP(F1822,'LEAID Match'!$A$2:$B$236,2,FALSE),"")</f>
        <v>2305970</v>
      </c>
    </row>
    <row r="1823" spans="1:11" x14ac:dyDescent="0.2">
      <c r="A1823">
        <f t="shared" si="28"/>
        <v>2305970</v>
      </c>
      <c r="B1823">
        <v>2022</v>
      </c>
      <c r="C1823" t="s">
        <v>642</v>
      </c>
      <c r="D1823" t="s">
        <v>644</v>
      </c>
      <c r="E1823" t="s">
        <v>646</v>
      </c>
      <c r="F1823" t="s">
        <v>611</v>
      </c>
      <c r="G1823" t="s">
        <v>328</v>
      </c>
      <c r="H1823">
        <v>2538</v>
      </c>
      <c r="I1823">
        <v>36534.440786852414</v>
      </c>
      <c r="J1823">
        <v>39072.440786852414</v>
      </c>
      <c r="K1823">
        <f>IFERROR(VLOOKUP(F1823,'LEAID Match'!$A$2:$B$236,2,FALSE),"")</f>
        <v>2305970</v>
      </c>
    </row>
    <row r="1824" spans="1:11" x14ac:dyDescent="0.2">
      <c r="A1824">
        <f t="shared" si="28"/>
        <v>2306250</v>
      </c>
      <c r="B1824">
        <v>2015</v>
      </c>
      <c r="C1824" t="s">
        <v>642</v>
      </c>
      <c r="D1824" t="s">
        <v>644</v>
      </c>
      <c r="E1824" t="s">
        <v>646</v>
      </c>
      <c r="F1824" t="s">
        <v>329</v>
      </c>
      <c r="G1824" t="s">
        <v>330</v>
      </c>
      <c r="H1824">
        <v>7597</v>
      </c>
      <c r="I1824">
        <v>145662.14980897814</v>
      </c>
      <c r="J1824">
        <v>153259.14980897814</v>
      </c>
      <c r="K1824">
        <f>IFERROR(VLOOKUP(F1824,'LEAID Match'!$A$2:$B$236,2,FALSE),"")</f>
        <v>2306250</v>
      </c>
    </row>
    <row r="1825" spans="1:11" x14ac:dyDescent="0.2">
      <c r="A1825">
        <f t="shared" si="28"/>
        <v>2306250</v>
      </c>
      <c r="B1825">
        <v>2016</v>
      </c>
      <c r="C1825" t="s">
        <v>642</v>
      </c>
      <c r="D1825" t="s">
        <v>644</v>
      </c>
      <c r="E1825" t="s">
        <v>646</v>
      </c>
      <c r="F1825" s="1" t="s">
        <v>329</v>
      </c>
      <c r="G1825" s="1" t="s">
        <v>330</v>
      </c>
      <c r="H1825" s="22">
        <v>4431</v>
      </c>
      <c r="I1825">
        <v>84209.392601685133</v>
      </c>
      <c r="J1825">
        <v>88640.392601685133</v>
      </c>
      <c r="K1825">
        <f>IFERROR(VLOOKUP(F1825,'LEAID Match'!$A$2:$B$236,2,FALSE),"")</f>
        <v>2306250</v>
      </c>
    </row>
    <row r="1826" spans="1:11" x14ac:dyDescent="0.2">
      <c r="A1826">
        <f t="shared" si="28"/>
        <v>2306250</v>
      </c>
      <c r="B1826">
        <v>2017</v>
      </c>
      <c r="C1826" t="s">
        <v>642</v>
      </c>
      <c r="D1826" t="s">
        <v>644</v>
      </c>
      <c r="E1826" t="s">
        <v>646</v>
      </c>
      <c r="F1826" t="s">
        <v>329</v>
      </c>
      <c r="G1826" t="s">
        <v>330</v>
      </c>
      <c r="H1826">
        <v>4648</v>
      </c>
      <c r="I1826">
        <v>88625.265592478972</v>
      </c>
      <c r="J1826">
        <v>93273.265592478972</v>
      </c>
      <c r="K1826">
        <f>IFERROR(VLOOKUP(F1826,'LEAID Match'!$A$2:$B$236,2,FALSE),"")</f>
        <v>2306250</v>
      </c>
    </row>
    <row r="1827" spans="1:11" x14ac:dyDescent="0.2">
      <c r="A1827">
        <f t="shared" si="28"/>
        <v>2306250</v>
      </c>
      <c r="B1827">
        <v>2018</v>
      </c>
      <c r="C1827" t="s">
        <v>642</v>
      </c>
      <c r="D1827" t="s">
        <v>644</v>
      </c>
      <c r="E1827" t="s">
        <v>646</v>
      </c>
      <c r="F1827" t="s">
        <v>329</v>
      </c>
      <c r="G1827" t="s">
        <v>330</v>
      </c>
      <c r="H1827">
        <v>6249</v>
      </c>
      <c r="I1827">
        <v>126662.81713913237</v>
      </c>
      <c r="J1827">
        <v>132911.81713913236</v>
      </c>
      <c r="K1827">
        <f>IFERROR(VLOOKUP(F1827,'LEAID Match'!$A$2:$B$236,2,FALSE),"")</f>
        <v>2306250</v>
      </c>
    </row>
    <row r="1828" spans="1:11" x14ac:dyDescent="0.2">
      <c r="A1828">
        <f t="shared" si="28"/>
        <v>2306250</v>
      </c>
      <c r="B1828">
        <v>2019</v>
      </c>
      <c r="C1828" t="s">
        <v>642</v>
      </c>
      <c r="D1828" t="s">
        <v>644</v>
      </c>
      <c r="E1828" t="s">
        <v>646</v>
      </c>
      <c r="F1828" t="s">
        <v>329</v>
      </c>
      <c r="G1828" t="s">
        <v>330</v>
      </c>
      <c r="H1828">
        <v>6350</v>
      </c>
      <c r="I1828">
        <v>136042.63115807492</v>
      </c>
      <c r="J1828">
        <v>142392.63115807492</v>
      </c>
      <c r="K1828">
        <f>IFERROR(VLOOKUP(F1828,'LEAID Match'!$A$2:$B$236,2,FALSE),"")</f>
        <v>2306250</v>
      </c>
    </row>
    <row r="1829" spans="1:11" x14ac:dyDescent="0.2">
      <c r="A1829">
        <f t="shared" si="28"/>
        <v>2306250</v>
      </c>
      <c r="B1829">
        <v>2020</v>
      </c>
      <c r="C1829" t="s">
        <v>642</v>
      </c>
      <c r="D1829" t="s">
        <v>644</v>
      </c>
      <c r="E1829" t="s">
        <v>646</v>
      </c>
      <c r="F1829" t="s">
        <v>329</v>
      </c>
      <c r="G1829" t="s">
        <v>330</v>
      </c>
      <c r="H1829">
        <v>8887</v>
      </c>
      <c r="I1829">
        <v>198019.48578863623</v>
      </c>
      <c r="J1829">
        <v>206906.48578863623</v>
      </c>
      <c r="K1829">
        <f>IFERROR(VLOOKUP(F1829,'LEAID Match'!$A$2:$B$236,2,FALSE),"")</f>
        <v>2306250</v>
      </c>
    </row>
    <row r="1830" spans="1:11" x14ac:dyDescent="0.2">
      <c r="A1830">
        <f t="shared" si="28"/>
        <v>2306250</v>
      </c>
      <c r="B1830">
        <v>2021</v>
      </c>
      <c r="C1830" t="s">
        <v>642</v>
      </c>
      <c r="D1830" t="s">
        <v>644</v>
      </c>
      <c r="E1830" t="s">
        <v>646</v>
      </c>
      <c r="F1830" t="s">
        <v>329</v>
      </c>
      <c r="G1830" t="s">
        <v>330</v>
      </c>
      <c r="H1830">
        <v>11741</v>
      </c>
      <c r="I1830">
        <v>197241.17323818229</v>
      </c>
      <c r="J1830">
        <v>208982.17323818229</v>
      </c>
      <c r="K1830">
        <f>IFERROR(VLOOKUP(F1830,'LEAID Match'!$A$2:$B$236,2,FALSE),"")</f>
        <v>2306250</v>
      </c>
    </row>
    <row r="1831" spans="1:11" x14ac:dyDescent="0.2">
      <c r="A1831">
        <f t="shared" si="28"/>
        <v>2306250</v>
      </c>
      <c r="B1831">
        <v>2022</v>
      </c>
      <c r="C1831" t="s">
        <v>642</v>
      </c>
      <c r="D1831" t="s">
        <v>644</v>
      </c>
      <c r="E1831" t="s">
        <v>646</v>
      </c>
      <c r="F1831" t="s">
        <v>329</v>
      </c>
      <c r="G1831" t="s">
        <v>330</v>
      </c>
      <c r="H1831">
        <v>7424</v>
      </c>
      <c r="I1831">
        <v>106868.27754199854</v>
      </c>
      <c r="J1831">
        <v>114292.27754199854</v>
      </c>
      <c r="K1831">
        <f>IFERROR(VLOOKUP(F1831,'LEAID Match'!$A$2:$B$236,2,FALSE),"")</f>
        <v>2306250</v>
      </c>
    </row>
    <row r="1832" spans="1:11" x14ac:dyDescent="0.2">
      <c r="A1832">
        <f t="shared" si="28"/>
        <v>2302510</v>
      </c>
      <c r="B1832">
        <v>2015</v>
      </c>
      <c r="C1832" t="s">
        <v>642</v>
      </c>
      <c r="D1832" t="s">
        <v>644</v>
      </c>
      <c r="E1832" t="s">
        <v>646</v>
      </c>
      <c r="F1832" t="s">
        <v>612</v>
      </c>
      <c r="G1832" t="s">
        <v>331</v>
      </c>
      <c r="H1832">
        <v>6058</v>
      </c>
      <c r="I1832">
        <v>116153.91648582197</v>
      </c>
      <c r="J1832">
        <v>122211.91648582197</v>
      </c>
      <c r="K1832">
        <f>IFERROR(VLOOKUP(F1832,'LEAID Match'!$A$2:$B$236,2,FALSE),"")</f>
        <v>2302510</v>
      </c>
    </row>
    <row r="1833" spans="1:11" x14ac:dyDescent="0.2">
      <c r="A1833">
        <f t="shared" si="28"/>
        <v>2302510</v>
      </c>
      <c r="B1833">
        <v>2016</v>
      </c>
      <c r="C1833" t="s">
        <v>642</v>
      </c>
      <c r="D1833" t="s">
        <v>644</v>
      </c>
      <c r="E1833" t="s">
        <v>646</v>
      </c>
      <c r="F1833" s="1" t="s">
        <v>612</v>
      </c>
      <c r="G1833" s="1" t="s">
        <v>331</v>
      </c>
      <c r="H1833" s="22">
        <v>5485</v>
      </c>
      <c r="I1833">
        <v>104240.24338078154</v>
      </c>
      <c r="J1833">
        <v>109725.24338078154</v>
      </c>
      <c r="K1833">
        <f>IFERROR(VLOOKUP(F1833,'LEAID Match'!$A$2:$B$236,2,FALSE),"")</f>
        <v>2302510</v>
      </c>
    </row>
    <row r="1834" spans="1:11" x14ac:dyDescent="0.2">
      <c r="A1834">
        <f t="shared" si="28"/>
        <v>2302510</v>
      </c>
      <c r="B1834">
        <v>2017</v>
      </c>
      <c r="C1834" t="s">
        <v>642</v>
      </c>
      <c r="D1834" t="s">
        <v>644</v>
      </c>
      <c r="E1834" t="s">
        <v>646</v>
      </c>
      <c r="F1834" t="s">
        <v>612</v>
      </c>
      <c r="G1834" t="s">
        <v>331</v>
      </c>
      <c r="H1834">
        <v>3581</v>
      </c>
      <c r="I1834">
        <v>68280.351997992082</v>
      </c>
      <c r="J1834">
        <v>71861.351997992082</v>
      </c>
      <c r="K1834">
        <f>IFERROR(VLOOKUP(F1834,'LEAID Match'!$A$2:$B$236,2,FALSE),"")</f>
        <v>2302510</v>
      </c>
    </row>
    <row r="1835" spans="1:11" x14ac:dyDescent="0.2">
      <c r="A1835">
        <f t="shared" si="28"/>
        <v>2302510</v>
      </c>
      <c r="B1835">
        <v>2018</v>
      </c>
      <c r="C1835" t="s">
        <v>642</v>
      </c>
      <c r="D1835" t="s">
        <v>644</v>
      </c>
      <c r="E1835" t="s">
        <v>646</v>
      </c>
      <c r="F1835" t="s">
        <v>612</v>
      </c>
      <c r="G1835" t="s">
        <v>331</v>
      </c>
      <c r="H1835">
        <v>6485</v>
      </c>
      <c r="I1835">
        <v>131446.37048284101</v>
      </c>
      <c r="J1835">
        <v>137931.37048284101</v>
      </c>
      <c r="K1835">
        <f>IFERROR(VLOOKUP(F1835,'LEAID Match'!$A$2:$B$236,2,FALSE),"")</f>
        <v>2302510</v>
      </c>
    </row>
    <row r="1836" spans="1:11" x14ac:dyDescent="0.2">
      <c r="A1836">
        <f t="shared" si="28"/>
        <v>2302510</v>
      </c>
      <c r="B1836">
        <v>2019</v>
      </c>
      <c r="C1836" t="s">
        <v>642</v>
      </c>
      <c r="D1836" t="s">
        <v>644</v>
      </c>
      <c r="E1836" t="s">
        <v>646</v>
      </c>
      <c r="F1836" t="s">
        <v>612</v>
      </c>
      <c r="G1836" t="s">
        <v>331</v>
      </c>
      <c r="H1836">
        <v>4948</v>
      </c>
      <c r="I1836">
        <v>106006.13212128422</v>
      </c>
      <c r="J1836">
        <v>110954.13212128422</v>
      </c>
      <c r="K1836">
        <f>IFERROR(VLOOKUP(F1836,'LEAID Match'!$A$2:$B$236,2,FALSE),"")</f>
        <v>2302510</v>
      </c>
    </row>
    <row r="1837" spans="1:11" x14ac:dyDescent="0.2">
      <c r="A1837">
        <f t="shared" si="28"/>
        <v>2302510</v>
      </c>
      <c r="B1837">
        <v>2020</v>
      </c>
      <c r="C1837" t="s">
        <v>642</v>
      </c>
      <c r="D1837" t="s">
        <v>644</v>
      </c>
      <c r="E1837" t="s">
        <v>646</v>
      </c>
      <c r="F1837" t="s">
        <v>612</v>
      </c>
      <c r="G1837" t="s">
        <v>331</v>
      </c>
      <c r="H1837">
        <v>8250</v>
      </c>
      <c r="I1837">
        <v>183825.89825095632</v>
      </c>
      <c r="J1837">
        <v>192075.89825095632</v>
      </c>
      <c r="K1837">
        <f>IFERROR(VLOOKUP(F1837,'LEAID Match'!$A$2:$B$236,2,FALSE),"")</f>
        <v>2302510</v>
      </c>
    </row>
    <row r="1838" spans="1:11" x14ac:dyDescent="0.2">
      <c r="A1838">
        <f t="shared" si="28"/>
        <v>2302510</v>
      </c>
      <c r="B1838">
        <v>2021</v>
      </c>
      <c r="C1838" t="s">
        <v>642</v>
      </c>
      <c r="D1838" t="s">
        <v>644</v>
      </c>
      <c r="E1838" t="s">
        <v>646</v>
      </c>
      <c r="F1838" t="s">
        <v>612</v>
      </c>
      <c r="G1838" t="s">
        <v>331</v>
      </c>
      <c r="H1838">
        <v>17479</v>
      </c>
      <c r="I1838">
        <v>293635.84592710907</v>
      </c>
      <c r="J1838">
        <v>311114.84592710907</v>
      </c>
      <c r="K1838">
        <f>IFERROR(VLOOKUP(F1838,'LEAID Match'!$A$2:$B$236,2,FALSE),"")</f>
        <v>2302510</v>
      </c>
    </row>
    <row r="1839" spans="1:11" x14ac:dyDescent="0.2">
      <c r="A1839">
        <f t="shared" si="28"/>
        <v>2302510</v>
      </c>
      <c r="B1839">
        <v>2022</v>
      </c>
      <c r="C1839" t="s">
        <v>642</v>
      </c>
      <c r="D1839" t="s">
        <v>644</v>
      </c>
      <c r="E1839" t="s">
        <v>646</v>
      </c>
      <c r="F1839" t="s">
        <v>612</v>
      </c>
      <c r="G1839" t="s">
        <v>331</v>
      </c>
      <c r="H1839">
        <v>14333</v>
      </c>
      <c r="I1839">
        <v>206323.14412843011</v>
      </c>
      <c r="J1839">
        <v>220656.14412843011</v>
      </c>
      <c r="K1839">
        <f>IFERROR(VLOOKUP(F1839,'LEAID Match'!$A$2:$B$236,2,FALSE),"")</f>
        <v>2302510</v>
      </c>
    </row>
    <row r="1840" spans="1:11" x14ac:dyDescent="0.2">
      <c r="A1840">
        <f t="shared" si="28"/>
        <v>2306610</v>
      </c>
      <c r="B1840">
        <v>2015</v>
      </c>
      <c r="C1840" t="s">
        <v>642</v>
      </c>
      <c r="D1840" t="s">
        <v>644</v>
      </c>
      <c r="E1840" t="s">
        <v>646</v>
      </c>
      <c r="F1840" t="s">
        <v>332</v>
      </c>
      <c r="G1840" t="s">
        <v>333</v>
      </c>
      <c r="H1840">
        <v>7300</v>
      </c>
      <c r="I1840">
        <v>139967.57846591293</v>
      </c>
      <c r="J1840">
        <v>147267.57846591293</v>
      </c>
      <c r="K1840">
        <f>IFERROR(VLOOKUP(F1840,'LEAID Match'!$A$2:$B$236,2,FALSE),"")</f>
        <v>2306610</v>
      </c>
    </row>
    <row r="1841" spans="1:11" x14ac:dyDescent="0.2">
      <c r="A1841">
        <f t="shared" si="28"/>
        <v>2306610</v>
      </c>
      <c r="B1841">
        <v>2016</v>
      </c>
      <c r="C1841" t="s">
        <v>642</v>
      </c>
      <c r="D1841" t="s">
        <v>644</v>
      </c>
      <c r="E1841" t="s">
        <v>646</v>
      </c>
      <c r="F1841" s="1" t="s">
        <v>332</v>
      </c>
      <c r="G1841" s="1" t="s">
        <v>333</v>
      </c>
      <c r="H1841" s="22">
        <v>4662</v>
      </c>
      <c r="I1841">
        <v>88599.455723100022</v>
      </c>
      <c r="J1841">
        <v>93261.455723100022</v>
      </c>
      <c r="K1841">
        <f>IFERROR(VLOOKUP(F1841,'LEAID Match'!$A$2:$B$236,2,FALSE),"")</f>
        <v>2306610</v>
      </c>
    </row>
    <row r="1842" spans="1:11" x14ac:dyDescent="0.2">
      <c r="A1842">
        <f t="shared" si="28"/>
        <v>2306610</v>
      </c>
      <c r="B1842">
        <v>2017</v>
      </c>
      <c r="C1842" t="s">
        <v>642</v>
      </c>
      <c r="D1842" t="s">
        <v>644</v>
      </c>
      <c r="E1842" t="s">
        <v>646</v>
      </c>
      <c r="F1842" t="s">
        <v>332</v>
      </c>
      <c r="G1842" t="s">
        <v>333</v>
      </c>
      <c r="H1842">
        <v>1902</v>
      </c>
      <c r="I1842">
        <v>36266.190868523023</v>
      </c>
      <c r="J1842">
        <v>38168.190868523023</v>
      </c>
      <c r="K1842">
        <f>IFERROR(VLOOKUP(F1842,'LEAID Match'!$A$2:$B$236,2,FALSE),"")</f>
        <v>2306610</v>
      </c>
    </row>
    <row r="1843" spans="1:11" x14ac:dyDescent="0.2">
      <c r="A1843">
        <f t="shared" si="28"/>
        <v>2306610</v>
      </c>
      <c r="B1843">
        <v>2018</v>
      </c>
      <c r="C1843" t="s">
        <v>642</v>
      </c>
      <c r="D1843" t="s">
        <v>644</v>
      </c>
      <c r="E1843" t="s">
        <v>646</v>
      </c>
      <c r="F1843" t="s">
        <v>332</v>
      </c>
      <c r="G1843" t="s">
        <v>333</v>
      </c>
      <c r="H1843">
        <v>5056</v>
      </c>
      <c r="I1843">
        <v>102481.54960080866</v>
      </c>
      <c r="J1843">
        <v>107537.54960080866</v>
      </c>
      <c r="K1843">
        <f>IFERROR(VLOOKUP(F1843,'LEAID Match'!$A$2:$B$236,2,FALSE),"")</f>
        <v>2306610</v>
      </c>
    </row>
    <row r="1844" spans="1:11" x14ac:dyDescent="0.2">
      <c r="A1844">
        <f t="shared" si="28"/>
        <v>2306610</v>
      </c>
      <c r="B1844">
        <v>2019</v>
      </c>
      <c r="C1844" t="s">
        <v>642</v>
      </c>
      <c r="D1844" t="s">
        <v>644</v>
      </c>
      <c r="E1844" t="s">
        <v>646</v>
      </c>
      <c r="F1844" t="s">
        <v>332</v>
      </c>
      <c r="G1844" t="s">
        <v>333</v>
      </c>
      <c r="H1844">
        <v>6080</v>
      </c>
      <c r="I1844">
        <v>130258.14132930638</v>
      </c>
      <c r="J1844">
        <v>136338.14132930638</v>
      </c>
      <c r="K1844">
        <f>IFERROR(VLOOKUP(F1844,'LEAID Match'!$A$2:$B$236,2,FALSE),"")</f>
        <v>2306610</v>
      </c>
    </row>
    <row r="1845" spans="1:11" x14ac:dyDescent="0.2">
      <c r="A1845">
        <f t="shared" si="28"/>
        <v>2306610</v>
      </c>
      <c r="B1845">
        <v>2020</v>
      </c>
      <c r="C1845" t="s">
        <v>642</v>
      </c>
      <c r="D1845" t="s">
        <v>644</v>
      </c>
      <c r="E1845" t="s">
        <v>646</v>
      </c>
      <c r="F1845" t="s">
        <v>332</v>
      </c>
      <c r="G1845" t="s">
        <v>333</v>
      </c>
      <c r="H1845">
        <v>6976</v>
      </c>
      <c r="I1845">
        <v>155438.72317559653</v>
      </c>
      <c r="J1845">
        <v>162414.72317559653</v>
      </c>
      <c r="K1845">
        <f>IFERROR(VLOOKUP(F1845,'LEAID Match'!$A$2:$B$236,2,FALSE),"")</f>
        <v>2306610</v>
      </c>
    </row>
    <row r="1846" spans="1:11" x14ac:dyDescent="0.2">
      <c r="A1846">
        <f t="shared" si="28"/>
        <v>2306610</v>
      </c>
      <c r="B1846">
        <v>2021</v>
      </c>
      <c r="C1846" t="s">
        <v>642</v>
      </c>
      <c r="D1846" t="s">
        <v>644</v>
      </c>
      <c r="E1846" t="s">
        <v>646</v>
      </c>
      <c r="F1846" t="s">
        <v>332</v>
      </c>
      <c r="G1846" t="s">
        <v>333</v>
      </c>
      <c r="H1846">
        <v>28770</v>
      </c>
      <c r="I1846">
        <v>483317.31147794094</v>
      </c>
      <c r="J1846">
        <v>512087.31147794094</v>
      </c>
      <c r="K1846">
        <f>IFERROR(VLOOKUP(F1846,'LEAID Match'!$A$2:$B$236,2,FALSE),"")</f>
        <v>2306610</v>
      </c>
    </row>
    <row r="1847" spans="1:11" x14ac:dyDescent="0.2">
      <c r="A1847">
        <f t="shared" si="28"/>
        <v>2306610</v>
      </c>
      <c r="B1847">
        <v>2022</v>
      </c>
      <c r="C1847" t="s">
        <v>642</v>
      </c>
      <c r="D1847" t="s">
        <v>644</v>
      </c>
      <c r="E1847" t="s">
        <v>646</v>
      </c>
      <c r="F1847" t="s">
        <v>332</v>
      </c>
      <c r="G1847" t="s">
        <v>333</v>
      </c>
      <c r="H1847">
        <v>24625</v>
      </c>
      <c r="I1847">
        <v>354476.20345793566</v>
      </c>
      <c r="J1847">
        <v>379101.20345793566</v>
      </c>
      <c r="K1847">
        <f>IFERROR(VLOOKUP(F1847,'LEAID Match'!$A$2:$B$236,2,FALSE),"")</f>
        <v>2306610</v>
      </c>
    </row>
    <row r="1848" spans="1:11" x14ac:dyDescent="0.2">
      <c r="A1848">
        <f t="shared" si="28"/>
        <v>2303610</v>
      </c>
      <c r="B1848">
        <v>2015</v>
      </c>
      <c r="C1848" t="s">
        <v>642</v>
      </c>
      <c r="D1848" t="s">
        <v>644</v>
      </c>
      <c r="E1848" t="s">
        <v>646</v>
      </c>
      <c r="F1848" t="s">
        <v>334</v>
      </c>
      <c r="G1848" t="s">
        <v>335</v>
      </c>
      <c r="H1848">
        <v>2635</v>
      </c>
      <c r="I1848">
        <v>50522.54373392884</v>
      </c>
      <c r="J1848">
        <v>53157.54373392884</v>
      </c>
      <c r="K1848">
        <f>IFERROR(VLOOKUP(F1848,'LEAID Match'!$A$2:$B$236,2,FALSE),"")</f>
        <v>2303610</v>
      </c>
    </row>
    <row r="1849" spans="1:11" x14ac:dyDescent="0.2">
      <c r="A1849">
        <f t="shared" si="28"/>
        <v>2303610</v>
      </c>
      <c r="B1849">
        <v>2016</v>
      </c>
      <c r="C1849" t="s">
        <v>642</v>
      </c>
      <c r="D1849" t="s">
        <v>644</v>
      </c>
      <c r="E1849" t="s">
        <v>646</v>
      </c>
      <c r="F1849" s="1" t="s">
        <v>334</v>
      </c>
      <c r="G1849" s="1" t="s">
        <v>335</v>
      </c>
      <c r="H1849" s="22">
        <v>2139</v>
      </c>
      <c r="I1849">
        <v>40650.844228166221</v>
      </c>
      <c r="J1849">
        <v>42789.844228166221</v>
      </c>
      <c r="K1849">
        <f>IFERROR(VLOOKUP(F1849,'LEAID Match'!$A$2:$B$236,2,FALSE),"")</f>
        <v>2303610</v>
      </c>
    </row>
    <row r="1850" spans="1:11" x14ac:dyDescent="0.2">
      <c r="A1850">
        <f t="shared" si="28"/>
        <v>2303610</v>
      </c>
      <c r="B1850">
        <v>2017</v>
      </c>
      <c r="C1850" t="s">
        <v>642</v>
      </c>
      <c r="D1850" t="s">
        <v>644</v>
      </c>
      <c r="E1850" t="s">
        <v>646</v>
      </c>
      <c r="F1850" t="s">
        <v>334</v>
      </c>
      <c r="G1850" t="s">
        <v>335</v>
      </c>
      <c r="H1850">
        <v>2195</v>
      </c>
      <c r="I1850">
        <v>41852.938462885402</v>
      </c>
      <c r="J1850">
        <v>44047.938462885402</v>
      </c>
      <c r="K1850">
        <f>IFERROR(VLOOKUP(F1850,'LEAID Match'!$A$2:$B$236,2,FALSE),"")</f>
        <v>2303610</v>
      </c>
    </row>
    <row r="1851" spans="1:11" x14ac:dyDescent="0.2">
      <c r="A1851">
        <f t="shared" si="28"/>
        <v>2303610</v>
      </c>
      <c r="B1851">
        <v>2018</v>
      </c>
      <c r="C1851" t="s">
        <v>642</v>
      </c>
      <c r="D1851" t="s">
        <v>644</v>
      </c>
      <c r="E1851" t="s">
        <v>646</v>
      </c>
      <c r="F1851" t="s">
        <v>334</v>
      </c>
      <c r="G1851" t="s">
        <v>335</v>
      </c>
      <c r="H1851">
        <v>2211</v>
      </c>
      <c r="I1851">
        <v>44815.408656524516</v>
      </c>
      <c r="J1851">
        <v>47026.408656524516</v>
      </c>
      <c r="K1851">
        <f>IFERROR(VLOOKUP(F1851,'LEAID Match'!$A$2:$B$236,2,FALSE),"")</f>
        <v>2303610</v>
      </c>
    </row>
    <row r="1852" spans="1:11" x14ac:dyDescent="0.2">
      <c r="A1852">
        <f t="shared" si="28"/>
        <v>2303610</v>
      </c>
      <c r="B1852">
        <v>2019</v>
      </c>
      <c r="C1852" t="s">
        <v>642</v>
      </c>
      <c r="D1852" t="s">
        <v>644</v>
      </c>
      <c r="E1852" t="s">
        <v>646</v>
      </c>
      <c r="F1852" t="s">
        <v>334</v>
      </c>
      <c r="G1852" t="s">
        <v>335</v>
      </c>
      <c r="H1852">
        <v>1361</v>
      </c>
      <c r="I1852">
        <v>29158.113544274012</v>
      </c>
      <c r="J1852">
        <v>30519.113544274012</v>
      </c>
      <c r="K1852">
        <f>IFERROR(VLOOKUP(F1852,'LEAID Match'!$A$2:$B$236,2,FALSE),"")</f>
        <v>2303610</v>
      </c>
    </row>
    <row r="1853" spans="1:11" x14ac:dyDescent="0.2">
      <c r="A1853">
        <f t="shared" si="28"/>
        <v>2303610</v>
      </c>
      <c r="B1853">
        <v>2020</v>
      </c>
      <c r="C1853" t="s">
        <v>642</v>
      </c>
      <c r="D1853" t="s">
        <v>644</v>
      </c>
      <c r="E1853" t="s">
        <v>646</v>
      </c>
      <c r="F1853" t="s">
        <v>334</v>
      </c>
      <c r="G1853" t="s">
        <v>335</v>
      </c>
      <c r="H1853">
        <v>242</v>
      </c>
      <c r="I1853">
        <v>5392.2263486947195</v>
      </c>
      <c r="J1853">
        <v>5634.2263486947195</v>
      </c>
      <c r="K1853">
        <f>IFERROR(VLOOKUP(F1853,'LEAID Match'!$A$2:$B$236,2,FALSE),"")</f>
        <v>2303610</v>
      </c>
    </row>
    <row r="1854" spans="1:11" x14ac:dyDescent="0.2">
      <c r="A1854">
        <f t="shared" si="28"/>
        <v>2303610</v>
      </c>
      <c r="B1854">
        <v>2021</v>
      </c>
      <c r="C1854" t="s">
        <v>642</v>
      </c>
      <c r="D1854" t="s">
        <v>644</v>
      </c>
      <c r="E1854" t="s">
        <v>646</v>
      </c>
      <c r="F1854" t="s">
        <v>334</v>
      </c>
      <c r="G1854" t="s">
        <v>335</v>
      </c>
      <c r="H1854">
        <v>1431</v>
      </c>
      <c r="I1854">
        <v>24039.870445774537</v>
      </c>
      <c r="J1854">
        <v>25470.870445774537</v>
      </c>
      <c r="K1854">
        <f>IFERROR(VLOOKUP(F1854,'LEAID Match'!$A$2:$B$236,2,FALSE),"")</f>
        <v>2303610</v>
      </c>
    </row>
    <row r="1855" spans="1:11" x14ac:dyDescent="0.2">
      <c r="A1855">
        <f t="shared" si="28"/>
        <v>2303610</v>
      </c>
      <c r="B1855">
        <v>2022</v>
      </c>
      <c r="C1855" t="s">
        <v>642</v>
      </c>
      <c r="D1855" t="s">
        <v>644</v>
      </c>
      <c r="E1855" t="s">
        <v>646</v>
      </c>
      <c r="F1855" t="s">
        <v>334</v>
      </c>
      <c r="G1855" t="s">
        <v>335</v>
      </c>
      <c r="H1855">
        <v>3564</v>
      </c>
      <c r="I1855">
        <v>51303.682807069345</v>
      </c>
      <c r="J1855">
        <v>54867.682807069345</v>
      </c>
      <c r="K1855">
        <f>IFERROR(VLOOKUP(F1855,'LEAID Match'!$A$2:$B$236,2,FALSE),"")</f>
        <v>2303610</v>
      </c>
    </row>
    <row r="1856" spans="1:11" x14ac:dyDescent="0.2">
      <c r="A1856">
        <f t="shared" si="28"/>
        <v>2312140</v>
      </c>
      <c r="B1856">
        <v>2015</v>
      </c>
      <c r="C1856" t="s">
        <v>642</v>
      </c>
      <c r="D1856" t="s">
        <v>644</v>
      </c>
      <c r="E1856" t="s">
        <v>646</v>
      </c>
      <c r="F1856" t="s">
        <v>613</v>
      </c>
      <c r="G1856" t="s">
        <v>336</v>
      </c>
      <c r="H1856">
        <v>8201</v>
      </c>
      <c r="I1856">
        <v>157243.02890396598</v>
      </c>
      <c r="J1856">
        <v>165444.02890396598</v>
      </c>
      <c r="K1856">
        <f>IFERROR(VLOOKUP(F1856,'LEAID Match'!$A$2:$B$236,2,FALSE),"")</f>
        <v>2312140</v>
      </c>
    </row>
    <row r="1857" spans="1:11" x14ac:dyDescent="0.2">
      <c r="A1857">
        <f t="shared" si="28"/>
        <v>2312140</v>
      </c>
      <c r="B1857">
        <v>2016</v>
      </c>
      <c r="C1857" t="s">
        <v>642</v>
      </c>
      <c r="D1857" t="s">
        <v>644</v>
      </c>
      <c r="E1857" t="s">
        <v>646</v>
      </c>
      <c r="F1857" s="1" t="s">
        <v>613</v>
      </c>
      <c r="G1857" s="1" t="s">
        <v>336</v>
      </c>
      <c r="H1857" s="22">
        <v>6387</v>
      </c>
      <c r="I1857">
        <v>121382.39461678245</v>
      </c>
      <c r="J1857">
        <v>127769.39461678245</v>
      </c>
      <c r="K1857">
        <f>IFERROR(VLOOKUP(F1857,'LEAID Match'!$A$2:$B$236,2,FALSE),"")</f>
        <v>2312140</v>
      </c>
    </row>
    <row r="1858" spans="1:11" x14ac:dyDescent="0.2">
      <c r="A1858">
        <f t="shared" si="28"/>
        <v>2312140</v>
      </c>
      <c r="B1858">
        <v>2017</v>
      </c>
      <c r="C1858" t="s">
        <v>642</v>
      </c>
      <c r="D1858" t="s">
        <v>644</v>
      </c>
      <c r="E1858" t="s">
        <v>646</v>
      </c>
      <c r="F1858" t="s">
        <v>613</v>
      </c>
      <c r="G1858" t="s">
        <v>336</v>
      </c>
      <c r="H1858">
        <v>6618</v>
      </c>
      <c r="I1858">
        <v>126188.03952044445</v>
      </c>
      <c r="J1858">
        <v>132806.03952044446</v>
      </c>
      <c r="K1858">
        <f>IFERROR(VLOOKUP(F1858,'LEAID Match'!$A$2:$B$236,2,FALSE),"")</f>
        <v>2312140</v>
      </c>
    </row>
    <row r="1859" spans="1:11" x14ac:dyDescent="0.2">
      <c r="A1859">
        <f t="shared" ref="A1859:A1922" si="29">K1859</f>
        <v>2312140</v>
      </c>
      <c r="B1859">
        <v>2018</v>
      </c>
      <c r="C1859" t="s">
        <v>642</v>
      </c>
      <c r="D1859" t="s">
        <v>644</v>
      </c>
      <c r="E1859" t="s">
        <v>646</v>
      </c>
      <c r="F1859" t="s">
        <v>613</v>
      </c>
      <c r="G1859" t="s">
        <v>336</v>
      </c>
      <c r="H1859">
        <v>4965</v>
      </c>
      <c r="I1859">
        <v>100637.04386234474</v>
      </c>
      <c r="J1859">
        <v>105602.04386234474</v>
      </c>
      <c r="K1859">
        <f>IFERROR(VLOOKUP(F1859,'LEAID Match'!$A$2:$B$236,2,FALSE),"")</f>
        <v>2312140</v>
      </c>
    </row>
    <row r="1860" spans="1:11" x14ac:dyDescent="0.2">
      <c r="A1860">
        <f t="shared" si="29"/>
        <v>2312140</v>
      </c>
      <c r="B1860">
        <v>2019</v>
      </c>
      <c r="C1860" t="s">
        <v>642</v>
      </c>
      <c r="D1860" t="s">
        <v>644</v>
      </c>
      <c r="E1860" t="s">
        <v>646</v>
      </c>
      <c r="F1860" t="s">
        <v>613</v>
      </c>
      <c r="G1860" t="s">
        <v>336</v>
      </c>
      <c r="H1860">
        <v>4641</v>
      </c>
      <c r="I1860">
        <v>99428.952945610363</v>
      </c>
      <c r="J1860">
        <v>104069.95294561036</v>
      </c>
      <c r="K1860">
        <f>IFERROR(VLOOKUP(F1860,'LEAID Match'!$A$2:$B$236,2,FALSE),"")</f>
        <v>2312140</v>
      </c>
    </row>
    <row r="1861" spans="1:11" x14ac:dyDescent="0.2">
      <c r="A1861">
        <f t="shared" si="29"/>
        <v>2312140</v>
      </c>
      <c r="B1861">
        <v>2020</v>
      </c>
      <c r="C1861" t="s">
        <v>642</v>
      </c>
      <c r="D1861" t="s">
        <v>644</v>
      </c>
      <c r="E1861" t="s">
        <v>646</v>
      </c>
      <c r="F1861" t="s">
        <v>613</v>
      </c>
      <c r="G1861" t="s">
        <v>336</v>
      </c>
      <c r="H1861">
        <v>6809</v>
      </c>
      <c r="I1861">
        <v>151717.64135645595</v>
      </c>
      <c r="J1861">
        <v>158526.64135645595</v>
      </c>
      <c r="K1861">
        <f>IFERROR(VLOOKUP(F1861,'LEAID Match'!$A$2:$B$236,2,FALSE),"")</f>
        <v>2312140</v>
      </c>
    </row>
    <row r="1862" spans="1:11" x14ac:dyDescent="0.2">
      <c r="A1862">
        <f t="shared" si="29"/>
        <v>2312140</v>
      </c>
      <c r="B1862">
        <v>2021</v>
      </c>
      <c r="C1862" t="s">
        <v>642</v>
      </c>
      <c r="D1862" t="s">
        <v>644</v>
      </c>
      <c r="E1862" t="s">
        <v>646</v>
      </c>
      <c r="F1862" t="s">
        <v>613</v>
      </c>
      <c r="G1862" t="s">
        <v>336</v>
      </c>
      <c r="H1862">
        <v>5553</v>
      </c>
      <c r="I1862">
        <v>93286.792861904964</v>
      </c>
      <c r="J1862">
        <v>98839.792861904964</v>
      </c>
      <c r="K1862">
        <f>IFERROR(VLOOKUP(F1862,'LEAID Match'!$A$2:$B$236,2,FALSE),"")</f>
        <v>2312140</v>
      </c>
    </row>
    <row r="1863" spans="1:11" x14ac:dyDescent="0.2">
      <c r="A1863">
        <f t="shared" si="29"/>
        <v>2312140</v>
      </c>
      <c r="B1863">
        <v>2022</v>
      </c>
      <c r="C1863" t="s">
        <v>642</v>
      </c>
      <c r="D1863" t="s">
        <v>644</v>
      </c>
      <c r="E1863" t="s">
        <v>646</v>
      </c>
      <c r="F1863" t="s">
        <v>613</v>
      </c>
      <c r="G1863" t="s">
        <v>336</v>
      </c>
      <c r="H1863">
        <v>9011</v>
      </c>
      <c r="I1863">
        <v>129713.09926332826</v>
      </c>
      <c r="J1863">
        <v>138724.09926332824</v>
      </c>
      <c r="K1863">
        <f>IFERROR(VLOOKUP(F1863,'LEAID Match'!$A$2:$B$236,2,FALSE),"")</f>
        <v>2312140</v>
      </c>
    </row>
    <row r="1864" spans="1:11" x14ac:dyDescent="0.2">
      <c r="A1864">
        <f t="shared" si="29"/>
        <v>2306180</v>
      </c>
      <c r="B1864">
        <v>2015</v>
      </c>
      <c r="C1864" t="s">
        <v>642</v>
      </c>
      <c r="D1864" t="s">
        <v>644</v>
      </c>
      <c r="E1864" t="s">
        <v>646</v>
      </c>
      <c r="F1864" t="s">
        <v>337</v>
      </c>
      <c r="G1864" t="s">
        <v>338</v>
      </c>
      <c r="H1864">
        <v>6995</v>
      </c>
      <c r="I1864">
        <v>134119.61799576177</v>
      </c>
      <c r="J1864">
        <v>141114.61799576177</v>
      </c>
      <c r="K1864">
        <f>IFERROR(VLOOKUP(F1864,'LEAID Match'!$A$2:$B$236,2,FALSE),"")</f>
        <v>2306180</v>
      </c>
    </row>
    <row r="1865" spans="1:11" x14ac:dyDescent="0.2">
      <c r="A1865">
        <f t="shared" si="29"/>
        <v>2306180</v>
      </c>
      <c r="B1865">
        <v>2016</v>
      </c>
      <c r="C1865" t="s">
        <v>642</v>
      </c>
      <c r="D1865" t="s">
        <v>644</v>
      </c>
      <c r="E1865" t="s">
        <v>646</v>
      </c>
      <c r="F1865" s="1" t="s">
        <v>614</v>
      </c>
      <c r="G1865" s="1" t="s">
        <v>338</v>
      </c>
      <c r="H1865" s="22">
        <v>5236</v>
      </c>
      <c r="I1865">
        <v>99508.097418736943</v>
      </c>
      <c r="J1865">
        <v>104744.09741873694</v>
      </c>
      <c r="K1865">
        <f>IFERROR(VLOOKUP(F1865,'LEAID Match'!$A$2:$B$236,2,FALSE),"")</f>
        <v>2306180</v>
      </c>
    </row>
    <row r="1866" spans="1:11" x14ac:dyDescent="0.2">
      <c r="A1866">
        <f t="shared" si="29"/>
        <v>2306180</v>
      </c>
      <c r="B1866">
        <v>2017</v>
      </c>
      <c r="C1866" t="s">
        <v>642</v>
      </c>
      <c r="D1866" t="s">
        <v>644</v>
      </c>
      <c r="E1866" t="s">
        <v>646</v>
      </c>
      <c r="F1866" t="s">
        <v>614</v>
      </c>
      <c r="G1866" t="s">
        <v>338</v>
      </c>
      <c r="H1866">
        <v>6194</v>
      </c>
      <c r="I1866">
        <v>118103.46279686202</v>
      </c>
      <c r="J1866">
        <v>124297.46279686202</v>
      </c>
      <c r="K1866">
        <f>IFERROR(VLOOKUP(F1866,'LEAID Match'!$A$2:$B$236,2,FALSE),"")</f>
        <v>2306180</v>
      </c>
    </row>
    <row r="1867" spans="1:11" x14ac:dyDescent="0.2">
      <c r="A1867">
        <f t="shared" si="29"/>
        <v>2306180</v>
      </c>
      <c r="B1867">
        <v>2018</v>
      </c>
      <c r="C1867" t="s">
        <v>642</v>
      </c>
      <c r="D1867" t="s">
        <v>644</v>
      </c>
      <c r="E1867" t="s">
        <v>646</v>
      </c>
      <c r="F1867" t="s">
        <v>614</v>
      </c>
      <c r="G1867" t="s">
        <v>338</v>
      </c>
      <c r="H1867">
        <v>7118</v>
      </c>
      <c r="I1867">
        <v>144276.83347677137</v>
      </c>
      <c r="J1867">
        <v>151394.83347677137</v>
      </c>
      <c r="K1867">
        <f>IFERROR(VLOOKUP(F1867,'LEAID Match'!$A$2:$B$236,2,FALSE),"")</f>
        <v>2306180</v>
      </c>
    </row>
    <row r="1868" spans="1:11" x14ac:dyDescent="0.2">
      <c r="A1868">
        <f t="shared" si="29"/>
        <v>2306180</v>
      </c>
      <c r="B1868">
        <v>2019</v>
      </c>
      <c r="C1868" t="s">
        <v>642</v>
      </c>
      <c r="D1868" t="s">
        <v>644</v>
      </c>
      <c r="E1868" t="s">
        <v>646</v>
      </c>
      <c r="F1868" t="s">
        <v>614</v>
      </c>
      <c r="G1868" t="s">
        <v>338</v>
      </c>
      <c r="H1868">
        <v>6871</v>
      </c>
      <c r="I1868">
        <v>147204.5541239579</v>
      </c>
      <c r="J1868">
        <v>154075.5541239579</v>
      </c>
      <c r="K1868">
        <f>IFERROR(VLOOKUP(F1868,'LEAID Match'!$A$2:$B$236,2,FALSE),"")</f>
        <v>2306180</v>
      </c>
    </row>
    <row r="1869" spans="1:11" x14ac:dyDescent="0.2">
      <c r="A1869">
        <f t="shared" si="29"/>
        <v>2306180</v>
      </c>
      <c r="B1869">
        <v>2020</v>
      </c>
      <c r="C1869" t="s">
        <v>642</v>
      </c>
      <c r="D1869" t="s">
        <v>644</v>
      </c>
      <c r="E1869" t="s">
        <v>646</v>
      </c>
      <c r="F1869" t="s">
        <v>614</v>
      </c>
      <c r="G1869" t="s">
        <v>338</v>
      </c>
      <c r="H1869">
        <v>11845</v>
      </c>
      <c r="I1869">
        <v>263929.42603425181</v>
      </c>
      <c r="J1869">
        <v>275774.42603425181</v>
      </c>
      <c r="K1869">
        <f>IFERROR(VLOOKUP(F1869,'LEAID Match'!$A$2:$B$236,2,FALSE),"")</f>
        <v>2306180</v>
      </c>
    </row>
    <row r="1870" spans="1:11" x14ac:dyDescent="0.2">
      <c r="A1870">
        <f t="shared" si="29"/>
        <v>2306180</v>
      </c>
      <c r="B1870">
        <v>2021</v>
      </c>
      <c r="C1870" t="s">
        <v>642</v>
      </c>
      <c r="D1870" t="s">
        <v>644</v>
      </c>
      <c r="E1870" t="s">
        <v>646</v>
      </c>
      <c r="F1870" t="s">
        <v>614</v>
      </c>
      <c r="G1870" t="s">
        <v>338</v>
      </c>
      <c r="H1870">
        <v>16439</v>
      </c>
      <c r="I1870">
        <v>276164.52149412129</v>
      </c>
      <c r="J1870">
        <v>292603.52149412129</v>
      </c>
      <c r="K1870">
        <f>IFERROR(VLOOKUP(F1870,'LEAID Match'!$A$2:$B$236,2,FALSE),"")</f>
        <v>2306180</v>
      </c>
    </row>
    <row r="1871" spans="1:11" x14ac:dyDescent="0.2">
      <c r="A1871">
        <f t="shared" si="29"/>
        <v>2306180</v>
      </c>
      <c r="B1871">
        <v>2022</v>
      </c>
      <c r="C1871" t="s">
        <v>642</v>
      </c>
      <c r="D1871" t="s">
        <v>644</v>
      </c>
      <c r="E1871" t="s">
        <v>646</v>
      </c>
      <c r="F1871" t="s">
        <v>614</v>
      </c>
      <c r="G1871" t="s">
        <v>338</v>
      </c>
      <c r="H1871">
        <v>16684</v>
      </c>
      <c r="I1871">
        <v>240165.72501491162</v>
      </c>
      <c r="J1871">
        <v>256849.72501491162</v>
      </c>
      <c r="K1871">
        <f>IFERROR(VLOOKUP(F1871,'LEAID Match'!$A$2:$B$236,2,FALSE),"")</f>
        <v>2306180</v>
      </c>
    </row>
    <row r="1872" spans="1:11" x14ac:dyDescent="0.2">
      <c r="A1872">
        <f t="shared" si="29"/>
        <v>2308250</v>
      </c>
      <c r="B1872">
        <v>2015</v>
      </c>
      <c r="C1872" t="s">
        <v>642</v>
      </c>
      <c r="D1872" t="s">
        <v>644</v>
      </c>
      <c r="E1872" t="s">
        <v>646</v>
      </c>
      <c r="F1872" s="1" t="s">
        <v>615</v>
      </c>
      <c r="G1872" t="s">
        <v>340</v>
      </c>
      <c r="H1872">
        <v>23298</v>
      </c>
      <c r="I1872">
        <v>446707.48535600537</v>
      </c>
      <c r="J1872">
        <v>470005.48535600537</v>
      </c>
      <c r="K1872">
        <f>IFERROR(VLOOKUP(F1872,'LEAID Match'!$A$2:$B$236,2,FALSE),"")</f>
        <v>2308250</v>
      </c>
    </row>
    <row r="1873" spans="1:11" x14ac:dyDescent="0.2">
      <c r="A1873">
        <f t="shared" si="29"/>
        <v>2308250</v>
      </c>
      <c r="B1873">
        <v>2016</v>
      </c>
      <c r="C1873" t="s">
        <v>642</v>
      </c>
      <c r="D1873" t="s">
        <v>644</v>
      </c>
      <c r="E1873" t="s">
        <v>646</v>
      </c>
      <c r="F1873" s="1" t="s">
        <v>615</v>
      </c>
      <c r="G1873" s="1" t="s">
        <v>340</v>
      </c>
      <c r="H1873" s="22">
        <v>19937</v>
      </c>
      <c r="I1873">
        <v>378894.75520194013</v>
      </c>
      <c r="J1873">
        <v>398831.75520194013</v>
      </c>
      <c r="K1873">
        <f>IFERROR(VLOOKUP(F1873,'LEAID Match'!$A$2:$B$236,2,FALSE),"")</f>
        <v>2308250</v>
      </c>
    </row>
    <row r="1874" spans="1:11" x14ac:dyDescent="0.2">
      <c r="A1874">
        <f t="shared" si="29"/>
        <v>2308250</v>
      </c>
      <c r="B1874">
        <v>2017</v>
      </c>
      <c r="C1874" t="s">
        <v>642</v>
      </c>
      <c r="D1874" t="s">
        <v>644</v>
      </c>
      <c r="E1874" t="s">
        <v>646</v>
      </c>
      <c r="F1874" t="s">
        <v>615</v>
      </c>
      <c r="G1874" t="s">
        <v>340</v>
      </c>
      <c r="H1874">
        <v>16461</v>
      </c>
      <c r="I1874">
        <v>313868.43737474101</v>
      </c>
      <c r="J1874">
        <v>330329.43737474101</v>
      </c>
      <c r="K1874">
        <f>IFERROR(VLOOKUP(F1874,'LEAID Match'!$A$2:$B$236,2,FALSE),"")</f>
        <v>2308250</v>
      </c>
    </row>
    <row r="1875" spans="1:11" x14ac:dyDescent="0.2">
      <c r="A1875">
        <f t="shared" si="29"/>
        <v>2308250</v>
      </c>
      <c r="B1875">
        <v>2018</v>
      </c>
      <c r="C1875" t="s">
        <v>642</v>
      </c>
      <c r="D1875" t="s">
        <v>644</v>
      </c>
      <c r="E1875" t="s">
        <v>646</v>
      </c>
      <c r="F1875" t="s">
        <v>615</v>
      </c>
      <c r="G1875" t="s">
        <v>340</v>
      </c>
      <c r="H1875">
        <v>14182</v>
      </c>
      <c r="I1875">
        <v>287459.12508676189</v>
      </c>
      <c r="J1875">
        <v>301641.12508676189</v>
      </c>
      <c r="K1875">
        <f>IFERROR(VLOOKUP(F1875,'LEAID Match'!$A$2:$B$236,2,FALSE),"")</f>
        <v>2308250</v>
      </c>
    </row>
    <row r="1876" spans="1:11" x14ac:dyDescent="0.2">
      <c r="A1876">
        <f t="shared" si="29"/>
        <v>2308250</v>
      </c>
      <c r="B1876">
        <v>2019</v>
      </c>
      <c r="C1876" t="s">
        <v>642</v>
      </c>
      <c r="D1876" t="s">
        <v>644</v>
      </c>
      <c r="E1876" t="s">
        <v>646</v>
      </c>
      <c r="F1876" t="s">
        <v>615</v>
      </c>
      <c r="G1876" t="s">
        <v>340</v>
      </c>
      <c r="H1876">
        <v>13386</v>
      </c>
      <c r="I1876">
        <v>286782.1512885025</v>
      </c>
      <c r="J1876">
        <v>300168.1512885025</v>
      </c>
      <c r="K1876">
        <f>IFERROR(VLOOKUP(F1876,'LEAID Match'!$A$2:$B$236,2,FALSE),"")</f>
        <v>2308250</v>
      </c>
    </row>
    <row r="1877" spans="1:11" x14ac:dyDescent="0.2">
      <c r="A1877">
        <f t="shared" si="29"/>
        <v>2308250</v>
      </c>
      <c r="B1877">
        <v>2020</v>
      </c>
      <c r="C1877" t="s">
        <v>642</v>
      </c>
      <c r="D1877" t="s">
        <v>644</v>
      </c>
      <c r="E1877" t="s">
        <v>646</v>
      </c>
      <c r="F1877" t="s">
        <v>615</v>
      </c>
      <c r="G1877" t="s">
        <v>340</v>
      </c>
      <c r="H1877">
        <v>19836</v>
      </c>
      <c r="I1877">
        <v>441984.30517648114</v>
      </c>
      <c r="J1877">
        <v>461820.30517648114</v>
      </c>
      <c r="K1877">
        <f>IFERROR(VLOOKUP(F1877,'LEAID Match'!$A$2:$B$236,2,FALSE),"")</f>
        <v>2308250</v>
      </c>
    </row>
    <row r="1878" spans="1:11" x14ac:dyDescent="0.2">
      <c r="A1878">
        <f t="shared" si="29"/>
        <v>2308250</v>
      </c>
      <c r="B1878">
        <v>2021</v>
      </c>
      <c r="C1878" t="s">
        <v>642</v>
      </c>
      <c r="D1878" t="s">
        <v>644</v>
      </c>
      <c r="E1878" t="s">
        <v>646</v>
      </c>
      <c r="F1878" t="s">
        <v>615</v>
      </c>
      <c r="G1878" t="s">
        <v>340</v>
      </c>
      <c r="H1878">
        <v>26671</v>
      </c>
      <c r="I1878">
        <v>448055.47495405498</v>
      </c>
      <c r="J1878">
        <v>474726.47495405498</v>
      </c>
      <c r="K1878">
        <f>IFERROR(VLOOKUP(F1878,'LEAID Match'!$A$2:$B$236,2,FALSE),"")</f>
        <v>2308250</v>
      </c>
    </row>
    <row r="1879" spans="1:11" x14ac:dyDescent="0.2">
      <c r="A1879">
        <f t="shared" si="29"/>
        <v>2308250</v>
      </c>
      <c r="B1879">
        <v>2022</v>
      </c>
      <c r="C1879" t="s">
        <v>642</v>
      </c>
      <c r="D1879" t="s">
        <v>644</v>
      </c>
      <c r="E1879" t="s">
        <v>646</v>
      </c>
      <c r="F1879" t="s">
        <v>615</v>
      </c>
      <c r="G1879" t="s">
        <v>340</v>
      </c>
      <c r="H1879">
        <v>34619</v>
      </c>
      <c r="I1879">
        <v>498339.56091412279</v>
      </c>
      <c r="J1879">
        <v>532958.56091412273</v>
      </c>
      <c r="K1879">
        <f>IFERROR(VLOOKUP(F1879,'LEAID Match'!$A$2:$B$236,2,FALSE),"")</f>
        <v>2308250</v>
      </c>
    </row>
    <row r="1880" spans="1:11" x14ac:dyDescent="0.2">
      <c r="A1880">
        <f t="shared" si="29"/>
        <v>2312750</v>
      </c>
      <c r="B1880">
        <v>2015</v>
      </c>
      <c r="C1880" t="s">
        <v>642</v>
      </c>
      <c r="D1880" t="s">
        <v>644</v>
      </c>
      <c r="E1880" t="s">
        <v>646</v>
      </c>
      <c r="F1880" t="s">
        <v>341</v>
      </c>
      <c r="G1880" t="s">
        <v>342</v>
      </c>
      <c r="H1880">
        <v>2043</v>
      </c>
      <c r="I1880">
        <v>39171.748329569877</v>
      </c>
      <c r="J1880">
        <v>41214.748329569877</v>
      </c>
      <c r="K1880">
        <f>IFERROR(VLOOKUP(F1880,'LEAID Match'!$A$2:$B$236,2,FALSE),"")</f>
        <v>2312750</v>
      </c>
    </row>
    <row r="1881" spans="1:11" x14ac:dyDescent="0.2">
      <c r="A1881">
        <f t="shared" si="29"/>
        <v>2312750</v>
      </c>
      <c r="B1881">
        <v>2016</v>
      </c>
      <c r="C1881" t="s">
        <v>642</v>
      </c>
      <c r="D1881" t="s">
        <v>644</v>
      </c>
      <c r="E1881" t="s">
        <v>646</v>
      </c>
      <c r="F1881" s="1" t="s">
        <v>616</v>
      </c>
      <c r="G1881" s="1" t="s">
        <v>342</v>
      </c>
      <c r="H1881" s="22">
        <v>1294</v>
      </c>
      <c r="I1881">
        <v>24591.955320826131</v>
      </c>
      <c r="J1881">
        <v>25885.955320826131</v>
      </c>
      <c r="K1881">
        <f>IFERROR(VLOOKUP(F1881,'LEAID Match'!$A$2:$B$236,2,FALSE),"")</f>
        <v>2312750</v>
      </c>
    </row>
    <row r="1882" spans="1:11" x14ac:dyDescent="0.2">
      <c r="A1882">
        <f t="shared" si="29"/>
        <v>2312750</v>
      </c>
      <c r="B1882">
        <v>2017</v>
      </c>
      <c r="C1882" t="s">
        <v>642</v>
      </c>
      <c r="D1882" t="s">
        <v>644</v>
      </c>
      <c r="E1882" t="s">
        <v>646</v>
      </c>
      <c r="F1882" t="s">
        <v>616</v>
      </c>
      <c r="G1882" t="s">
        <v>342</v>
      </c>
      <c r="H1882">
        <v>1415</v>
      </c>
      <c r="I1882">
        <v>26980.368075163027</v>
      </c>
      <c r="J1882">
        <v>28395.368075163027</v>
      </c>
      <c r="K1882">
        <f>IFERROR(VLOOKUP(F1882,'LEAID Match'!$A$2:$B$236,2,FALSE),"")</f>
        <v>2312750</v>
      </c>
    </row>
    <row r="1883" spans="1:11" x14ac:dyDescent="0.2">
      <c r="A1883">
        <f t="shared" si="29"/>
        <v>2312750</v>
      </c>
      <c r="B1883">
        <v>2018</v>
      </c>
      <c r="C1883" t="s">
        <v>642</v>
      </c>
      <c r="D1883" t="s">
        <v>644</v>
      </c>
      <c r="E1883" t="s">
        <v>646</v>
      </c>
      <c r="F1883" t="s">
        <v>616</v>
      </c>
      <c r="G1883" t="s">
        <v>342</v>
      </c>
      <c r="H1883">
        <v>1594</v>
      </c>
      <c r="I1883">
        <v>32309.254363862539</v>
      </c>
      <c r="J1883">
        <v>33903.254363862536</v>
      </c>
      <c r="K1883">
        <f>IFERROR(VLOOKUP(F1883,'LEAID Match'!$A$2:$B$236,2,FALSE),"")</f>
        <v>2312750</v>
      </c>
    </row>
    <row r="1884" spans="1:11" x14ac:dyDescent="0.2">
      <c r="A1884">
        <f t="shared" si="29"/>
        <v>2312750</v>
      </c>
      <c r="B1884">
        <v>2019</v>
      </c>
      <c r="C1884" t="s">
        <v>642</v>
      </c>
      <c r="D1884" t="s">
        <v>644</v>
      </c>
      <c r="E1884" t="s">
        <v>646</v>
      </c>
      <c r="F1884" t="s">
        <v>616</v>
      </c>
      <c r="G1884" t="s">
        <v>342</v>
      </c>
      <c r="H1884">
        <v>246</v>
      </c>
      <c r="I1884">
        <v>5270.3129551002257</v>
      </c>
      <c r="J1884">
        <v>5516.3129551002257</v>
      </c>
      <c r="K1884">
        <f>IFERROR(VLOOKUP(F1884,'LEAID Match'!$A$2:$B$236,2,FALSE),"")</f>
        <v>2312750</v>
      </c>
    </row>
    <row r="1885" spans="1:11" x14ac:dyDescent="0.2">
      <c r="A1885">
        <f t="shared" si="29"/>
        <v>2312750</v>
      </c>
      <c r="B1885">
        <v>2020</v>
      </c>
      <c r="C1885" t="s">
        <v>642</v>
      </c>
      <c r="D1885" t="s">
        <v>644</v>
      </c>
      <c r="E1885" t="s">
        <v>646</v>
      </c>
      <c r="F1885" t="s">
        <v>616</v>
      </c>
      <c r="G1885" t="s">
        <v>342</v>
      </c>
      <c r="H1885">
        <v>2530</v>
      </c>
      <c r="I1885">
        <v>56373.275463626604</v>
      </c>
      <c r="J1885">
        <v>58903.275463626604</v>
      </c>
      <c r="K1885">
        <f>IFERROR(VLOOKUP(F1885,'LEAID Match'!$A$2:$B$236,2,FALSE),"")</f>
        <v>2312750</v>
      </c>
    </row>
    <row r="1886" spans="1:11" x14ac:dyDescent="0.2">
      <c r="A1886">
        <f t="shared" si="29"/>
        <v>2312750</v>
      </c>
      <c r="B1886">
        <v>2021</v>
      </c>
      <c r="C1886" t="s">
        <v>642</v>
      </c>
      <c r="D1886" t="s">
        <v>644</v>
      </c>
      <c r="E1886" t="s">
        <v>646</v>
      </c>
      <c r="F1886" t="s">
        <v>616</v>
      </c>
      <c r="G1886" t="s">
        <v>342</v>
      </c>
      <c r="I1886">
        <v>0</v>
      </c>
      <c r="J1886">
        <v>0</v>
      </c>
      <c r="K1886">
        <f>IFERROR(VLOOKUP(F1886,'LEAID Match'!$A$2:$B$236,2,FALSE),"")</f>
        <v>2312750</v>
      </c>
    </row>
    <row r="1887" spans="1:11" x14ac:dyDescent="0.2">
      <c r="A1887">
        <f t="shared" si="29"/>
        <v>2312750</v>
      </c>
      <c r="B1887">
        <v>2022</v>
      </c>
      <c r="C1887" t="s">
        <v>642</v>
      </c>
      <c r="D1887" t="s">
        <v>644</v>
      </c>
      <c r="E1887" t="s">
        <v>646</v>
      </c>
      <c r="F1887" t="s">
        <v>616</v>
      </c>
      <c r="G1887" t="s">
        <v>342</v>
      </c>
      <c r="I1887">
        <v>0</v>
      </c>
      <c r="J1887">
        <v>0</v>
      </c>
      <c r="K1887">
        <f>IFERROR(VLOOKUP(F1887,'LEAID Match'!$A$2:$B$236,2,FALSE),"")</f>
        <v>2312750</v>
      </c>
    </row>
    <row r="1888" spans="1:11" x14ac:dyDescent="0.2">
      <c r="A1888">
        <f t="shared" si="29"/>
        <v>2303210</v>
      </c>
      <c r="B1888">
        <v>2015</v>
      </c>
      <c r="C1888" t="s">
        <v>642</v>
      </c>
      <c r="D1888" t="s">
        <v>644</v>
      </c>
      <c r="E1888" t="s">
        <v>646</v>
      </c>
      <c r="F1888" t="s">
        <v>343</v>
      </c>
      <c r="G1888" t="s">
        <v>344</v>
      </c>
      <c r="H1888">
        <v>5252</v>
      </c>
      <c r="I1888">
        <v>100699.96193191434</v>
      </c>
      <c r="J1888">
        <v>105951.96193191434</v>
      </c>
      <c r="K1888">
        <f>IFERROR(VLOOKUP(F1888,'LEAID Match'!$A$2:$B$236,2,FALSE),"")</f>
        <v>2303210</v>
      </c>
    </row>
    <row r="1889" spans="1:11" x14ac:dyDescent="0.2">
      <c r="A1889">
        <f t="shared" si="29"/>
        <v>2303210</v>
      </c>
      <c r="B1889">
        <v>2016</v>
      </c>
      <c r="C1889" t="s">
        <v>642</v>
      </c>
      <c r="D1889" t="s">
        <v>644</v>
      </c>
      <c r="E1889" t="s">
        <v>646</v>
      </c>
      <c r="F1889" s="1" t="s">
        <v>343</v>
      </c>
      <c r="G1889" s="1" t="s">
        <v>344</v>
      </c>
      <c r="H1889" s="22">
        <v>178</v>
      </c>
      <c r="I1889">
        <v>3382.8192017828833</v>
      </c>
      <c r="J1889">
        <v>3560.8192017828833</v>
      </c>
      <c r="K1889">
        <f>IFERROR(VLOOKUP(F1889,'LEAID Match'!$A$2:$B$236,2,FALSE),"")</f>
        <v>2303210</v>
      </c>
    </row>
    <row r="1890" spans="1:11" x14ac:dyDescent="0.2">
      <c r="A1890">
        <f t="shared" si="29"/>
        <v>2303210</v>
      </c>
      <c r="B1890">
        <v>2017</v>
      </c>
      <c r="C1890" t="s">
        <v>642</v>
      </c>
      <c r="D1890" t="s">
        <v>644</v>
      </c>
      <c r="E1890" t="s">
        <v>646</v>
      </c>
      <c r="F1890" t="s">
        <v>343</v>
      </c>
      <c r="G1890" t="s">
        <v>344</v>
      </c>
      <c r="H1890">
        <v>171</v>
      </c>
      <c r="I1890">
        <v>3260.5250465391359</v>
      </c>
      <c r="J1890">
        <v>3431.5250465391359</v>
      </c>
      <c r="K1890">
        <f>IFERROR(VLOOKUP(F1890,'LEAID Match'!$A$2:$B$236,2,FALSE),"")</f>
        <v>2303210</v>
      </c>
    </row>
    <row r="1891" spans="1:11" x14ac:dyDescent="0.2">
      <c r="A1891">
        <f t="shared" si="29"/>
        <v>2303210</v>
      </c>
      <c r="B1891">
        <v>2018</v>
      </c>
      <c r="C1891" t="s">
        <v>642</v>
      </c>
      <c r="D1891" t="s">
        <v>644</v>
      </c>
      <c r="E1891" t="s">
        <v>646</v>
      </c>
      <c r="F1891" t="s">
        <v>343</v>
      </c>
      <c r="G1891" t="s">
        <v>344</v>
      </c>
      <c r="I1891">
        <v>0</v>
      </c>
      <c r="J1891">
        <v>0</v>
      </c>
      <c r="K1891">
        <f>IFERROR(VLOOKUP(F1891,'LEAID Match'!$A$2:$B$236,2,FALSE),"")</f>
        <v>2303210</v>
      </c>
    </row>
    <row r="1892" spans="1:11" x14ac:dyDescent="0.2">
      <c r="A1892">
        <f t="shared" si="29"/>
        <v>2303210</v>
      </c>
      <c r="B1892">
        <v>2019</v>
      </c>
      <c r="C1892" t="s">
        <v>642</v>
      </c>
      <c r="D1892" t="s">
        <v>644</v>
      </c>
      <c r="E1892" t="s">
        <v>646</v>
      </c>
      <c r="F1892" t="s">
        <v>343</v>
      </c>
      <c r="G1892" t="s">
        <v>344</v>
      </c>
      <c r="I1892">
        <v>0</v>
      </c>
      <c r="J1892">
        <v>0</v>
      </c>
      <c r="K1892">
        <f>IFERROR(VLOOKUP(F1892,'LEAID Match'!$A$2:$B$236,2,FALSE),"")</f>
        <v>2303210</v>
      </c>
    </row>
    <row r="1893" spans="1:11" x14ac:dyDescent="0.2">
      <c r="A1893">
        <f t="shared" si="29"/>
        <v>2303210</v>
      </c>
      <c r="B1893">
        <v>2020</v>
      </c>
      <c r="C1893" t="s">
        <v>642</v>
      </c>
      <c r="D1893" t="s">
        <v>644</v>
      </c>
      <c r="E1893" t="s">
        <v>646</v>
      </c>
      <c r="F1893" t="s">
        <v>343</v>
      </c>
      <c r="G1893" t="s">
        <v>344</v>
      </c>
      <c r="H1893">
        <v>1413</v>
      </c>
      <c r="I1893">
        <v>31484.362936800157</v>
      </c>
      <c r="J1893">
        <v>32897.362936800157</v>
      </c>
      <c r="K1893">
        <f>IFERROR(VLOOKUP(F1893,'LEAID Match'!$A$2:$B$236,2,FALSE),"")</f>
        <v>2303210</v>
      </c>
    </row>
    <row r="1894" spans="1:11" x14ac:dyDescent="0.2">
      <c r="A1894">
        <f t="shared" si="29"/>
        <v>2303210</v>
      </c>
      <c r="B1894">
        <v>2021</v>
      </c>
      <c r="C1894" t="s">
        <v>642</v>
      </c>
      <c r="D1894" t="s">
        <v>644</v>
      </c>
      <c r="E1894" t="s">
        <v>646</v>
      </c>
      <c r="F1894" t="s">
        <v>343</v>
      </c>
      <c r="G1894" t="s">
        <v>344</v>
      </c>
      <c r="H1894">
        <v>2081</v>
      </c>
      <c r="I1894">
        <v>34959.448216391902</v>
      </c>
      <c r="J1894">
        <v>37040.448216391902</v>
      </c>
      <c r="K1894">
        <f>IFERROR(VLOOKUP(F1894,'LEAID Match'!$A$2:$B$236,2,FALSE),"")</f>
        <v>2303210</v>
      </c>
    </row>
    <row r="1895" spans="1:11" x14ac:dyDescent="0.2">
      <c r="A1895">
        <f t="shared" si="29"/>
        <v>2303210</v>
      </c>
      <c r="B1895">
        <v>2022</v>
      </c>
      <c r="C1895" t="s">
        <v>642</v>
      </c>
      <c r="D1895" t="s">
        <v>644</v>
      </c>
      <c r="E1895" t="s">
        <v>646</v>
      </c>
      <c r="F1895" t="s">
        <v>343</v>
      </c>
      <c r="G1895" t="s">
        <v>344</v>
      </c>
      <c r="H1895">
        <v>2548</v>
      </c>
      <c r="I1895">
        <v>36678.390514144972</v>
      </c>
      <c r="J1895">
        <v>39226.390514144972</v>
      </c>
      <c r="K1895">
        <f>IFERROR(VLOOKUP(F1895,'LEAID Match'!$A$2:$B$236,2,FALSE),"")</f>
        <v>2303210</v>
      </c>
    </row>
    <row r="1896" spans="1:11" x14ac:dyDescent="0.2">
      <c r="A1896">
        <f t="shared" si="29"/>
        <v>2303640</v>
      </c>
      <c r="B1896">
        <v>2015</v>
      </c>
      <c r="C1896" t="s">
        <v>642</v>
      </c>
      <c r="D1896" t="s">
        <v>644</v>
      </c>
      <c r="E1896" t="s">
        <v>646</v>
      </c>
      <c r="F1896" t="s">
        <v>345</v>
      </c>
      <c r="G1896" t="s">
        <v>346</v>
      </c>
      <c r="H1896">
        <v>726</v>
      </c>
      <c r="I1896">
        <v>13920.063283048326</v>
      </c>
      <c r="J1896">
        <v>14646.063283048326</v>
      </c>
      <c r="K1896">
        <f>IFERROR(VLOOKUP(F1896,'LEAID Match'!$A$2:$B$236,2,FALSE),"")</f>
        <v>2303640</v>
      </c>
    </row>
    <row r="1897" spans="1:11" x14ac:dyDescent="0.2">
      <c r="A1897">
        <f t="shared" si="29"/>
        <v>2303640</v>
      </c>
      <c r="B1897">
        <v>2016</v>
      </c>
      <c r="C1897" t="s">
        <v>642</v>
      </c>
      <c r="D1897" t="s">
        <v>644</v>
      </c>
      <c r="E1897" t="s">
        <v>646</v>
      </c>
      <c r="F1897" s="1" t="s">
        <v>345</v>
      </c>
      <c r="G1897" s="1" t="s">
        <v>346</v>
      </c>
      <c r="H1897" s="22">
        <v>501</v>
      </c>
      <c r="I1897">
        <v>9521.3057308608131</v>
      </c>
      <c r="J1897">
        <v>10022.305730860813</v>
      </c>
      <c r="K1897">
        <f>IFERROR(VLOOKUP(F1897,'LEAID Match'!$A$2:$B$236,2,FALSE),"")</f>
        <v>2303640</v>
      </c>
    </row>
    <row r="1898" spans="1:11" x14ac:dyDescent="0.2">
      <c r="A1898">
        <f t="shared" si="29"/>
        <v>2303640</v>
      </c>
      <c r="B1898">
        <v>2017</v>
      </c>
      <c r="C1898" t="s">
        <v>642</v>
      </c>
      <c r="D1898" t="s">
        <v>644</v>
      </c>
      <c r="E1898" t="s">
        <v>646</v>
      </c>
      <c r="F1898" t="s">
        <v>345</v>
      </c>
      <c r="G1898" t="s">
        <v>346</v>
      </c>
      <c r="H1898">
        <v>631</v>
      </c>
      <c r="I1898">
        <v>12031.528095708742</v>
      </c>
      <c r="J1898">
        <v>12662.528095708742</v>
      </c>
      <c r="K1898">
        <f>IFERROR(VLOOKUP(F1898,'LEAID Match'!$A$2:$B$236,2,FALSE),"")</f>
        <v>2303640</v>
      </c>
    </row>
    <row r="1899" spans="1:11" x14ac:dyDescent="0.2">
      <c r="A1899">
        <f t="shared" si="29"/>
        <v>2303640</v>
      </c>
      <c r="B1899">
        <v>2018</v>
      </c>
      <c r="C1899" t="s">
        <v>642</v>
      </c>
      <c r="D1899" t="s">
        <v>644</v>
      </c>
      <c r="E1899" t="s">
        <v>646</v>
      </c>
      <c r="F1899" t="s">
        <v>345</v>
      </c>
      <c r="G1899" t="s">
        <v>346</v>
      </c>
      <c r="H1899">
        <v>716</v>
      </c>
      <c r="I1899">
        <v>14512.814381760087</v>
      </c>
      <c r="J1899">
        <v>15228.814381760087</v>
      </c>
      <c r="K1899">
        <f>IFERROR(VLOOKUP(F1899,'LEAID Match'!$A$2:$B$236,2,FALSE),"")</f>
        <v>2303640</v>
      </c>
    </row>
    <row r="1900" spans="1:11" x14ac:dyDescent="0.2">
      <c r="A1900">
        <f t="shared" si="29"/>
        <v>2303640</v>
      </c>
      <c r="B1900">
        <v>2019</v>
      </c>
      <c r="C1900" t="s">
        <v>642</v>
      </c>
      <c r="D1900" t="s">
        <v>644</v>
      </c>
      <c r="E1900" t="s">
        <v>646</v>
      </c>
      <c r="F1900" t="s">
        <v>345</v>
      </c>
      <c r="G1900" t="s">
        <v>346</v>
      </c>
      <c r="H1900">
        <v>737</v>
      </c>
      <c r="I1900">
        <v>15789.514828897831</v>
      </c>
      <c r="J1900">
        <v>16526.514828897831</v>
      </c>
      <c r="K1900">
        <f>IFERROR(VLOOKUP(F1900,'LEAID Match'!$A$2:$B$236,2,FALSE),"")</f>
        <v>2303640</v>
      </c>
    </row>
    <row r="1901" spans="1:11" x14ac:dyDescent="0.2">
      <c r="A1901">
        <f t="shared" si="29"/>
        <v>2303640</v>
      </c>
      <c r="B1901">
        <v>2020</v>
      </c>
      <c r="C1901" t="s">
        <v>642</v>
      </c>
      <c r="D1901" t="s">
        <v>644</v>
      </c>
      <c r="E1901" t="s">
        <v>646</v>
      </c>
      <c r="F1901" t="s">
        <v>345</v>
      </c>
      <c r="G1901" t="s">
        <v>346</v>
      </c>
      <c r="H1901">
        <v>4901</v>
      </c>
      <c r="I1901">
        <v>109203.72452459842</v>
      </c>
      <c r="J1901">
        <v>114104.72452459842</v>
      </c>
      <c r="K1901">
        <f>IFERROR(VLOOKUP(F1901,'LEAID Match'!$A$2:$B$236,2,FALSE),"")</f>
        <v>2303640</v>
      </c>
    </row>
    <row r="1902" spans="1:11" x14ac:dyDescent="0.2">
      <c r="A1902">
        <f t="shared" si="29"/>
        <v>2303640</v>
      </c>
      <c r="B1902">
        <v>2021</v>
      </c>
      <c r="C1902" t="s">
        <v>642</v>
      </c>
      <c r="D1902" t="s">
        <v>644</v>
      </c>
      <c r="E1902" t="s">
        <v>646</v>
      </c>
      <c r="F1902" t="s">
        <v>345</v>
      </c>
      <c r="G1902" t="s">
        <v>346</v>
      </c>
      <c r="H1902">
        <v>6757</v>
      </c>
      <c r="I1902">
        <v>113513.21076317158</v>
      </c>
      <c r="J1902">
        <v>120270.21076317158</v>
      </c>
      <c r="K1902">
        <f>IFERROR(VLOOKUP(F1902,'LEAID Match'!$A$2:$B$236,2,FALSE),"")</f>
        <v>2303640</v>
      </c>
    </row>
    <row r="1903" spans="1:11" x14ac:dyDescent="0.2">
      <c r="A1903">
        <f t="shared" si="29"/>
        <v>2303640</v>
      </c>
      <c r="B1903">
        <v>2022</v>
      </c>
      <c r="C1903" t="s">
        <v>642</v>
      </c>
      <c r="D1903" t="s">
        <v>644</v>
      </c>
      <c r="E1903" t="s">
        <v>646</v>
      </c>
      <c r="F1903" t="s">
        <v>345</v>
      </c>
      <c r="G1903" t="s">
        <v>346</v>
      </c>
      <c r="H1903">
        <v>6278</v>
      </c>
      <c r="I1903">
        <v>90371.638794270868</v>
      </c>
      <c r="J1903">
        <v>96649.638794270868</v>
      </c>
      <c r="K1903">
        <f>IFERROR(VLOOKUP(F1903,'LEAID Match'!$A$2:$B$236,2,FALSE),"")</f>
        <v>2303640</v>
      </c>
    </row>
    <row r="1904" spans="1:11" x14ac:dyDescent="0.2">
      <c r="A1904">
        <f t="shared" si="29"/>
        <v>2304080</v>
      </c>
      <c r="B1904">
        <v>2015</v>
      </c>
      <c r="C1904" t="s">
        <v>642</v>
      </c>
      <c r="D1904" t="s">
        <v>644</v>
      </c>
      <c r="E1904" t="s">
        <v>646</v>
      </c>
      <c r="F1904" t="s">
        <v>347</v>
      </c>
      <c r="G1904" t="s">
        <v>348</v>
      </c>
      <c r="H1904">
        <v>1516</v>
      </c>
      <c r="I1904">
        <v>29067.239582784106</v>
      </c>
      <c r="J1904">
        <v>30583.239582784106</v>
      </c>
      <c r="K1904">
        <f>IFERROR(VLOOKUP(F1904,'LEAID Match'!$A$2:$B$236,2,FALSE),"")</f>
        <v>2304080</v>
      </c>
    </row>
    <row r="1905" spans="1:11" x14ac:dyDescent="0.2">
      <c r="A1905">
        <f t="shared" si="29"/>
        <v>2304080</v>
      </c>
      <c r="B1905">
        <v>2016</v>
      </c>
      <c r="C1905" t="s">
        <v>642</v>
      </c>
      <c r="D1905" t="s">
        <v>644</v>
      </c>
      <c r="E1905" t="s">
        <v>646</v>
      </c>
      <c r="F1905" s="1" t="s">
        <v>347</v>
      </c>
      <c r="G1905" s="1" t="s">
        <v>348</v>
      </c>
      <c r="H1905" s="22">
        <v>255</v>
      </c>
      <c r="I1905">
        <v>4846.1735755878381</v>
      </c>
      <c r="J1905">
        <v>5101.1735755878381</v>
      </c>
      <c r="K1905">
        <f>IFERROR(VLOOKUP(F1905,'LEAID Match'!$A$2:$B$236,2,FALSE),"")</f>
        <v>2304080</v>
      </c>
    </row>
    <row r="1906" spans="1:11" x14ac:dyDescent="0.2">
      <c r="A1906">
        <f t="shared" si="29"/>
        <v>2304080</v>
      </c>
      <c r="B1906">
        <v>2017</v>
      </c>
      <c r="C1906" t="s">
        <v>642</v>
      </c>
      <c r="D1906" t="s">
        <v>644</v>
      </c>
      <c r="E1906" t="s">
        <v>646</v>
      </c>
      <c r="F1906" t="s">
        <v>347</v>
      </c>
      <c r="G1906" t="s">
        <v>348</v>
      </c>
      <c r="H1906">
        <v>1855</v>
      </c>
      <c r="I1906">
        <v>35370.023165673083</v>
      </c>
      <c r="J1906">
        <v>37225.023165673083</v>
      </c>
      <c r="K1906">
        <f>IFERROR(VLOOKUP(F1906,'LEAID Match'!$A$2:$B$236,2,FALSE),"")</f>
        <v>2304080</v>
      </c>
    </row>
    <row r="1907" spans="1:11" x14ac:dyDescent="0.2">
      <c r="A1907">
        <f t="shared" si="29"/>
        <v>2304080</v>
      </c>
      <c r="B1907">
        <v>2018</v>
      </c>
      <c r="C1907" t="s">
        <v>642</v>
      </c>
      <c r="D1907" t="s">
        <v>644</v>
      </c>
      <c r="E1907" t="s">
        <v>646</v>
      </c>
      <c r="F1907" t="s">
        <v>347</v>
      </c>
      <c r="G1907" t="s">
        <v>348</v>
      </c>
      <c r="H1907">
        <v>1857</v>
      </c>
      <c r="I1907">
        <v>37640.078640961561</v>
      </c>
      <c r="J1907">
        <v>39497.078640961561</v>
      </c>
      <c r="K1907">
        <f>IFERROR(VLOOKUP(F1907,'LEAID Match'!$A$2:$B$236,2,FALSE),"")</f>
        <v>2304080</v>
      </c>
    </row>
    <row r="1908" spans="1:11" x14ac:dyDescent="0.2">
      <c r="A1908">
        <f t="shared" si="29"/>
        <v>2304080</v>
      </c>
      <c r="B1908">
        <v>2019</v>
      </c>
      <c r="C1908" t="s">
        <v>642</v>
      </c>
      <c r="D1908" t="s">
        <v>644</v>
      </c>
      <c r="E1908" t="s">
        <v>646</v>
      </c>
      <c r="F1908" t="s">
        <v>347</v>
      </c>
      <c r="G1908" t="s">
        <v>348</v>
      </c>
      <c r="H1908">
        <v>859</v>
      </c>
      <c r="I1908">
        <v>18403.247270045096</v>
      </c>
      <c r="J1908">
        <v>19262.247270045096</v>
      </c>
      <c r="K1908">
        <f>IFERROR(VLOOKUP(F1908,'LEAID Match'!$A$2:$B$236,2,FALSE),"")</f>
        <v>2304080</v>
      </c>
    </row>
    <row r="1909" spans="1:11" x14ac:dyDescent="0.2">
      <c r="A1909">
        <f t="shared" si="29"/>
        <v>2304080</v>
      </c>
      <c r="B1909">
        <v>2020</v>
      </c>
      <c r="C1909" t="s">
        <v>642</v>
      </c>
      <c r="D1909" t="s">
        <v>644</v>
      </c>
      <c r="E1909" t="s">
        <v>646</v>
      </c>
      <c r="F1909" t="s">
        <v>347</v>
      </c>
      <c r="G1909" t="s">
        <v>348</v>
      </c>
      <c r="H1909">
        <v>248</v>
      </c>
      <c r="I1909">
        <v>5525.9179110590512</v>
      </c>
      <c r="J1909">
        <v>5773.9179110590512</v>
      </c>
      <c r="K1909">
        <f>IFERROR(VLOOKUP(F1909,'LEAID Match'!$A$2:$B$236,2,FALSE),"")</f>
        <v>2304080</v>
      </c>
    </row>
    <row r="1910" spans="1:11" x14ac:dyDescent="0.2">
      <c r="A1910">
        <f t="shared" si="29"/>
        <v>2304080</v>
      </c>
      <c r="B1910">
        <v>2021</v>
      </c>
      <c r="C1910" t="s">
        <v>642</v>
      </c>
      <c r="D1910" t="s">
        <v>644</v>
      </c>
      <c r="E1910" t="s">
        <v>646</v>
      </c>
      <c r="F1910" t="s">
        <v>347</v>
      </c>
      <c r="G1910" t="s">
        <v>348</v>
      </c>
      <c r="I1910">
        <v>0</v>
      </c>
      <c r="J1910">
        <v>0</v>
      </c>
      <c r="K1910">
        <f>IFERROR(VLOOKUP(F1910,'LEAID Match'!$A$2:$B$236,2,FALSE),"")</f>
        <v>2304080</v>
      </c>
    </row>
    <row r="1911" spans="1:11" x14ac:dyDescent="0.2">
      <c r="A1911">
        <f t="shared" si="29"/>
        <v>2304080</v>
      </c>
      <c r="B1911">
        <v>2022</v>
      </c>
      <c r="C1911" t="s">
        <v>642</v>
      </c>
      <c r="D1911" t="s">
        <v>644</v>
      </c>
      <c r="E1911" t="s">
        <v>646</v>
      </c>
      <c r="F1911" t="s">
        <v>347</v>
      </c>
      <c r="G1911" t="s">
        <v>348</v>
      </c>
      <c r="I1911">
        <v>0</v>
      </c>
      <c r="J1911">
        <v>0</v>
      </c>
      <c r="K1911">
        <f>IFERROR(VLOOKUP(F1911,'LEAID Match'!$A$2:$B$236,2,FALSE),"")</f>
        <v>2304080</v>
      </c>
    </row>
    <row r="1912" spans="1:11" x14ac:dyDescent="0.2">
      <c r="A1912">
        <f t="shared" si="29"/>
        <v>2309630</v>
      </c>
      <c r="B1912">
        <v>2015</v>
      </c>
      <c r="C1912" t="s">
        <v>642</v>
      </c>
      <c r="D1912" t="s">
        <v>644</v>
      </c>
      <c r="E1912" t="s">
        <v>646</v>
      </c>
      <c r="F1912" t="s">
        <v>349</v>
      </c>
      <c r="G1912" t="s">
        <v>350</v>
      </c>
      <c r="H1912">
        <v>3354</v>
      </c>
      <c r="I1912">
        <v>64308.391530776971</v>
      </c>
      <c r="J1912">
        <v>67662.391530776978</v>
      </c>
      <c r="K1912">
        <f>IFERROR(VLOOKUP(F1912,'LEAID Match'!$A$2:$B$236,2,FALSE),"")</f>
        <v>2309630</v>
      </c>
    </row>
    <row r="1913" spans="1:11" x14ac:dyDescent="0.2">
      <c r="A1913">
        <f t="shared" si="29"/>
        <v>2309630</v>
      </c>
      <c r="B1913">
        <v>2016</v>
      </c>
      <c r="C1913" t="s">
        <v>642</v>
      </c>
      <c r="D1913" t="s">
        <v>644</v>
      </c>
      <c r="E1913" t="s">
        <v>646</v>
      </c>
      <c r="F1913" s="1" t="s">
        <v>349</v>
      </c>
      <c r="G1913" s="1" t="s">
        <v>350</v>
      </c>
      <c r="H1913" s="22">
        <v>1286</v>
      </c>
      <c r="I1913">
        <v>24439.918502768473</v>
      </c>
      <c r="J1913">
        <v>25725.918502768473</v>
      </c>
      <c r="K1913">
        <f>IFERROR(VLOOKUP(F1913,'LEAID Match'!$A$2:$B$236,2,FALSE),"")</f>
        <v>2309630</v>
      </c>
    </row>
    <row r="1914" spans="1:11" x14ac:dyDescent="0.2">
      <c r="A1914">
        <f t="shared" si="29"/>
        <v>2309630</v>
      </c>
      <c r="B1914">
        <v>2017</v>
      </c>
      <c r="C1914" t="s">
        <v>642</v>
      </c>
      <c r="D1914" t="s">
        <v>644</v>
      </c>
      <c r="E1914" t="s">
        <v>646</v>
      </c>
      <c r="F1914" t="s">
        <v>349</v>
      </c>
      <c r="G1914" t="s">
        <v>350</v>
      </c>
      <c r="H1914">
        <v>1064</v>
      </c>
      <c r="I1914">
        <v>20287.711400687956</v>
      </c>
      <c r="J1914">
        <v>21351.711400687956</v>
      </c>
      <c r="K1914">
        <f>IFERROR(VLOOKUP(F1914,'LEAID Match'!$A$2:$B$236,2,FALSE),"")</f>
        <v>2309630</v>
      </c>
    </row>
    <row r="1915" spans="1:11" x14ac:dyDescent="0.2">
      <c r="A1915">
        <f t="shared" si="29"/>
        <v>2309630</v>
      </c>
      <c r="B1915">
        <v>2018</v>
      </c>
      <c r="C1915" t="s">
        <v>642</v>
      </c>
      <c r="D1915" t="s">
        <v>644</v>
      </c>
      <c r="E1915" t="s">
        <v>646</v>
      </c>
      <c r="F1915" t="s">
        <v>349</v>
      </c>
      <c r="G1915" t="s">
        <v>350</v>
      </c>
      <c r="H1915">
        <v>1200</v>
      </c>
      <c r="I1915">
        <v>24323.152595128638</v>
      </c>
      <c r="J1915">
        <v>25523.152595128638</v>
      </c>
      <c r="K1915">
        <f>IFERROR(VLOOKUP(F1915,'LEAID Match'!$A$2:$B$236,2,FALSE),"")</f>
        <v>2309630</v>
      </c>
    </row>
    <row r="1916" spans="1:11" x14ac:dyDescent="0.2">
      <c r="A1916">
        <f t="shared" si="29"/>
        <v>2309630</v>
      </c>
      <c r="B1916">
        <v>2019</v>
      </c>
      <c r="C1916" t="s">
        <v>642</v>
      </c>
      <c r="D1916" t="s">
        <v>644</v>
      </c>
      <c r="E1916" t="s">
        <v>646</v>
      </c>
      <c r="F1916" t="s">
        <v>349</v>
      </c>
      <c r="G1916" t="s">
        <v>350</v>
      </c>
      <c r="H1916">
        <v>1181</v>
      </c>
      <c r="I1916">
        <v>25301.786991761652</v>
      </c>
      <c r="J1916">
        <v>26482.786991761652</v>
      </c>
      <c r="K1916">
        <f>IFERROR(VLOOKUP(F1916,'LEAID Match'!$A$2:$B$236,2,FALSE),"")</f>
        <v>2309630</v>
      </c>
    </row>
    <row r="1917" spans="1:11" x14ac:dyDescent="0.2">
      <c r="A1917">
        <f t="shared" si="29"/>
        <v>2309630</v>
      </c>
      <c r="B1917">
        <v>2020</v>
      </c>
      <c r="C1917" t="s">
        <v>642</v>
      </c>
      <c r="D1917" t="s">
        <v>644</v>
      </c>
      <c r="E1917" t="s">
        <v>646</v>
      </c>
      <c r="F1917" t="s">
        <v>349</v>
      </c>
      <c r="G1917" t="s">
        <v>350</v>
      </c>
      <c r="H1917">
        <v>4176</v>
      </c>
      <c r="I1917">
        <v>93049.327405574993</v>
      </c>
      <c r="J1917">
        <v>97225.327405574993</v>
      </c>
      <c r="K1917">
        <f>IFERROR(VLOOKUP(F1917,'LEAID Match'!$A$2:$B$236,2,FALSE),"")</f>
        <v>2309630</v>
      </c>
    </row>
    <row r="1918" spans="1:11" x14ac:dyDescent="0.2">
      <c r="A1918">
        <f t="shared" si="29"/>
        <v>2309630</v>
      </c>
      <c r="B1918">
        <v>2021</v>
      </c>
      <c r="C1918" t="s">
        <v>642</v>
      </c>
      <c r="D1918" t="s">
        <v>644</v>
      </c>
      <c r="E1918" t="s">
        <v>646</v>
      </c>
      <c r="F1918" t="s">
        <v>349</v>
      </c>
      <c r="G1918" t="s">
        <v>350</v>
      </c>
      <c r="H1918">
        <v>5543</v>
      </c>
      <c r="I1918">
        <v>93118.79935774162</v>
      </c>
      <c r="J1918">
        <v>98661.79935774162</v>
      </c>
      <c r="K1918">
        <f>IFERROR(VLOOKUP(F1918,'LEAID Match'!$A$2:$B$236,2,FALSE),"")</f>
        <v>2309630</v>
      </c>
    </row>
    <row r="1919" spans="1:11" x14ac:dyDescent="0.2">
      <c r="A1919">
        <f t="shared" si="29"/>
        <v>2309630</v>
      </c>
      <c r="B1919">
        <v>2022</v>
      </c>
      <c r="C1919" t="s">
        <v>642</v>
      </c>
      <c r="D1919" t="s">
        <v>644</v>
      </c>
      <c r="E1919" t="s">
        <v>646</v>
      </c>
      <c r="F1919" t="s">
        <v>349</v>
      </c>
      <c r="G1919" t="s">
        <v>350</v>
      </c>
      <c r="H1919">
        <v>4558</v>
      </c>
      <c r="I1919">
        <v>65612.28569995008</v>
      </c>
      <c r="J1919">
        <v>70170.28569995008</v>
      </c>
      <c r="K1919">
        <f>IFERROR(VLOOKUP(F1919,'LEAID Match'!$A$2:$B$236,2,FALSE),"")</f>
        <v>2309630</v>
      </c>
    </row>
    <row r="1920" spans="1:11" x14ac:dyDescent="0.2">
      <c r="A1920">
        <f t="shared" si="29"/>
        <v>0</v>
      </c>
      <c r="B1920">
        <v>2016</v>
      </c>
      <c r="C1920" t="s">
        <v>642</v>
      </c>
      <c r="D1920" t="s">
        <v>644</v>
      </c>
      <c r="E1920" t="s">
        <v>646</v>
      </c>
      <c r="F1920" s="1" t="s">
        <v>617</v>
      </c>
      <c r="G1920" s="1" t="s">
        <v>618</v>
      </c>
      <c r="H1920" s="22"/>
      <c r="I1920">
        <v>0</v>
      </c>
      <c r="J1920">
        <v>0</v>
      </c>
      <c r="K1920">
        <f>IFERROR(VLOOKUP(F1920,'LEAID Match'!$A$2:$B$236,2,FALSE),"")</f>
        <v>0</v>
      </c>
    </row>
    <row r="1921" spans="1:11" x14ac:dyDescent="0.2">
      <c r="A1921">
        <f t="shared" si="29"/>
        <v>0</v>
      </c>
      <c r="B1921">
        <v>2017</v>
      </c>
      <c r="C1921" t="s">
        <v>642</v>
      </c>
      <c r="D1921" t="s">
        <v>644</v>
      </c>
      <c r="E1921" t="s">
        <v>646</v>
      </c>
      <c r="F1921" t="s">
        <v>617</v>
      </c>
      <c r="G1921" t="s">
        <v>618</v>
      </c>
      <c r="I1921">
        <v>0</v>
      </c>
      <c r="J1921">
        <v>0</v>
      </c>
      <c r="K1921">
        <f>IFERROR(VLOOKUP(F1921,'LEAID Match'!$A$2:$B$236,2,FALSE),"")</f>
        <v>0</v>
      </c>
    </row>
    <row r="1922" spans="1:11" x14ac:dyDescent="0.2">
      <c r="A1922">
        <f t="shared" si="29"/>
        <v>0</v>
      </c>
      <c r="B1922">
        <v>2018</v>
      </c>
      <c r="C1922" t="s">
        <v>642</v>
      </c>
      <c r="D1922" t="s">
        <v>644</v>
      </c>
      <c r="E1922" t="s">
        <v>646</v>
      </c>
      <c r="F1922" t="s">
        <v>617</v>
      </c>
      <c r="G1922" t="s">
        <v>618</v>
      </c>
      <c r="I1922">
        <v>0</v>
      </c>
      <c r="J1922">
        <v>0</v>
      </c>
      <c r="K1922">
        <f>IFERROR(VLOOKUP(F1922,'LEAID Match'!$A$2:$B$236,2,FALSE),"")</f>
        <v>0</v>
      </c>
    </row>
    <row r="1923" spans="1:11" x14ac:dyDescent="0.2">
      <c r="A1923">
        <f t="shared" ref="A1923:A1982" si="30">K1923</f>
        <v>0</v>
      </c>
      <c r="B1923">
        <v>2019</v>
      </c>
      <c r="C1923" t="s">
        <v>642</v>
      </c>
      <c r="D1923" t="s">
        <v>644</v>
      </c>
      <c r="E1923" t="s">
        <v>646</v>
      </c>
      <c r="F1923" t="s">
        <v>617</v>
      </c>
      <c r="G1923" t="s">
        <v>618</v>
      </c>
      <c r="I1923">
        <v>0</v>
      </c>
      <c r="J1923">
        <v>0</v>
      </c>
      <c r="K1923">
        <f>IFERROR(VLOOKUP(F1923,'LEAID Match'!$A$2:$B$236,2,FALSE),"")</f>
        <v>0</v>
      </c>
    </row>
    <row r="1924" spans="1:11" x14ac:dyDescent="0.2">
      <c r="A1924">
        <f t="shared" si="30"/>
        <v>0</v>
      </c>
      <c r="B1924">
        <v>2020</v>
      </c>
      <c r="C1924" t="s">
        <v>642</v>
      </c>
      <c r="D1924" t="s">
        <v>644</v>
      </c>
      <c r="E1924" t="s">
        <v>646</v>
      </c>
      <c r="F1924" t="s">
        <v>617</v>
      </c>
      <c r="G1924" t="s">
        <v>618</v>
      </c>
      <c r="I1924">
        <v>0</v>
      </c>
      <c r="J1924">
        <v>0</v>
      </c>
      <c r="K1924">
        <f>IFERROR(VLOOKUP(F1924,'LEAID Match'!$A$2:$B$236,2,FALSE),"")</f>
        <v>0</v>
      </c>
    </row>
    <row r="1925" spans="1:11" x14ac:dyDescent="0.2">
      <c r="A1925">
        <f t="shared" si="30"/>
        <v>0</v>
      </c>
      <c r="B1925">
        <v>2021</v>
      </c>
      <c r="C1925" t="s">
        <v>642</v>
      </c>
      <c r="D1925" t="s">
        <v>644</v>
      </c>
      <c r="E1925" t="s">
        <v>646</v>
      </c>
      <c r="F1925" t="s">
        <v>617</v>
      </c>
      <c r="G1925" t="s">
        <v>618</v>
      </c>
      <c r="I1925">
        <v>0</v>
      </c>
      <c r="J1925">
        <v>0</v>
      </c>
      <c r="K1925">
        <f>IFERROR(VLOOKUP(F1925,'LEAID Match'!$A$2:$B$236,2,FALSE),"")</f>
        <v>0</v>
      </c>
    </row>
    <row r="1926" spans="1:11" x14ac:dyDescent="0.2">
      <c r="A1926">
        <f t="shared" si="30"/>
        <v>0</v>
      </c>
      <c r="B1926">
        <v>2022</v>
      </c>
      <c r="C1926" t="s">
        <v>642</v>
      </c>
      <c r="D1926" t="s">
        <v>644</v>
      </c>
      <c r="E1926" t="s">
        <v>646</v>
      </c>
      <c r="F1926" t="s">
        <v>617</v>
      </c>
      <c r="G1926" t="s">
        <v>618</v>
      </c>
      <c r="I1926">
        <v>0</v>
      </c>
      <c r="J1926">
        <v>0</v>
      </c>
      <c r="K1926">
        <f>IFERROR(VLOOKUP(F1926,'LEAID Match'!$A$2:$B$236,2,FALSE),"")</f>
        <v>0</v>
      </c>
    </row>
    <row r="1927" spans="1:11" x14ac:dyDescent="0.2">
      <c r="A1927">
        <f t="shared" si="30"/>
        <v>2302950</v>
      </c>
      <c r="B1927">
        <v>2015</v>
      </c>
      <c r="C1927" t="s">
        <v>642</v>
      </c>
      <c r="D1927" t="s">
        <v>644</v>
      </c>
      <c r="E1927" t="s">
        <v>646</v>
      </c>
      <c r="F1927" t="s">
        <v>351</v>
      </c>
      <c r="G1927" t="s">
        <v>352</v>
      </c>
      <c r="H1927">
        <v>4921</v>
      </c>
      <c r="I1927">
        <v>94353.486798733895</v>
      </c>
      <c r="J1927">
        <v>99274.486798733895</v>
      </c>
      <c r="K1927">
        <f>IFERROR(VLOOKUP(F1927,'LEAID Match'!$A$2:$B$236,2,FALSE),"")</f>
        <v>2302950</v>
      </c>
    </row>
    <row r="1928" spans="1:11" x14ac:dyDescent="0.2">
      <c r="A1928">
        <f t="shared" si="30"/>
        <v>2302950</v>
      </c>
      <c r="B1928">
        <v>2016</v>
      </c>
      <c r="C1928" t="s">
        <v>642</v>
      </c>
      <c r="D1928" t="s">
        <v>644</v>
      </c>
      <c r="E1928" t="s">
        <v>646</v>
      </c>
      <c r="F1928" s="1" t="s">
        <v>351</v>
      </c>
      <c r="G1928" s="1" t="s">
        <v>352</v>
      </c>
      <c r="H1928" s="22">
        <v>3894</v>
      </c>
      <c r="I1928">
        <v>74003.921189564877</v>
      </c>
      <c r="J1928">
        <v>77897.921189564877</v>
      </c>
      <c r="K1928">
        <f>IFERROR(VLOOKUP(F1928,'LEAID Match'!$A$2:$B$236,2,FALSE),"")</f>
        <v>2302950</v>
      </c>
    </row>
    <row r="1929" spans="1:11" x14ac:dyDescent="0.2">
      <c r="A1929">
        <f t="shared" si="30"/>
        <v>2302950</v>
      </c>
      <c r="B1929">
        <v>2017</v>
      </c>
      <c r="C1929" t="s">
        <v>642</v>
      </c>
      <c r="D1929" t="s">
        <v>644</v>
      </c>
      <c r="E1929" t="s">
        <v>646</v>
      </c>
      <c r="F1929" t="s">
        <v>351</v>
      </c>
      <c r="G1929" t="s">
        <v>352</v>
      </c>
      <c r="H1929">
        <v>3722</v>
      </c>
      <c r="I1929">
        <v>70968.855106541901</v>
      </c>
      <c r="J1929">
        <v>74690.855106541901</v>
      </c>
      <c r="K1929">
        <f>IFERROR(VLOOKUP(F1929,'LEAID Match'!$A$2:$B$236,2,FALSE),"")</f>
        <v>2302950</v>
      </c>
    </row>
    <row r="1930" spans="1:11" x14ac:dyDescent="0.2">
      <c r="A1930">
        <f t="shared" si="30"/>
        <v>2302950</v>
      </c>
      <c r="B1930">
        <v>2018</v>
      </c>
      <c r="C1930" t="s">
        <v>642</v>
      </c>
      <c r="D1930" t="s">
        <v>644</v>
      </c>
      <c r="E1930" t="s">
        <v>646</v>
      </c>
      <c r="F1930" t="s">
        <v>351</v>
      </c>
      <c r="G1930" t="s">
        <v>352</v>
      </c>
      <c r="H1930">
        <v>3272</v>
      </c>
      <c r="I1930">
        <v>66321.129409384084</v>
      </c>
      <c r="J1930">
        <v>69593.129409384084</v>
      </c>
      <c r="K1930">
        <f>IFERROR(VLOOKUP(F1930,'LEAID Match'!$A$2:$B$236,2,FALSE),"")</f>
        <v>2302950</v>
      </c>
    </row>
    <row r="1931" spans="1:11" x14ac:dyDescent="0.2">
      <c r="A1931">
        <f t="shared" si="30"/>
        <v>2302950</v>
      </c>
      <c r="B1931">
        <v>2019</v>
      </c>
      <c r="C1931" t="s">
        <v>642</v>
      </c>
      <c r="D1931" t="s">
        <v>644</v>
      </c>
      <c r="E1931" t="s">
        <v>646</v>
      </c>
      <c r="F1931" t="s">
        <v>351</v>
      </c>
      <c r="G1931" t="s">
        <v>352</v>
      </c>
      <c r="H1931">
        <v>3115</v>
      </c>
      <c r="I1931">
        <v>66735.873394866678</v>
      </c>
      <c r="J1931">
        <v>69850.873394866678</v>
      </c>
      <c r="K1931">
        <f>IFERROR(VLOOKUP(F1931,'LEAID Match'!$A$2:$B$236,2,FALSE),"")</f>
        <v>2302950</v>
      </c>
    </row>
    <row r="1932" spans="1:11" x14ac:dyDescent="0.2">
      <c r="A1932">
        <f t="shared" si="30"/>
        <v>2302950</v>
      </c>
      <c r="B1932">
        <v>2020</v>
      </c>
      <c r="C1932" t="s">
        <v>642</v>
      </c>
      <c r="D1932" t="s">
        <v>644</v>
      </c>
      <c r="E1932" t="s">
        <v>646</v>
      </c>
      <c r="F1932" t="s">
        <v>351</v>
      </c>
      <c r="G1932" t="s">
        <v>352</v>
      </c>
      <c r="H1932">
        <v>4142</v>
      </c>
      <c r="I1932">
        <v>92291.741885510433</v>
      </c>
      <c r="J1932">
        <v>96433.741885510433</v>
      </c>
      <c r="K1932">
        <f>IFERROR(VLOOKUP(F1932,'LEAID Match'!$A$2:$B$236,2,FALSE),"")</f>
        <v>2302950</v>
      </c>
    </row>
    <row r="1933" spans="1:11" x14ac:dyDescent="0.2">
      <c r="A1933">
        <f t="shared" si="30"/>
        <v>2302950</v>
      </c>
      <c r="B1933">
        <v>2021</v>
      </c>
      <c r="C1933" t="s">
        <v>642</v>
      </c>
      <c r="D1933" t="s">
        <v>644</v>
      </c>
      <c r="E1933" t="s">
        <v>646</v>
      </c>
      <c r="F1933" t="s">
        <v>351</v>
      </c>
      <c r="G1933" t="s">
        <v>352</v>
      </c>
      <c r="H1933">
        <v>6405</v>
      </c>
      <c r="I1933">
        <v>107599.83941662189</v>
      </c>
      <c r="J1933">
        <v>114004.83941662189</v>
      </c>
      <c r="K1933">
        <f>IFERROR(VLOOKUP(F1933,'LEAID Match'!$A$2:$B$236,2,FALSE),"")</f>
        <v>2302950</v>
      </c>
    </row>
    <row r="1934" spans="1:11" x14ac:dyDescent="0.2">
      <c r="A1934">
        <f t="shared" si="30"/>
        <v>2302950</v>
      </c>
      <c r="B1934">
        <v>2022</v>
      </c>
      <c r="C1934" t="s">
        <v>642</v>
      </c>
      <c r="D1934" t="s">
        <v>644</v>
      </c>
      <c r="E1934" t="s">
        <v>646</v>
      </c>
      <c r="F1934" t="s">
        <v>351</v>
      </c>
      <c r="G1934" t="s">
        <v>352</v>
      </c>
      <c r="H1934">
        <v>4976</v>
      </c>
      <c r="I1934">
        <v>71629.384300779202</v>
      </c>
      <c r="J1934">
        <v>76605.384300779202</v>
      </c>
      <c r="K1934">
        <f>IFERROR(VLOOKUP(F1934,'LEAID Match'!$A$2:$B$236,2,FALSE),"")</f>
        <v>2302950</v>
      </c>
    </row>
    <row r="1935" spans="1:11" x14ac:dyDescent="0.2">
      <c r="A1935">
        <f t="shared" si="30"/>
        <v>2307100</v>
      </c>
      <c r="B1935">
        <v>2015</v>
      </c>
      <c r="C1935" t="s">
        <v>642</v>
      </c>
      <c r="D1935" t="s">
        <v>644</v>
      </c>
      <c r="E1935" t="s">
        <v>646</v>
      </c>
      <c r="F1935" t="s">
        <v>353</v>
      </c>
      <c r="G1935" t="s">
        <v>354</v>
      </c>
      <c r="H1935">
        <v>9989</v>
      </c>
      <c r="I1935">
        <v>191525.49880767177</v>
      </c>
      <c r="J1935">
        <v>201514.49880767177</v>
      </c>
      <c r="K1935">
        <f>IFERROR(VLOOKUP(F1935,'LEAID Match'!$A$2:$B$236,2,FALSE),"")</f>
        <v>2307100</v>
      </c>
    </row>
    <row r="1936" spans="1:11" x14ac:dyDescent="0.2">
      <c r="A1936">
        <f t="shared" si="30"/>
        <v>2307100</v>
      </c>
      <c r="B1936">
        <v>2016</v>
      </c>
      <c r="C1936" t="s">
        <v>642</v>
      </c>
      <c r="D1936" t="s">
        <v>644</v>
      </c>
      <c r="E1936" t="s">
        <v>646</v>
      </c>
      <c r="F1936" s="1" t="s">
        <v>353</v>
      </c>
      <c r="G1936" s="1" t="s">
        <v>354</v>
      </c>
      <c r="H1936" s="22">
        <v>8074</v>
      </c>
      <c r="I1936">
        <v>153443.15862469099</v>
      </c>
      <c r="J1936">
        <v>161517.15862469099</v>
      </c>
      <c r="K1936">
        <f>IFERROR(VLOOKUP(F1936,'LEAID Match'!$A$2:$B$236,2,FALSE),"")</f>
        <v>2307100</v>
      </c>
    </row>
    <row r="1937" spans="1:11" x14ac:dyDescent="0.2">
      <c r="A1937">
        <f t="shared" si="30"/>
        <v>2307100</v>
      </c>
      <c r="B1937">
        <v>2017</v>
      </c>
      <c r="C1937" t="s">
        <v>642</v>
      </c>
      <c r="D1937" t="s">
        <v>644</v>
      </c>
      <c r="E1937" t="s">
        <v>646</v>
      </c>
      <c r="F1937" t="s">
        <v>353</v>
      </c>
      <c r="G1937" t="s">
        <v>354</v>
      </c>
      <c r="H1937">
        <v>7714</v>
      </c>
      <c r="I1937">
        <v>147085.90765498768</v>
      </c>
      <c r="J1937">
        <v>154799.90765498768</v>
      </c>
      <c r="K1937">
        <f>IFERROR(VLOOKUP(F1937,'LEAID Match'!$A$2:$B$236,2,FALSE),"")</f>
        <v>2307100</v>
      </c>
    </row>
    <row r="1938" spans="1:11" x14ac:dyDescent="0.2">
      <c r="A1938">
        <f t="shared" si="30"/>
        <v>2307100</v>
      </c>
      <c r="B1938">
        <v>2018</v>
      </c>
      <c r="C1938" t="s">
        <v>642</v>
      </c>
      <c r="D1938" t="s">
        <v>644</v>
      </c>
      <c r="E1938" t="s">
        <v>646</v>
      </c>
      <c r="F1938" t="s">
        <v>353</v>
      </c>
      <c r="G1938" t="s">
        <v>354</v>
      </c>
      <c r="H1938">
        <v>7871</v>
      </c>
      <c r="I1938">
        <v>159539.61173021459</v>
      </c>
      <c r="J1938">
        <v>167410.61173021459</v>
      </c>
      <c r="K1938">
        <f>IFERROR(VLOOKUP(F1938,'LEAID Match'!$A$2:$B$236,2,FALSE),"")</f>
        <v>2307100</v>
      </c>
    </row>
    <row r="1939" spans="1:11" x14ac:dyDescent="0.2">
      <c r="A1939">
        <f t="shared" si="30"/>
        <v>2307100</v>
      </c>
      <c r="B1939">
        <v>2019</v>
      </c>
      <c r="C1939" t="s">
        <v>642</v>
      </c>
      <c r="D1939" t="s">
        <v>644</v>
      </c>
      <c r="E1939" t="s">
        <v>646</v>
      </c>
      <c r="F1939" t="s">
        <v>353</v>
      </c>
      <c r="G1939" t="s">
        <v>354</v>
      </c>
      <c r="H1939">
        <v>6153</v>
      </c>
      <c r="I1939">
        <v>131822.09598671415</v>
      </c>
      <c r="J1939">
        <v>137975.09598671415</v>
      </c>
      <c r="K1939">
        <f>IFERROR(VLOOKUP(F1939,'LEAID Match'!$A$2:$B$236,2,FALSE),"")</f>
        <v>2307100</v>
      </c>
    </row>
    <row r="1940" spans="1:11" x14ac:dyDescent="0.2">
      <c r="A1940">
        <f t="shared" si="30"/>
        <v>2307100</v>
      </c>
      <c r="B1940">
        <v>2020</v>
      </c>
      <c r="C1940" t="s">
        <v>642</v>
      </c>
      <c r="D1940" t="s">
        <v>644</v>
      </c>
      <c r="E1940" t="s">
        <v>646</v>
      </c>
      <c r="F1940" t="s">
        <v>353</v>
      </c>
      <c r="G1940" t="s">
        <v>354</v>
      </c>
      <c r="H1940">
        <v>7779</v>
      </c>
      <c r="I1940">
        <v>173331.11060535628</v>
      </c>
      <c r="J1940">
        <v>181110.11060535628</v>
      </c>
      <c r="K1940">
        <f>IFERROR(VLOOKUP(F1940,'LEAID Match'!$A$2:$B$236,2,FALSE),"")</f>
        <v>2307100</v>
      </c>
    </row>
    <row r="1941" spans="1:11" x14ac:dyDescent="0.2">
      <c r="A1941">
        <f t="shared" si="30"/>
        <v>2307100</v>
      </c>
      <c r="B1941">
        <v>2021</v>
      </c>
      <c r="C1941" t="s">
        <v>642</v>
      </c>
      <c r="D1941" t="s">
        <v>644</v>
      </c>
      <c r="E1941" t="s">
        <v>646</v>
      </c>
      <c r="F1941" t="s">
        <v>353</v>
      </c>
      <c r="G1941" t="s">
        <v>354</v>
      </c>
      <c r="H1941">
        <v>8838</v>
      </c>
      <c r="I1941">
        <v>148472.65897956348</v>
      </c>
      <c r="J1941">
        <v>157310.65897956348</v>
      </c>
      <c r="K1941">
        <f>IFERROR(VLOOKUP(F1941,'LEAID Match'!$A$2:$B$236,2,FALSE),"")</f>
        <v>2307100</v>
      </c>
    </row>
    <row r="1942" spans="1:11" x14ac:dyDescent="0.2">
      <c r="A1942">
        <f t="shared" si="30"/>
        <v>2307100</v>
      </c>
      <c r="B1942">
        <v>2022</v>
      </c>
      <c r="C1942" t="s">
        <v>642</v>
      </c>
      <c r="D1942" t="s">
        <v>644</v>
      </c>
      <c r="E1942" t="s">
        <v>646</v>
      </c>
      <c r="F1942" t="s">
        <v>353</v>
      </c>
      <c r="G1942" t="s">
        <v>354</v>
      </c>
      <c r="H1942">
        <v>8891</v>
      </c>
      <c r="I1942">
        <v>127985.7025358175</v>
      </c>
      <c r="J1942">
        <v>136876.70253581752</v>
      </c>
      <c r="K1942">
        <f>IFERROR(VLOOKUP(F1942,'LEAID Match'!$A$2:$B$236,2,FALSE),"")</f>
        <v>2307100</v>
      </c>
    </row>
    <row r="1943" spans="1:11" x14ac:dyDescent="0.2">
      <c r="A1943">
        <f t="shared" si="30"/>
        <v>0</v>
      </c>
      <c r="B1943">
        <v>2015</v>
      </c>
      <c r="C1943" t="s">
        <v>642</v>
      </c>
      <c r="D1943" t="s">
        <v>644</v>
      </c>
      <c r="E1943" t="s">
        <v>646</v>
      </c>
      <c r="F1943" t="s">
        <v>355</v>
      </c>
      <c r="G1943" t="s">
        <v>356</v>
      </c>
      <c r="I1943">
        <v>0</v>
      </c>
      <c r="J1943">
        <v>0</v>
      </c>
      <c r="K1943">
        <f>IFERROR(VLOOKUP(F1943,'LEAID Match'!$A$2:$B$236,2,FALSE),"")</f>
        <v>0</v>
      </c>
    </row>
    <row r="1944" spans="1:11" x14ac:dyDescent="0.2">
      <c r="A1944">
        <f t="shared" si="30"/>
        <v>0</v>
      </c>
      <c r="B1944">
        <v>2016</v>
      </c>
      <c r="C1944" t="s">
        <v>642</v>
      </c>
      <c r="D1944" t="s">
        <v>644</v>
      </c>
      <c r="E1944" t="s">
        <v>646</v>
      </c>
      <c r="F1944" s="1" t="s">
        <v>355</v>
      </c>
      <c r="G1944" s="1" t="s">
        <v>356</v>
      </c>
      <c r="H1944" s="22"/>
      <c r="I1944">
        <v>0</v>
      </c>
      <c r="J1944">
        <v>0</v>
      </c>
      <c r="K1944">
        <f>IFERROR(VLOOKUP(F1944,'LEAID Match'!$A$2:$B$236,2,FALSE),"")</f>
        <v>0</v>
      </c>
    </row>
    <row r="1945" spans="1:11" x14ac:dyDescent="0.2">
      <c r="A1945">
        <f t="shared" si="30"/>
        <v>0</v>
      </c>
      <c r="B1945">
        <v>2017</v>
      </c>
      <c r="C1945" t="s">
        <v>642</v>
      </c>
      <c r="D1945" t="s">
        <v>644</v>
      </c>
      <c r="E1945" t="s">
        <v>646</v>
      </c>
      <c r="F1945" t="s">
        <v>355</v>
      </c>
      <c r="G1945" t="s">
        <v>356</v>
      </c>
      <c r="I1945">
        <v>0</v>
      </c>
      <c r="J1945">
        <v>0</v>
      </c>
      <c r="K1945">
        <f>IFERROR(VLOOKUP(F1945,'LEAID Match'!$A$2:$B$236,2,FALSE),"")</f>
        <v>0</v>
      </c>
    </row>
    <row r="1946" spans="1:11" x14ac:dyDescent="0.2">
      <c r="A1946">
        <f t="shared" si="30"/>
        <v>0</v>
      </c>
      <c r="B1946">
        <v>2018</v>
      </c>
      <c r="C1946" t="s">
        <v>642</v>
      </c>
      <c r="D1946" t="s">
        <v>644</v>
      </c>
      <c r="E1946" t="s">
        <v>646</v>
      </c>
      <c r="F1946" t="s">
        <v>355</v>
      </c>
      <c r="G1946" t="s">
        <v>356</v>
      </c>
      <c r="I1946">
        <v>0</v>
      </c>
      <c r="J1946">
        <v>0</v>
      </c>
      <c r="K1946">
        <f>IFERROR(VLOOKUP(F1946,'LEAID Match'!$A$2:$B$236,2,FALSE),"")</f>
        <v>0</v>
      </c>
    </row>
    <row r="1947" spans="1:11" x14ac:dyDescent="0.2">
      <c r="A1947">
        <f t="shared" si="30"/>
        <v>0</v>
      </c>
      <c r="B1947">
        <v>2019</v>
      </c>
      <c r="C1947" t="s">
        <v>642</v>
      </c>
      <c r="D1947" t="s">
        <v>644</v>
      </c>
      <c r="E1947" t="s">
        <v>646</v>
      </c>
      <c r="F1947" t="s">
        <v>355</v>
      </c>
      <c r="G1947" t="s">
        <v>356</v>
      </c>
      <c r="I1947">
        <v>0</v>
      </c>
      <c r="J1947">
        <v>0</v>
      </c>
      <c r="K1947">
        <f>IFERROR(VLOOKUP(F1947,'LEAID Match'!$A$2:$B$236,2,FALSE),"")</f>
        <v>0</v>
      </c>
    </row>
    <row r="1948" spans="1:11" x14ac:dyDescent="0.2">
      <c r="A1948">
        <f t="shared" si="30"/>
        <v>0</v>
      </c>
      <c r="B1948">
        <v>2020</v>
      </c>
      <c r="C1948" t="s">
        <v>642</v>
      </c>
      <c r="D1948" t="s">
        <v>644</v>
      </c>
      <c r="E1948" t="s">
        <v>646</v>
      </c>
      <c r="F1948" t="s">
        <v>355</v>
      </c>
      <c r="G1948" t="s">
        <v>356</v>
      </c>
      <c r="I1948">
        <v>0</v>
      </c>
      <c r="J1948">
        <v>0</v>
      </c>
      <c r="K1948">
        <f>IFERROR(VLOOKUP(F1948,'LEAID Match'!$A$2:$B$236,2,FALSE),"")</f>
        <v>0</v>
      </c>
    </row>
    <row r="1949" spans="1:11" x14ac:dyDescent="0.2">
      <c r="A1949">
        <f t="shared" si="30"/>
        <v>0</v>
      </c>
      <c r="B1949">
        <v>2021</v>
      </c>
      <c r="C1949" t="s">
        <v>642</v>
      </c>
      <c r="D1949" t="s">
        <v>644</v>
      </c>
      <c r="E1949" t="s">
        <v>646</v>
      </c>
      <c r="F1949" t="s">
        <v>355</v>
      </c>
      <c r="G1949" t="s">
        <v>356</v>
      </c>
      <c r="I1949">
        <v>0</v>
      </c>
      <c r="J1949">
        <v>0</v>
      </c>
      <c r="K1949">
        <f>IFERROR(VLOOKUP(F1949,'LEAID Match'!$A$2:$B$236,2,FALSE),"")</f>
        <v>0</v>
      </c>
    </row>
    <row r="1950" spans="1:11" x14ac:dyDescent="0.2">
      <c r="A1950">
        <f t="shared" si="30"/>
        <v>0</v>
      </c>
      <c r="B1950">
        <v>2022</v>
      </c>
      <c r="C1950" t="s">
        <v>642</v>
      </c>
      <c r="D1950" t="s">
        <v>644</v>
      </c>
      <c r="E1950" t="s">
        <v>646</v>
      </c>
      <c r="F1950" t="s">
        <v>355</v>
      </c>
      <c r="G1950" t="s">
        <v>356</v>
      </c>
      <c r="I1950">
        <v>0</v>
      </c>
      <c r="J1950">
        <v>0</v>
      </c>
      <c r="K1950">
        <f>IFERROR(VLOOKUP(F1950,'LEAID Match'!$A$2:$B$236,2,FALSE),"")</f>
        <v>0</v>
      </c>
    </row>
    <row r="1951" spans="1:11" x14ac:dyDescent="0.2">
      <c r="A1951">
        <f t="shared" si="30"/>
        <v>2313080</v>
      </c>
      <c r="B1951">
        <v>2015</v>
      </c>
      <c r="C1951" t="s">
        <v>642</v>
      </c>
      <c r="D1951" t="s">
        <v>644</v>
      </c>
      <c r="E1951" t="s">
        <v>646</v>
      </c>
      <c r="F1951" s="1" t="s">
        <v>619</v>
      </c>
      <c r="G1951" t="s">
        <v>357</v>
      </c>
      <c r="I1951">
        <v>0</v>
      </c>
      <c r="J1951">
        <v>0</v>
      </c>
      <c r="K1951">
        <f>IFERROR(VLOOKUP(F1951,'LEAID Match'!$A$2:$B$236,2,FALSE),"")</f>
        <v>2313080</v>
      </c>
    </row>
    <row r="1952" spans="1:11" x14ac:dyDescent="0.2">
      <c r="A1952">
        <f t="shared" si="30"/>
        <v>2313080</v>
      </c>
      <c r="B1952">
        <v>2016</v>
      </c>
      <c r="C1952" t="s">
        <v>642</v>
      </c>
      <c r="D1952" t="s">
        <v>644</v>
      </c>
      <c r="E1952" t="s">
        <v>646</v>
      </c>
      <c r="F1952" s="1" t="s">
        <v>619</v>
      </c>
      <c r="G1952" s="1" t="s">
        <v>357</v>
      </c>
      <c r="H1952" s="22"/>
      <c r="I1952">
        <v>0</v>
      </c>
      <c r="J1952">
        <v>0</v>
      </c>
      <c r="K1952">
        <f>IFERROR(VLOOKUP(F1952,'LEAID Match'!$A$2:$B$236,2,FALSE),"")</f>
        <v>2313080</v>
      </c>
    </row>
    <row r="1953" spans="1:11" x14ac:dyDescent="0.2">
      <c r="A1953">
        <f t="shared" si="30"/>
        <v>2313080</v>
      </c>
      <c r="B1953">
        <v>2017</v>
      </c>
      <c r="C1953" t="s">
        <v>642</v>
      </c>
      <c r="D1953" t="s">
        <v>644</v>
      </c>
      <c r="E1953" t="s">
        <v>646</v>
      </c>
      <c r="F1953" t="s">
        <v>619</v>
      </c>
      <c r="G1953" t="s">
        <v>357</v>
      </c>
      <c r="I1953">
        <v>0</v>
      </c>
      <c r="J1953">
        <v>0</v>
      </c>
      <c r="K1953">
        <f>IFERROR(VLOOKUP(F1953,'LEAID Match'!$A$2:$B$236,2,FALSE),"")</f>
        <v>2313080</v>
      </c>
    </row>
    <row r="1954" spans="1:11" x14ac:dyDescent="0.2">
      <c r="A1954">
        <f t="shared" si="30"/>
        <v>2313080</v>
      </c>
      <c r="B1954">
        <v>2018</v>
      </c>
      <c r="C1954" t="s">
        <v>642</v>
      </c>
      <c r="D1954" t="s">
        <v>644</v>
      </c>
      <c r="E1954" t="s">
        <v>646</v>
      </c>
      <c r="F1954" t="s">
        <v>619</v>
      </c>
      <c r="G1954" t="s">
        <v>357</v>
      </c>
      <c r="I1954">
        <v>0</v>
      </c>
      <c r="J1954">
        <v>0</v>
      </c>
      <c r="K1954">
        <f>IFERROR(VLOOKUP(F1954,'LEAID Match'!$A$2:$B$236,2,FALSE),"")</f>
        <v>2313080</v>
      </c>
    </row>
    <row r="1955" spans="1:11" x14ac:dyDescent="0.2">
      <c r="A1955">
        <f t="shared" si="30"/>
        <v>2313080</v>
      </c>
      <c r="B1955">
        <v>2019</v>
      </c>
      <c r="C1955" t="s">
        <v>642</v>
      </c>
      <c r="D1955" t="s">
        <v>644</v>
      </c>
      <c r="E1955" t="s">
        <v>646</v>
      </c>
      <c r="F1955" t="s">
        <v>619</v>
      </c>
      <c r="G1955" t="s">
        <v>357</v>
      </c>
      <c r="I1955">
        <v>0</v>
      </c>
      <c r="J1955">
        <v>0</v>
      </c>
      <c r="K1955">
        <f>IFERROR(VLOOKUP(F1955,'LEAID Match'!$A$2:$B$236,2,FALSE),"")</f>
        <v>2313080</v>
      </c>
    </row>
    <row r="1956" spans="1:11" x14ac:dyDescent="0.2">
      <c r="A1956">
        <f t="shared" si="30"/>
        <v>2313080</v>
      </c>
      <c r="B1956">
        <v>2020</v>
      </c>
      <c r="C1956" t="s">
        <v>642</v>
      </c>
      <c r="D1956" t="s">
        <v>644</v>
      </c>
      <c r="E1956" t="s">
        <v>646</v>
      </c>
      <c r="F1956" t="s">
        <v>619</v>
      </c>
      <c r="G1956" t="s">
        <v>357</v>
      </c>
      <c r="I1956">
        <v>0</v>
      </c>
      <c r="J1956">
        <v>0</v>
      </c>
      <c r="K1956">
        <f>IFERROR(VLOOKUP(F1956,'LEAID Match'!$A$2:$B$236,2,FALSE),"")</f>
        <v>2313080</v>
      </c>
    </row>
    <row r="1957" spans="1:11" x14ac:dyDescent="0.2">
      <c r="A1957">
        <f t="shared" si="30"/>
        <v>2313080</v>
      </c>
      <c r="B1957">
        <v>2021</v>
      </c>
      <c r="C1957" t="s">
        <v>642</v>
      </c>
      <c r="D1957" t="s">
        <v>644</v>
      </c>
      <c r="E1957" t="s">
        <v>646</v>
      </c>
      <c r="F1957" t="s">
        <v>619</v>
      </c>
      <c r="G1957" t="s">
        <v>357</v>
      </c>
      <c r="I1957">
        <v>0</v>
      </c>
      <c r="J1957">
        <v>0</v>
      </c>
      <c r="K1957">
        <f>IFERROR(VLOOKUP(F1957,'LEAID Match'!$A$2:$B$236,2,FALSE),"")</f>
        <v>2313080</v>
      </c>
    </row>
    <row r="1958" spans="1:11" x14ac:dyDescent="0.2">
      <c r="A1958">
        <f t="shared" si="30"/>
        <v>2313080</v>
      </c>
      <c r="B1958">
        <v>2022</v>
      </c>
      <c r="C1958" t="s">
        <v>642</v>
      </c>
      <c r="D1958" t="s">
        <v>644</v>
      </c>
      <c r="E1958" t="s">
        <v>646</v>
      </c>
      <c r="F1958" t="s">
        <v>619</v>
      </c>
      <c r="G1958" t="s">
        <v>357</v>
      </c>
      <c r="I1958">
        <v>0</v>
      </c>
      <c r="J1958">
        <v>0</v>
      </c>
      <c r="K1958">
        <f>IFERROR(VLOOKUP(F1958,'LEAID Match'!$A$2:$B$236,2,FALSE),"")</f>
        <v>2313080</v>
      </c>
    </row>
    <row r="1959" spans="1:11" x14ac:dyDescent="0.2">
      <c r="A1959">
        <f t="shared" si="30"/>
        <v>2308700</v>
      </c>
      <c r="B1959">
        <v>2015</v>
      </c>
      <c r="C1959" t="s">
        <v>642</v>
      </c>
      <c r="D1959" t="s">
        <v>644</v>
      </c>
      <c r="E1959" t="s">
        <v>646</v>
      </c>
      <c r="F1959" t="s">
        <v>620</v>
      </c>
      <c r="G1959" t="s">
        <v>358</v>
      </c>
      <c r="H1959">
        <v>2778</v>
      </c>
      <c r="I1959">
        <v>53264.37438058987</v>
      </c>
      <c r="J1959">
        <v>56042.37438058987</v>
      </c>
      <c r="K1959">
        <f>IFERROR(VLOOKUP(F1959,'LEAID Match'!$A$2:$B$236,2,FALSE),"")</f>
        <v>2308700</v>
      </c>
    </row>
    <row r="1960" spans="1:11" x14ac:dyDescent="0.2">
      <c r="A1960">
        <f t="shared" si="30"/>
        <v>2308700</v>
      </c>
      <c r="B1960">
        <v>2016</v>
      </c>
      <c r="C1960" t="s">
        <v>642</v>
      </c>
      <c r="D1960" t="s">
        <v>644</v>
      </c>
      <c r="E1960" t="s">
        <v>646</v>
      </c>
      <c r="F1960" s="1" t="s">
        <v>620</v>
      </c>
      <c r="G1960" s="1" t="s">
        <v>358</v>
      </c>
      <c r="H1960" s="22">
        <v>2167</v>
      </c>
      <c r="I1960">
        <v>41182.973091368018</v>
      </c>
      <c r="J1960">
        <v>43349.973091368018</v>
      </c>
      <c r="K1960">
        <f>IFERROR(VLOOKUP(F1960,'LEAID Match'!$A$2:$B$236,2,FALSE),"")</f>
        <v>2308700</v>
      </c>
    </row>
    <row r="1961" spans="1:11" x14ac:dyDescent="0.2">
      <c r="A1961">
        <f t="shared" si="30"/>
        <v>2308700</v>
      </c>
      <c r="B1961">
        <v>2017</v>
      </c>
      <c r="C1961" t="s">
        <v>642</v>
      </c>
      <c r="D1961" t="s">
        <v>644</v>
      </c>
      <c r="E1961" t="s">
        <v>646</v>
      </c>
      <c r="F1961" t="s">
        <v>620</v>
      </c>
      <c r="G1961" t="s">
        <v>358</v>
      </c>
      <c r="H1961">
        <v>2625</v>
      </c>
      <c r="I1961">
        <v>50051.91957406568</v>
      </c>
      <c r="J1961">
        <v>52676.91957406568</v>
      </c>
      <c r="K1961">
        <f>IFERROR(VLOOKUP(F1961,'LEAID Match'!$A$2:$B$236,2,FALSE),"")</f>
        <v>2308700</v>
      </c>
    </row>
    <row r="1962" spans="1:11" x14ac:dyDescent="0.2">
      <c r="A1962">
        <f t="shared" si="30"/>
        <v>2308700</v>
      </c>
      <c r="B1962">
        <v>2018</v>
      </c>
      <c r="C1962" t="s">
        <v>642</v>
      </c>
      <c r="D1962" t="s">
        <v>644</v>
      </c>
      <c r="E1962" t="s">
        <v>646</v>
      </c>
      <c r="F1962" t="s">
        <v>620</v>
      </c>
      <c r="G1962" t="s">
        <v>358</v>
      </c>
      <c r="H1962">
        <v>953</v>
      </c>
      <c r="I1962">
        <v>19316.637019297992</v>
      </c>
      <c r="J1962">
        <v>20269.637019297992</v>
      </c>
      <c r="K1962">
        <f>IFERROR(VLOOKUP(F1962,'LEAID Match'!$A$2:$B$236,2,FALSE),"")</f>
        <v>2308700</v>
      </c>
    </row>
    <row r="1963" spans="1:11" x14ac:dyDescent="0.2">
      <c r="A1963">
        <f t="shared" si="30"/>
        <v>2308700</v>
      </c>
      <c r="B1963">
        <v>2019</v>
      </c>
      <c r="C1963" t="s">
        <v>642</v>
      </c>
      <c r="D1963" t="s">
        <v>644</v>
      </c>
      <c r="E1963" t="s">
        <v>646</v>
      </c>
      <c r="F1963" t="s">
        <v>620</v>
      </c>
      <c r="G1963" t="s">
        <v>358</v>
      </c>
      <c r="I1963">
        <v>0</v>
      </c>
      <c r="J1963">
        <v>0</v>
      </c>
      <c r="K1963">
        <f>IFERROR(VLOOKUP(F1963,'LEAID Match'!$A$2:$B$236,2,FALSE),"")</f>
        <v>2308700</v>
      </c>
    </row>
    <row r="1964" spans="1:11" x14ac:dyDescent="0.2">
      <c r="A1964">
        <f t="shared" si="30"/>
        <v>2308700</v>
      </c>
      <c r="B1964">
        <v>2020</v>
      </c>
      <c r="C1964" t="s">
        <v>642</v>
      </c>
      <c r="D1964" t="s">
        <v>644</v>
      </c>
      <c r="E1964" t="s">
        <v>646</v>
      </c>
      <c r="F1964" t="s">
        <v>620</v>
      </c>
      <c r="G1964" t="s">
        <v>358</v>
      </c>
      <c r="I1964">
        <v>0</v>
      </c>
      <c r="J1964">
        <v>0</v>
      </c>
      <c r="K1964">
        <f>IFERROR(VLOOKUP(F1964,'LEAID Match'!$A$2:$B$236,2,FALSE),"")</f>
        <v>2308700</v>
      </c>
    </row>
    <row r="1965" spans="1:11" x14ac:dyDescent="0.2">
      <c r="A1965">
        <f t="shared" si="30"/>
        <v>2308700</v>
      </c>
      <c r="B1965">
        <v>2021</v>
      </c>
      <c r="C1965" t="s">
        <v>642</v>
      </c>
      <c r="D1965" t="s">
        <v>644</v>
      </c>
      <c r="E1965" t="s">
        <v>646</v>
      </c>
      <c r="F1965" t="s">
        <v>620</v>
      </c>
      <c r="G1965" t="s">
        <v>358</v>
      </c>
      <c r="H1965">
        <v>1495</v>
      </c>
      <c r="I1965">
        <v>25115.028872419938</v>
      </c>
      <c r="J1965">
        <v>26610.028872419938</v>
      </c>
      <c r="K1965">
        <f>IFERROR(VLOOKUP(F1965,'LEAID Match'!$A$2:$B$236,2,FALSE),"")</f>
        <v>2308700</v>
      </c>
    </row>
    <row r="1966" spans="1:11" x14ac:dyDescent="0.2">
      <c r="A1966">
        <f t="shared" si="30"/>
        <v>2308700</v>
      </c>
      <c r="B1966">
        <v>2022</v>
      </c>
      <c r="C1966" t="s">
        <v>642</v>
      </c>
      <c r="D1966" t="s">
        <v>644</v>
      </c>
      <c r="E1966" t="s">
        <v>646</v>
      </c>
      <c r="F1966" t="s">
        <v>620</v>
      </c>
      <c r="G1966" t="s">
        <v>358</v>
      </c>
      <c r="H1966">
        <v>357</v>
      </c>
      <c r="I1966">
        <v>5139.0052643444888</v>
      </c>
      <c r="J1966">
        <v>5496.0052643444888</v>
      </c>
      <c r="K1966">
        <f>IFERROR(VLOOKUP(F1966,'LEAID Match'!$A$2:$B$236,2,FALSE),"")</f>
        <v>2308700</v>
      </c>
    </row>
    <row r="1967" spans="1:11" x14ac:dyDescent="0.2">
      <c r="A1967">
        <f t="shared" si="30"/>
        <v>2313590</v>
      </c>
      <c r="B1967">
        <v>2015</v>
      </c>
      <c r="C1967" t="s">
        <v>642</v>
      </c>
      <c r="D1967" t="s">
        <v>644</v>
      </c>
      <c r="E1967" t="s">
        <v>646</v>
      </c>
      <c r="F1967" t="s">
        <v>359</v>
      </c>
      <c r="G1967" t="s">
        <v>360</v>
      </c>
      <c r="I1967">
        <v>0</v>
      </c>
      <c r="J1967">
        <v>0</v>
      </c>
      <c r="K1967">
        <f>IFERROR(VLOOKUP(F1967,'LEAID Match'!$A$2:$B$236,2,FALSE),"")</f>
        <v>2313590</v>
      </c>
    </row>
    <row r="1968" spans="1:11" x14ac:dyDescent="0.2">
      <c r="A1968">
        <f t="shared" si="30"/>
        <v>2313590</v>
      </c>
      <c r="B1968">
        <v>2016</v>
      </c>
      <c r="C1968" t="s">
        <v>642</v>
      </c>
      <c r="D1968" t="s">
        <v>644</v>
      </c>
      <c r="E1968" t="s">
        <v>646</v>
      </c>
      <c r="F1968" s="1" t="s">
        <v>359</v>
      </c>
      <c r="G1968" s="1" t="s">
        <v>360</v>
      </c>
      <c r="H1968" s="22"/>
      <c r="I1968">
        <v>0</v>
      </c>
      <c r="J1968">
        <v>0</v>
      </c>
      <c r="K1968">
        <f>IFERROR(VLOOKUP(F1968,'LEAID Match'!$A$2:$B$236,2,FALSE),"")</f>
        <v>2313590</v>
      </c>
    </row>
    <row r="1969" spans="1:11" x14ac:dyDescent="0.2">
      <c r="A1969">
        <f t="shared" si="30"/>
        <v>2313590</v>
      </c>
      <c r="B1969">
        <v>2017</v>
      </c>
      <c r="C1969" t="s">
        <v>642</v>
      </c>
      <c r="D1969" t="s">
        <v>644</v>
      </c>
      <c r="E1969" t="s">
        <v>646</v>
      </c>
      <c r="F1969" t="s">
        <v>359</v>
      </c>
      <c r="G1969" t="s">
        <v>360</v>
      </c>
      <c r="I1969">
        <v>0</v>
      </c>
      <c r="J1969">
        <v>0</v>
      </c>
      <c r="K1969">
        <f>IFERROR(VLOOKUP(F1969,'LEAID Match'!$A$2:$B$236,2,FALSE),"")</f>
        <v>2313590</v>
      </c>
    </row>
    <row r="1970" spans="1:11" x14ac:dyDescent="0.2">
      <c r="A1970">
        <f t="shared" si="30"/>
        <v>2313590</v>
      </c>
      <c r="B1970">
        <v>2018</v>
      </c>
      <c r="C1970" t="s">
        <v>642</v>
      </c>
      <c r="D1970" t="s">
        <v>644</v>
      </c>
      <c r="E1970" t="s">
        <v>646</v>
      </c>
      <c r="F1970" t="s">
        <v>359</v>
      </c>
      <c r="G1970" t="s">
        <v>360</v>
      </c>
      <c r="I1970">
        <v>0</v>
      </c>
      <c r="J1970">
        <v>0</v>
      </c>
      <c r="K1970">
        <f>IFERROR(VLOOKUP(F1970,'LEAID Match'!$A$2:$B$236,2,FALSE),"")</f>
        <v>2313590</v>
      </c>
    </row>
    <row r="1971" spans="1:11" x14ac:dyDescent="0.2">
      <c r="A1971">
        <f t="shared" si="30"/>
        <v>2313590</v>
      </c>
      <c r="B1971">
        <v>2019</v>
      </c>
      <c r="C1971" t="s">
        <v>642</v>
      </c>
      <c r="D1971" t="s">
        <v>644</v>
      </c>
      <c r="E1971" t="s">
        <v>646</v>
      </c>
      <c r="F1971" t="s">
        <v>359</v>
      </c>
      <c r="G1971" t="s">
        <v>360</v>
      </c>
      <c r="I1971">
        <v>0</v>
      </c>
      <c r="J1971">
        <v>0</v>
      </c>
      <c r="K1971">
        <f>IFERROR(VLOOKUP(F1971,'LEAID Match'!$A$2:$B$236,2,FALSE),"")</f>
        <v>2313590</v>
      </c>
    </row>
    <row r="1972" spans="1:11" x14ac:dyDescent="0.2">
      <c r="A1972">
        <f t="shared" si="30"/>
        <v>2313590</v>
      </c>
      <c r="B1972">
        <v>2020</v>
      </c>
      <c r="C1972" t="s">
        <v>642</v>
      </c>
      <c r="D1972" t="s">
        <v>644</v>
      </c>
      <c r="E1972" t="s">
        <v>646</v>
      </c>
      <c r="F1972" t="s">
        <v>359</v>
      </c>
      <c r="G1972" t="s">
        <v>360</v>
      </c>
      <c r="I1972">
        <v>0</v>
      </c>
      <c r="J1972">
        <v>0</v>
      </c>
      <c r="K1972">
        <f>IFERROR(VLOOKUP(F1972,'LEAID Match'!$A$2:$B$236,2,FALSE),"")</f>
        <v>2313590</v>
      </c>
    </row>
    <row r="1973" spans="1:11" x14ac:dyDescent="0.2">
      <c r="A1973">
        <f t="shared" si="30"/>
        <v>2313590</v>
      </c>
      <c r="B1973">
        <v>2021</v>
      </c>
      <c r="C1973" t="s">
        <v>642</v>
      </c>
      <c r="D1973" t="s">
        <v>644</v>
      </c>
      <c r="E1973" t="s">
        <v>646</v>
      </c>
      <c r="F1973" t="s">
        <v>359</v>
      </c>
      <c r="G1973" t="s">
        <v>360</v>
      </c>
      <c r="I1973">
        <v>0</v>
      </c>
      <c r="J1973">
        <v>0</v>
      </c>
      <c r="K1973">
        <f>IFERROR(VLOOKUP(F1973,'LEAID Match'!$A$2:$B$236,2,FALSE),"")</f>
        <v>2313590</v>
      </c>
    </row>
    <row r="1974" spans="1:11" x14ac:dyDescent="0.2">
      <c r="A1974">
        <f t="shared" si="30"/>
        <v>2313590</v>
      </c>
      <c r="B1974">
        <v>2022</v>
      </c>
      <c r="C1974" t="s">
        <v>642</v>
      </c>
      <c r="D1974" t="s">
        <v>644</v>
      </c>
      <c r="E1974" t="s">
        <v>646</v>
      </c>
      <c r="F1974" t="s">
        <v>359</v>
      </c>
      <c r="G1974" t="s">
        <v>360</v>
      </c>
      <c r="I1974">
        <v>0</v>
      </c>
      <c r="J1974">
        <v>0</v>
      </c>
      <c r="K1974">
        <f>IFERROR(VLOOKUP(F1974,'LEAID Match'!$A$2:$B$236,2,FALSE),"")</f>
        <v>2313590</v>
      </c>
    </row>
    <row r="1975" spans="1:11" x14ac:dyDescent="0.2">
      <c r="A1975">
        <f t="shared" si="30"/>
        <v>2314010</v>
      </c>
      <c r="B1975">
        <v>2015</v>
      </c>
      <c r="C1975" t="s">
        <v>642</v>
      </c>
      <c r="D1975" t="s">
        <v>644</v>
      </c>
      <c r="E1975" t="s">
        <v>646</v>
      </c>
      <c r="F1975" t="s">
        <v>361</v>
      </c>
      <c r="G1975" t="s">
        <v>362</v>
      </c>
      <c r="H1975">
        <v>4158</v>
      </c>
      <c r="I1975">
        <v>79723.998802913135</v>
      </c>
      <c r="J1975">
        <v>83881.998802913135</v>
      </c>
      <c r="K1975">
        <f>IFERROR(VLOOKUP(F1975,'LEAID Match'!$A$2:$B$236,2,FALSE),"")</f>
        <v>2314010</v>
      </c>
    </row>
    <row r="1976" spans="1:11" x14ac:dyDescent="0.2">
      <c r="A1976">
        <f t="shared" si="30"/>
        <v>2314010</v>
      </c>
      <c r="B1976">
        <v>2016</v>
      </c>
      <c r="C1976" t="s">
        <v>642</v>
      </c>
      <c r="D1976" t="s">
        <v>644</v>
      </c>
      <c r="E1976" t="s">
        <v>646</v>
      </c>
      <c r="F1976" s="1" t="s">
        <v>361</v>
      </c>
      <c r="G1976" s="1" t="s">
        <v>362</v>
      </c>
      <c r="H1976" s="22">
        <v>5095</v>
      </c>
      <c r="I1976">
        <v>96828.448500470739</v>
      </c>
      <c r="J1976">
        <v>101923.44850047074</v>
      </c>
      <c r="K1976">
        <f>IFERROR(VLOOKUP(F1976,'LEAID Match'!$A$2:$B$236,2,FALSE),"")</f>
        <v>2314010</v>
      </c>
    </row>
    <row r="1977" spans="1:11" x14ac:dyDescent="0.2">
      <c r="A1977">
        <f t="shared" si="30"/>
        <v>2314010</v>
      </c>
      <c r="B1977">
        <v>2017</v>
      </c>
      <c r="C1977" t="s">
        <v>642</v>
      </c>
      <c r="D1977" t="s">
        <v>644</v>
      </c>
      <c r="E1977" t="s">
        <v>646</v>
      </c>
      <c r="F1977" t="s">
        <v>361</v>
      </c>
      <c r="G1977" t="s">
        <v>362</v>
      </c>
      <c r="H1977">
        <v>4895</v>
      </c>
      <c r="I1977">
        <v>93334.912881924378</v>
      </c>
      <c r="J1977">
        <v>98229.912881924378</v>
      </c>
      <c r="K1977">
        <f>IFERROR(VLOOKUP(F1977,'LEAID Match'!$A$2:$B$236,2,FALSE),"")</f>
        <v>2314010</v>
      </c>
    </row>
    <row r="1978" spans="1:11" x14ac:dyDescent="0.2">
      <c r="A1978">
        <f t="shared" si="30"/>
        <v>2314010</v>
      </c>
      <c r="B1978">
        <v>2018</v>
      </c>
      <c r="C1978" t="s">
        <v>642</v>
      </c>
      <c r="D1978" t="s">
        <v>644</v>
      </c>
      <c r="E1978" t="s">
        <v>646</v>
      </c>
      <c r="F1978" t="s">
        <v>361</v>
      </c>
      <c r="G1978" t="s">
        <v>362</v>
      </c>
      <c r="H1978">
        <v>13819</v>
      </c>
      <c r="I1978">
        <v>280101.37142673554</v>
      </c>
      <c r="J1978">
        <v>293920.37142673554</v>
      </c>
      <c r="K1978">
        <f>IFERROR(VLOOKUP(F1978,'LEAID Match'!$A$2:$B$236,2,FALSE),"")</f>
        <v>2314010</v>
      </c>
    </row>
    <row r="1979" spans="1:11" x14ac:dyDescent="0.2">
      <c r="A1979">
        <f t="shared" si="30"/>
        <v>2314010</v>
      </c>
      <c r="B1979">
        <v>2019</v>
      </c>
      <c r="C1979" t="s">
        <v>642</v>
      </c>
      <c r="D1979" t="s">
        <v>644</v>
      </c>
      <c r="E1979" t="s">
        <v>646</v>
      </c>
      <c r="F1979" t="s">
        <v>361</v>
      </c>
      <c r="G1979" t="s">
        <v>362</v>
      </c>
      <c r="H1979">
        <v>14036</v>
      </c>
      <c r="I1979">
        <v>300707.77495035273</v>
      </c>
      <c r="J1979">
        <v>314743.77495035273</v>
      </c>
      <c r="K1979">
        <f>IFERROR(VLOOKUP(F1979,'LEAID Match'!$A$2:$B$236,2,FALSE),"")</f>
        <v>2314010</v>
      </c>
    </row>
    <row r="1980" spans="1:11" x14ac:dyDescent="0.2">
      <c r="A1980">
        <f t="shared" si="30"/>
        <v>2314010</v>
      </c>
      <c r="B1980">
        <v>2020</v>
      </c>
      <c r="C1980" t="s">
        <v>642</v>
      </c>
      <c r="D1980" t="s">
        <v>644</v>
      </c>
      <c r="E1980" t="s">
        <v>646</v>
      </c>
      <c r="F1980" t="s">
        <v>361</v>
      </c>
      <c r="G1980" t="s">
        <v>362</v>
      </c>
      <c r="H1980">
        <v>11966</v>
      </c>
      <c r="I1980">
        <v>266625.53920859919</v>
      </c>
      <c r="J1980">
        <v>278591.53920859919</v>
      </c>
      <c r="K1980">
        <f>IFERROR(VLOOKUP(F1980,'LEAID Match'!$A$2:$B$236,2,FALSE),"")</f>
        <v>2314010</v>
      </c>
    </row>
    <row r="1981" spans="1:11" x14ac:dyDescent="0.2">
      <c r="A1981">
        <f t="shared" si="30"/>
        <v>2314010</v>
      </c>
      <c r="B1981">
        <v>2021</v>
      </c>
      <c r="C1981" t="s">
        <v>642</v>
      </c>
      <c r="D1981" t="s">
        <v>644</v>
      </c>
      <c r="E1981" t="s">
        <v>646</v>
      </c>
      <c r="F1981" t="s">
        <v>361</v>
      </c>
      <c r="G1981" t="s">
        <v>362</v>
      </c>
      <c r="H1981">
        <v>20156</v>
      </c>
      <c r="I1981">
        <v>338607.70699163631</v>
      </c>
      <c r="J1981">
        <v>358763.70699163631</v>
      </c>
      <c r="K1981">
        <f>IFERROR(VLOOKUP(F1981,'LEAID Match'!$A$2:$B$236,2,FALSE),"")</f>
        <v>2314010</v>
      </c>
    </row>
    <row r="1982" spans="1:11" x14ac:dyDescent="0.2">
      <c r="A1982">
        <f t="shared" si="30"/>
        <v>2314010</v>
      </c>
      <c r="B1982">
        <v>2022</v>
      </c>
      <c r="C1982" t="s">
        <v>642</v>
      </c>
      <c r="D1982" t="s">
        <v>644</v>
      </c>
      <c r="E1982" t="s">
        <v>646</v>
      </c>
      <c r="F1982" t="s">
        <v>361</v>
      </c>
      <c r="G1982" t="s">
        <v>362</v>
      </c>
      <c r="H1982">
        <v>20713</v>
      </c>
      <c r="I1982">
        <v>298163.07014108513</v>
      </c>
      <c r="J1982">
        <v>318876.07014108513</v>
      </c>
      <c r="K1982">
        <f>IFERROR(VLOOKUP(F1982,'LEAID Match'!$A$2:$B$236,2,FALSE),"")</f>
        <v>2314010</v>
      </c>
    </row>
  </sheetData>
  <autoFilter ref="B1:J1" xr:uid="{DDB9C7D6-84A1-4C42-AF1B-CBCA12D2EA01}">
    <sortState xmlns:xlrd2="http://schemas.microsoft.com/office/spreadsheetml/2017/richdata2" ref="B2:J1982">
      <sortCondition ref="G1:G198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6BAE-6D6A-F147-93A5-40B52FE759E4}">
  <sheetPr>
    <tabColor rgb="FFFF0000"/>
  </sheetPr>
  <dimension ref="A1"/>
  <sheetViews>
    <sheetView workbookViewId="0">
      <selection activeCell="I30" sqref="I30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8914-DE71-EA43-BBD1-83CCEEA4CCE8}">
  <sheetPr>
    <tabColor rgb="FFFFFF00"/>
  </sheetPr>
  <dimension ref="A1:G244"/>
  <sheetViews>
    <sheetView workbookViewId="0">
      <selection activeCell="I21" sqref="I21"/>
    </sheetView>
  </sheetViews>
  <sheetFormatPr baseColWidth="10" defaultRowHeight="16" x14ac:dyDescent="0.2"/>
  <cols>
    <col min="2" max="2" width="38.6640625" style="1" bestFit="1" customWidth="1"/>
    <col min="3" max="3" width="13.5" style="1" bestFit="1" customWidth="1"/>
    <col min="4" max="4" width="18.83203125" style="1" bestFit="1" customWidth="1"/>
    <col min="6" max="6" width="17.1640625" bestFit="1" customWidth="1"/>
    <col min="7" max="7" width="16.83203125" bestFit="1" customWidth="1"/>
  </cols>
  <sheetData>
    <row r="1" spans="1:7" x14ac:dyDescent="0.2">
      <c r="A1" t="s">
        <v>639</v>
      </c>
      <c r="B1" s="1" t="s">
        <v>634</v>
      </c>
      <c r="C1" s="1" t="s">
        <v>364</v>
      </c>
      <c r="D1" s="1" t="s">
        <v>363</v>
      </c>
      <c r="F1" t="s">
        <v>637</v>
      </c>
      <c r="G1" t="s">
        <v>638</v>
      </c>
    </row>
    <row r="2" spans="1:7" x14ac:dyDescent="0.2">
      <c r="A2">
        <v>2015</v>
      </c>
      <c r="B2" s="3" t="s">
        <v>2</v>
      </c>
      <c r="C2" s="3" t="s">
        <v>3</v>
      </c>
      <c r="E2" s="20">
        <f>D2/$D$242</f>
        <v>0</v>
      </c>
      <c r="F2" s="21">
        <f>E2*$D$244</f>
        <v>0</v>
      </c>
      <c r="G2" s="23">
        <f>SUM(F2,D2)</f>
        <v>0</v>
      </c>
    </row>
    <row r="3" spans="1:7" x14ac:dyDescent="0.2">
      <c r="A3">
        <v>2015</v>
      </c>
      <c r="B3" s="3" t="s">
        <v>4</v>
      </c>
      <c r="C3" s="3" t="s">
        <v>5</v>
      </c>
      <c r="E3" s="20">
        <f t="shared" ref="E3:E66" si="0">D3/$D$242</f>
        <v>0</v>
      </c>
      <c r="F3" s="21">
        <f t="shared" ref="F3:F66" si="1">E3*$D$244</f>
        <v>0</v>
      </c>
      <c r="G3" s="23">
        <f t="shared" ref="G3:G66" si="2">SUM(F3,D3)</f>
        <v>0</v>
      </c>
    </row>
    <row r="4" spans="1:7" x14ac:dyDescent="0.2">
      <c r="A4">
        <v>2015</v>
      </c>
      <c r="B4" s="3" t="s">
        <v>6</v>
      </c>
      <c r="C4" s="3" t="s">
        <v>7</v>
      </c>
      <c r="D4" s="4">
        <v>12858</v>
      </c>
      <c r="E4" s="20">
        <f t="shared" si="0"/>
        <v>1.6765630123091527E-3</v>
      </c>
      <c r="F4" s="21">
        <f t="shared" si="1"/>
        <v>246534.67450886415</v>
      </c>
      <c r="G4" s="23">
        <f t="shared" si="2"/>
        <v>259392.67450886415</v>
      </c>
    </row>
    <row r="5" spans="1:7" x14ac:dyDescent="0.2">
      <c r="A5">
        <v>2015</v>
      </c>
      <c r="B5" s="3" t="s">
        <v>8</v>
      </c>
      <c r="C5" s="3" t="s">
        <v>9</v>
      </c>
      <c r="D5" s="3">
        <v>32</v>
      </c>
      <c r="E5" s="20">
        <f t="shared" si="0"/>
        <v>4.1725008861325932E-6</v>
      </c>
      <c r="F5" s="21">
        <f t="shared" si="1"/>
        <v>613.55650834372784</v>
      </c>
      <c r="G5" s="23">
        <f t="shared" si="2"/>
        <v>645.55650834372784</v>
      </c>
    </row>
    <row r="6" spans="1:7" x14ac:dyDescent="0.2">
      <c r="A6">
        <v>2015</v>
      </c>
      <c r="B6" s="3" t="s">
        <v>365</v>
      </c>
      <c r="C6" s="3" t="s">
        <v>10</v>
      </c>
      <c r="D6" s="4">
        <v>17509</v>
      </c>
      <c r="E6" s="20">
        <f t="shared" si="0"/>
        <v>2.2830099379779869E-3</v>
      </c>
      <c r="F6" s="21">
        <f t="shared" si="1"/>
        <v>335711.27826844784</v>
      </c>
      <c r="G6" s="23">
        <f t="shared" si="2"/>
        <v>353220.27826844784</v>
      </c>
    </row>
    <row r="7" spans="1:7" x14ac:dyDescent="0.2">
      <c r="A7">
        <v>2015</v>
      </c>
      <c r="B7" s="3" t="s">
        <v>366</v>
      </c>
      <c r="C7" s="3" t="s">
        <v>11</v>
      </c>
      <c r="D7" s="4">
        <v>14959</v>
      </c>
      <c r="E7" s="20">
        <f t="shared" si="0"/>
        <v>1.9505137736142957E-3</v>
      </c>
      <c r="F7" s="21">
        <f t="shared" si="1"/>
        <v>286818.49400980701</v>
      </c>
      <c r="G7" s="23">
        <f t="shared" si="2"/>
        <v>301777.49400980701</v>
      </c>
    </row>
    <row r="8" spans="1:7" x14ac:dyDescent="0.2">
      <c r="A8">
        <v>2015</v>
      </c>
      <c r="B8" s="3" t="s">
        <v>12</v>
      </c>
      <c r="C8" s="3" t="s">
        <v>13</v>
      </c>
      <c r="E8" s="20">
        <f t="shared" si="0"/>
        <v>0</v>
      </c>
      <c r="F8" s="21">
        <f t="shared" si="1"/>
        <v>0</v>
      </c>
      <c r="G8" s="23">
        <f t="shared" si="2"/>
        <v>0</v>
      </c>
    </row>
    <row r="9" spans="1:7" x14ac:dyDescent="0.2">
      <c r="A9">
        <v>2015</v>
      </c>
      <c r="B9" s="3" t="s">
        <v>14</v>
      </c>
      <c r="C9" s="3" t="s">
        <v>15</v>
      </c>
      <c r="E9" s="20">
        <f t="shared" si="0"/>
        <v>0</v>
      </c>
      <c r="F9" s="21">
        <f t="shared" si="1"/>
        <v>0</v>
      </c>
      <c r="G9" s="23">
        <f t="shared" si="2"/>
        <v>0</v>
      </c>
    </row>
    <row r="10" spans="1:7" x14ac:dyDescent="0.2">
      <c r="A10">
        <v>2015</v>
      </c>
      <c r="B10" s="3" t="s">
        <v>16</v>
      </c>
      <c r="C10" s="3" t="s">
        <v>17</v>
      </c>
      <c r="E10" s="20">
        <f t="shared" si="0"/>
        <v>0</v>
      </c>
      <c r="F10" s="21">
        <f t="shared" si="1"/>
        <v>0</v>
      </c>
      <c r="G10" s="23">
        <f t="shared" si="2"/>
        <v>0</v>
      </c>
    </row>
    <row r="11" spans="1:7" x14ac:dyDescent="0.2">
      <c r="A11">
        <v>2015</v>
      </c>
      <c r="B11" s="3" t="s">
        <v>18</v>
      </c>
      <c r="C11" s="3" t="s">
        <v>19</v>
      </c>
      <c r="E11" s="20">
        <f t="shared" si="0"/>
        <v>0</v>
      </c>
      <c r="F11" s="21">
        <f t="shared" si="1"/>
        <v>0</v>
      </c>
      <c r="G11" s="23">
        <f t="shared" si="2"/>
        <v>0</v>
      </c>
    </row>
    <row r="12" spans="1:7" x14ac:dyDescent="0.2">
      <c r="A12">
        <v>2015</v>
      </c>
      <c r="B12" s="3" t="s">
        <v>20</v>
      </c>
      <c r="C12" s="3" t="s">
        <v>21</v>
      </c>
      <c r="E12" s="20">
        <f t="shared" si="0"/>
        <v>0</v>
      </c>
      <c r="F12" s="21">
        <f t="shared" si="1"/>
        <v>0</v>
      </c>
      <c r="G12" s="23">
        <f t="shared" si="2"/>
        <v>0</v>
      </c>
    </row>
    <row r="13" spans="1:7" x14ac:dyDescent="0.2">
      <c r="A13">
        <v>2015</v>
      </c>
      <c r="B13" s="3" t="s">
        <v>22</v>
      </c>
      <c r="C13" s="3" t="s">
        <v>23</v>
      </c>
      <c r="E13" s="20">
        <f t="shared" si="0"/>
        <v>0</v>
      </c>
      <c r="F13" s="21">
        <f t="shared" si="1"/>
        <v>0</v>
      </c>
      <c r="G13" s="23">
        <f t="shared" si="2"/>
        <v>0</v>
      </c>
    </row>
    <row r="14" spans="1:7" x14ac:dyDescent="0.2">
      <c r="A14">
        <v>2015</v>
      </c>
      <c r="B14" s="3" t="s">
        <v>24</v>
      </c>
      <c r="C14" s="3" t="s">
        <v>25</v>
      </c>
      <c r="E14" s="20">
        <f t="shared" si="0"/>
        <v>0</v>
      </c>
      <c r="F14" s="21">
        <f t="shared" si="1"/>
        <v>0</v>
      </c>
      <c r="G14" s="23">
        <f t="shared" si="2"/>
        <v>0</v>
      </c>
    </row>
    <row r="15" spans="1:7" x14ac:dyDescent="0.2">
      <c r="A15">
        <v>2015</v>
      </c>
      <c r="B15" s="3" t="s">
        <v>26</v>
      </c>
      <c r="C15" s="3" t="s">
        <v>27</v>
      </c>
      <c r="E15" s="20">
        <f t="shared" si="0"/>
        <v>0</v>
      </c>
      <c r="F15" s="21">
        <f t="shared" si="1"/>
        <v>0</v>
      </c>
      <c r="G15" s="23">
        <f t="shared" si="2"/>
        <v>0</v>
      </c>
    </row>
    <row r="16" spans="1:7" x14ac:dyDescent="0.2">
      <c r="A16">
        <v>2015</v>
      </c>
      <c r="B16" s="3" t="s">
        <v>28</v>
      </c>
      <c r="C16" s="3" t="s">
        <v>29</v>
      </c>
      <c r="E16" s="20">
        <f t="shared" si="0"/>
        <v>0</v>
      </c>
      <c r="F16" s="21">
        <f t="shared" si="1"/>
        <v>0</v>
      </c>
      <c r="G16" s="23">
        <f t="shared" si="2"/>
        <v>0</v>
      </c>
    </row>
    <row r="17" spans="1:7" x14ac:dyDescent="0.2">
      <c r="A17">
        <v>2015</v>
      </c>
      <c r="B17" s="3" t="s">
        <v>30</v>
      </c>
      <c r="C17" s="3" t="s">
        <v>31</v>
      </c>
      <c r="E17" s="20">
        <f t="shared" si="0"/>
        <v>0</v>
      </c>
      <c r="F17" s="21">
        <f t="shared" si="1"/>
        <v>0</v>
      </c>
      <c r="G17" s="23">
        <f t="shared" si="2"/>
        <v>0</v>
      </c>
    </row>
    <row r="18" spans="1:7" x14ac:dyDescent="0.2">
      <c r="A18">
        <v>2015</v>
      </c>
      <c r="B18" s="3" t="s">
        <v>32</v>
      </c>
      <c r="C18" s="3" t="s">
        <v>33</v>
      </c>
      <c r="D18" s="4">
        <v>13906</v>
      </c>
      <c r="E18" s="20">
        <f t="shared" si="0"/>
        <v>1.813212416329995E-3</v>
      </c>
      <c r="F18" s="21">
        <f t="shared" si="1"/>
        <v>266628.65015712124</v>
      </c>
      <c r="G18" s="23">
        <f t="shared" si="2"/>
        <v>280534.65015712124</v>
      </c>
    </row>
    <row r="19" spans="1:7" x14ac:dyDescent="0.2">
      <c r="A19">
        <v>2015</v>
      </c>
      <c r="B19" s="3" t="s">
        <v>34</v>
      </c>
      <c r="C19" s="3" t="s">
        <v>35</v>
      </c>
      <c r="D19" s="4">
        <v>9146</v>
      </c>
      <c r="E19" s="20">
        <f t="shared" si="0"/>
        <v>1.1925529095177718E-3</v>
      </c>
      <c r="F19" s="21">
        <f t="shared" si="1"/>
        <v>175362.1195409917</v>
      </c>
      <c r="G19" s="23">
        <f t="shared" si="2"/>
        <v>184508.1195409917</v>
      </c>
    </row>
    <row r="20" spans="1:7" x14ac:dyDescent="0.2">
      <c r="A20">
        <v>2015</v>
      </c>
      <c r="B20" s="3" t="s">
        <v>36</v>
      </c>
      <c r="C20" s="3" t="s">
        <v>37</v>
      </c>
      <c r="D20" s="4">
        <v>194316</v>
      </c>
      <c r="E20" s="20">
        <f t="shared" si="0"/>
        <v>2.5336990068429408E-2</v>
      </c>
      <c r="F20" s="21">
        <f t="shared" si="1"/>
        <v>3725745.2023537448</v>
      </c>
      <c r="G20" s="23">
        <f t="shared" si="2"/>
        <v>3920061.2023537448</v>
      </c>
    </row>
    <row r="21" spans="1:7" x14ac:dyDescent="0.2">
      <c r="A21">
        <v>2015</v>
      </c>
      <c r="B21" s="3" t="s">
        <v>38</v>
      </c>
      <c r="C21" s="3" t="s">
        <v>39</v>
      </c>
      <c r="D21" s="4">
        <v>171249</v>
      </c>
      <c r="E21" s="20">
        <f t="shared" si="0"/>
        <v>2.2329268882791267E-2</v>
      </c>
      <c r="F21" s="21">
        <f t="shared" si="1"/>
        <v>3283466.8280423456</v>
      </c>
      <c r="G21" s="23">
        <f t="shared" si="2"/>
        <v>3454715.8280423456</v>
      </c>
    </row>
    <row r="22" spans="1:7" x14ac:dyDescent="0.2">
      <c r="A22">
        <v>2015</v>
      </c>
      <c r="B22" s="3" t="s">
        <v>40</v>
      </c>
      <c r="C22" s="3" t="s">
        <v>41</v>
      </c>
      <c r="D22" s="4">
        <v>169568</v>
      </c>
      <c r="E22" s="20">
        <f t="shared" si="0"/>
        <v>2.2110082195616613E-2</v>
      </c>
      <c r="F22" s="21">
        <f t="shared" si="1"/>
        <v>3251235.937713414</v>
      </c>
      <c r="G22" s="23">
        <f t="shared" si="2"/>
        <v>3420803.937713414</v>
      </c>
    </row>
    <row r="23" spans="1:7" x14ac:dyDescent="0.2">
      <c r="A23">
        <v>2015</v>
      </c>
      <c r="B23" s="3" t="s">
        <v>42</v>
      </c>
      <c r="C23" s="3" t="s">
        <v>43</v>
      </c>
      <c r="D23" s="4">
        <v>129653</v>
      </c>
      <c r="E23" s="20">
        <f t="shared" si="0"/>
        <v>1.690553929342966E-2</v>
      </c>
      <c r="F23" s="21">
        <f t="shared" si="1"/>
        <v>2485920.0617590421</v>
      </c>
      <c r="G23" s="23">
        <f t="shared" si="2"/>
        <v>2615573.0617590421</v>
      </c>
    </row>
    <row r="24" spans="1:7" x14ac:dyDescent="0.2">
      <c r="A24">
        <v>2015</v>
      </c>
      <c r="B24" s="3" t="s">
        <v>44</v>
      </c>
      <c r="C24" s="3" t="s">
        <v>45</v>
      </c>
      <c r="D24" s="4">
        <v>21487</v>
      </c>
      <c r="E24" s="20">
        <f t="shared" si="0"/>
        <v>2.8017039543853446E-3</v>
      </c>
      <c r="F24" s="21">
        <f t="shared" si="1"/>
        <v>411984.02171192749</v>
      </c>
      <c r="G24" s="23">
        <f t="shared" si="2"/>
        <v>433471.02171192749</v>
      </c>
    </row>
    <row r="25" spans="1:7" x14ac:dyDescent="0.2">
      <c r="A25">
        <v>2015</v>
      </c>
      <c r="B25" s="3" t="s">
        <v>46</v>
      </c>
      <c r="C25" s="3" t="s">
        <v>47</v>
      </c>
      <c r="D25" s="4">
        <v>59783</v>
      </c>
      <c r="E25" s="20">
        <f t="shared" si="0"/>
        <v>7.7951443898645256E-3</v>
      </c>
      <c r="F25" s="21">
        <f t="shared" si="1"/>
        <v>1146257.7730722837</v>
      </c>
      <c r="G25" s="23">
        <f t="shared" si="2"/>
        <v>1206040.7730722837</v>
      </c>
    </row>
    <row r="26" spans="1:7" x14ac:dyDescent="0.2">
      <c r="A26">
        <v>2015</v>
      </c>
      <c r="B26" s="3" t="s">
        <v>48</v>
      </c>
      <c r="C26" s="3" t="s">
        <v>49</v>
      </c>
      <c r="D26" s="4">
        <v>21273</v>
      </c>
      <c r="E26" s="20">
        <f t="shared" si="0"/>
        <v>2.773800354709333E-3</v>
      </c>
      <c r="F26" s="21">
        <f t="shared" si="1"/>
        <v>407880.86256237881</v>
      </c>
      <c r="G26" s="23">
        <f t="shared" si="2"/>
        <v>429153.86256237881</v>
      </c>
    </row>
    <row r="27" spans="1:7" x14ac:dyDescent="0.2">
      <c r="A27">
        <v>2015</v>
      </c>
      <c r="B27" s="3" t="s">
        <v>50</v>
      </c>
      <c r="C27" s="3" t="s">
        <v>51</v>
      </c>
      <c r="E27" s="20">
        <f t="shared" si="0"/>
        <v>0</v>
      </c>
      <c r="F27" s="21">
        <f t="shared" si="1"/>
        <v>0</v>
      </c>
      <c r="G27" s="23">
        <f t="shared" si="2"/>
        <v>0</v>
      </c>
    </row>
    <row r="28" spans="1:7" x14ac:dyDescent="0.2">
      <c r="A28">
        <v>2015</v>
      </c>
      <c r="B28" s="3" t="s">
        <v>52</v>
      </c>
      <c r="C28" s="3" t="s">
        <v>53</v>
      </c>
      <c r="D28" s="4">
        <v>14584</v>
      </c>
      <c r="E28" s="20">
        <f t="shared" si="0"/>
        <v>1.9016172788549294E-3</v>
      </c>
      <c r="F28" s="21">
        <f t="shared" si="1"/>
        <v>279628.37867765396</v>
      </c>
      <c r="G28" s="23">
        <f t="shared" si="2"/>
        <v>294212.37867765396</v>
      </c>
    </row>
    <row r="29" spans="1:7" x14ac:dyDescent="0.2">
      <c r="A29">
        <v>2015</v>
      </c>
      <c r="B29" s="3" t="s">
        <v>54</v>
      </c>
      <c r="C29" s="3" t="s">
        <v>55</v>
      </c>
      <c r="E29" s="20">
        <f t="shared" si="0"/>
        <v>0</v>
      </c>
      <c r="F29" s="21">
        <f t="shared" si="1"/>
        <v>0</v>
      </c>
      <c r="G29" s="23">
        <f t="shared" si="2"/>
        <v>0</v>
      </c>
    </row>
    <row r="30" spans="1:7" x14ac:dyDescent="0.2">
      <c r="A30">
        <v>2015</v>
      </c>
      <c r="B30" s="3" t="s">
        <v>56</v>
      </c>
      <c r="C30" s="3" t="s">
        <v>57</v>
      </c>
      <c r="D30" s="4">
        <v>4056</v>
      </c>
      <c r="E30" s="20">
        <f t="shared" si="0"/>
        <v>5.2886448731730617E-4</v>
      </c>
      <c r="F30" s="21">
        <f t="shared" si="1"/>
        <v>77768.287432567493</v>
      </c>
      <c r="G30" s="23">
        <f t="shared" si="2"/>
        <v>81824.287432567493</v>
      </c>
    </row>
    <row r="31" spans="1:7" x14ac:dyDescent="0.2">
      <c r="A31">
        <v>2015</v>
      </c>
      <c r="B31" s="3" t="s">
        <v>58</v>
      </c>
      <c r="C31" s="3" t="s">
        <v>59</v>
      </c>
      <c r="D31" s="4">
        <v>3815</v>
      </c>
      <c r="E31" s="20">
        <f t="shared" si="0"/>
        <v>4.9744034001862007E-4</v>
      </c>
      <c r="F31" s="21">
        <f t="shared" si="1"/>
        <v>73147.439979103801</v>
      </c>
      <c r="G31" s="23">
        <f t="shared" si="2"/>
        <v>76962.439979103801</v>
      </c>
    </row>
    <row r="32" spans="1:7" x14ac:dyDescent="0.2">
      <c r="A32">
        <v>2015</v>
      </c>
      <c r="B32" s="3" t="s">
        <v>60</v>
      </c>
      <c r="C32" s="3" t="s">
        <v>61</v>
      </c>
      <c r="E32" s="20">
        <f t="shared" si="0"/>
        <v>0</v>
      </c>
      <c r="F32" s="21">
        <f t="shared" si="1"/>
        <v>0</v>
      </c>
      <c r="G32" s="23">
        <f t="shared" si="2"/>
        <v>0</v>
      </c>
    </row>
    <row r="33" spans="1:7" x14ac:dyDescent="0.2">
      <c r="A33">
        <v>2015</v>
      </c>
      <c r="B33" s="3" t="s">
        <v>62</v>
      </c>
      <c r="C33" s="3" t="s">
        <v>63</v>
      </c>
      <c r="D33" s="4">
        <v>22182</v>
      </c>
      <c r="E33" s="20">
        <f t="shared" si="0"/>
        <v>2.892325458006037E-3</v>
      </c>
      <c r="F33" s="21">
        <f t="shared" si="1"/>
        <v>425309.70212751784</v>
      </c>
      <c r="G33" s="23">
        <f t="shared" si="2"/>
        <v>447491.70212751784</v>
      </c>
    </row>
    <row r="34" spans="1:7" x14ac:dyDescent="0.2">
      <c r="A34">
        <v>2015</v>
      </c>
      <c r="B34" s="3" t="s">
        <v>64</v>
      </c>
      <c r="C34" s="3" t="s">
        <v>65</v>
      </c>
      <c r="D34" s="4">
        <v>12222</v>
      </c>
      <c r="E34" s="20">
        <f t="shared" si="0"/>
        <v>1.5936345571972673E-3</v>
      </c>
      <c r="F34" s="21">
        <f t="shared" si="1"/>
        <v>234340.23890553255</v>
      </c>
      <c r="G34" s="23">
        <f t="shared" si="2"/>
        <v>246562.23890553255</v>
      </c>
    </row>
    <row r="35" spans="1:7" x14ac:dyDescent="0.2">
      <c r="A35">
        <v>2015</v>
      </c>
      <c r="B35" s="3" t="s">
        <v>66</v>
      </c>
      <c r="C35" s="3" t="s">
        <v>67</v>
      </c>
      <c r="D35" s="4">
        <v>5047</v>
      </c>
      <c r="E35" s="20">
        <f t="shared" si="0"/>
        <v>6.5808162413472494E-4</v>
      </c>
      <c r="F35" s="21">
        <f t="shared" si="1"/>
        <v>96769.36555033733</v>
      </c>
      <c r="G35" s="23">
        <f t="shared" si="2"/>
        <v>101816.36555033733</v>
      </c>
    </row>
    <row r="36" spans="1:7" x14ac:dyDescent="0.2">
      <c r="A36">
        <v>2015</v>
      </c>
      <c r="B36" s="3" t="s">
        <v>68</v>
      </c>
      <c r="C36" s="3" t="s">
        <v>69</v>
      </c>
      <c r="D36" s="4">
        <v>11326</v>
      </c>
      <c r="E36" s="20">
        <f t="shared" si="0"/>
        <v>1.4768045323855549E-3</v>
      </c>
      <c r="F36" s="21">
        <f t="shared" si="1"/>
        <v>217160.65667190819</v>
      </c>
      <c r="G36" s="23">
        <f t="shared" si="2"/>
        <v>228486.65667190819</v>
      </c>
    </row>
    <row r="37" spans="1:7" x14ac:dyDescent="0.2">
      <c r="A37">
        <v>2015</v>
      </c>
      <c r="B37" s="3" t="s">
        <v>70</v>
      </c>
      <c r="C37" s="3" t="s">
        <v>71</v>
      </c>
      <c r="D37" s="4">
        <v>5236</v>
      </c>
      <c r="E37" s="20">
        <f t="shared" si="0"/>
        <v>6.827254574934456E-4</v>
      </c>
      <c r="F37" s="21">
        <f t="shared" si="1"/>
        <v>100393.18367774248</v>
      </c>
      <c r="G37" s="23">
        <f t="shared" si="2"/>
        <v>105629.18367774248</v>
      </c>
    </row>
    <row r="38" spans="1:7" x14ac:dyDescent="0.2">
      <c r="A38">
        <v>2015</v>
      </c>
      <c r="B38" s="3" t="s">
        <v>72</v>
      </c>
      <c r="C38" s="3" t="s">
        <v>73</v>
      </c>
      <c r="D38" s="4">
        <v>9927</v>
      </c>
      <c r="E38" s="20">
        <f t="shared" si="0"/>
        <v>1.2943880092699455E-3</v>
      </c>
      <c r="F38" s="21">
        <f t="shared" si="1"/>
        <v>190336.73307275583</v>
      </c>
      <c r="G38" s="23">
        <f t="shared" si="2"/>
        <v>200263.73307275583</v>
      </c>
    </row>
    <row r="39" spans="1:7" x14ac:dyDescent="0.2">
      <c r="A39">
        <v>2015</v>
      </c>
      <c r="B39" s="3" t="s">
        <v>74</v>
      </c>
      <c r="C39" s="3" t="s">
        <v>75</v>
      </c>
      <c r="D39" s="4">
        <v>52421</v>
      </c>
      <c r="E39" s="20">
        <f t="shared" si="0"/>
        <v>6.8352084047486458E-3</v>
      </c>
      <c r="F39" s="21">
        <f t="shared" si="1"/>
        <v>1005101.4288714549</v>
      </c>
      <c r="G39" s="23">
        <f t="shared" si="2"/>
        <v>1057522.4288714549</v>
      </c>
    </row>
    <row r="40" spans="1:7" x14ac:dyDescent="0.2">
      <c r="A40">
        <v>2015</v>
      </c>
      <c r="B40" s="3" t="s">
        <v>76</v>
      </c>
      <c r="C40" s="3" t="s">
        <v>77</v>
      </c>
      <c r="D40" s="4">
        <v>6164</v>
      </c>
      <c r="E40" s="20">
        <f t="shared" si="0"/>
        <v>8.0372798319129082E-4</v>
      </c>
      <c r="F40" s="21">
        <f t="shared" si="1"/>
        <v>118186.32241971057</v>
      </c>
      <c r="G40" s="23">
        <f t="shared" si="2"/>
        <v>124350.32241971057</v>
      </c>
    </row>
    <row r="41" spans="1:7" x14ac:dyDescent="0.2">
      <c r="A41">
        <v>2015</v>
      </c>
      <c r="B41" s="3" t="s">
        <v>78</v>
      </c>
      <c r="C41" s="3" t="s">
        <v>79</v>
      </c>
      <c r="D41" s="4">
        <v>24319</v>
      </c>
      <c r="E41" s="20">
        <f t="shared" si="0"/>
        <v>3.1709702828080794E-3</v>
      </c>
      <c r="F41" s="21">
        <f t="shared" si="1"/>
        <v>466283.77270034741</v>
      </c>
      <c r="G41" s="23">
        <f t="shared" si="2"/>
        <v>490602.77270034741</v>
      </c>
    </row>
    <row r="42" spans="1:7" x14ac:dyDescent="0.2">
      <c r="A42">
        <v>2015</v>
      </c>
      <c r="B42" s="3" t="s">
        <v>80</v>
      </c>
      <c r="C42" s="3" t="s">
        <v>81</v>
      </c>
      <c r="D42" s="4">
        <v>2828</v>
      </c>
      <c r="E42" s="20">
        <f t="shared" si="0"/>
        <v>3.6874476581196794E-4</v>
      </c>
      <c r="F42" s="21">
        <f t="shared" si="1"/>
        <v>54223.056424876951</v>
      </c>
      <c r="G42" s="23">
        <f t="shared" si="2"/>
        <v>57051.056424876951</v>
      </c>
    </row>
    <row r="43" spans="1:7" x14ac:dyDescent="0.2">
      <c r="A43">
        <v>2015</v>
      </c>
      <c r="B43" s="3" t="s">
        <v>82</v>
      </c>
      <c r="C43" s="3" t="s">
        <v>83</v>
      </c>
      <c r="D43" s="4">
        <v>27547</v>
      </c>
      <c r="E43" s="20">
        <f t="shared" si="0"/>
        <v>3.5918713096967049E-3</v>
      </c>
      <c r="F43" s="21">
        <f t="shared" si="1"/>
        <v>528176.28547952103</v>
      </c>
      <c r="G43" s="23">
        <f t="shared" si="2"/>
        <v>555723.28547952103</v>
      </c>
    </row>
    <row r="44" spans="1:7" x14ac:dyDescent="0.2">
      <c r="A44">
        <v>2015</v>
      </c>
      <c r="B44" s="3" t="s">
        <v>84</v>
      </c>
      <c r="C44" s="3" t="s">
        <v>85</v>
      </c>
      <c r="D44" s="3">
        <v>2.7650000000000001</v>
      </c>
      <c r="E44" s="20">
        <f t="shared" si="0"/>
        <v>3.6053015469239442E-7</v>
      </c>
      <c r="F44" s="21">
        <f t="shared" si="1"/>
        <v>53.015117049075236</v>
      </c>
      <c r="G44" s="23">
        <f t="shared" si="2"/>
        <v>55.780117049075237</v>
      </c>
    </row>
    <row r="45" spans="1:7" x14ac:dyDescent="0.2">
      <c r="A45">
        <v>2015</v>
      </c>
      <c r="B45" s="3" t="s">
        <v>86</v>
      </c>
      <c r="C45" s="3" t="s">
        <v>87</v>
      </c>
      <c r="D45" s="4">
        <v>604744</v>
      </c>
      <c r="E45" s="20">
        <f t="shared" si="0"/>
        <v>7.8852964871355277E-2</v>
      </c>
      <c r="F45" s="21">
        <f t="shared" si="1"/>
        <v>11595144.283806855</v>
      </c>
      <c r="G45" s="23">
        <f t="shared" si="2"/>
        <v>12199888.283806855</v>
      </c>
    </row>
    <row r="46" spans="1:7" x14ac:dyDescent="0.2">
      <c r="A46">
        <v>2015</v>
      </c>
      <c r="B46" s="3" t="s">
        <v>88</v>
      </c>
      <c r="C46" s="3" t="s">
        <v>89</v>
      </c>
      <c r="D46" s="4">
        <v>7549</v>
      </c>
      <c r="E46" s="20">
        <f t="shared" si="0"/>
        <v>9.8431903716921713E-4</v>
      </c>
      <c r="F46" s="21">
        <f t="shared" si="1"/>
        <v>144741.81504646255</v>
      </c>
      <c r="G46" s="23">
        <f t="shared" si="2"/>
        <v>152290.81504646255</v>
      </c>
    </row>
    <row r="47" spans="1:7" x14ac:dyDescent="0.2">
      <c r="A47">
        <v>2015</v>
      </c>
      <c r="B47" s="3" t="s">
        <v>90</v>
      </c>
      <c r="C47" s="3" t="s">
        <v>91</v>
      </c>
      <c r="D47" s="4">
        <v>44963</v>
      </c>
      <c r="E47" s="20">
        <f t="shared" si="0"/>
        <v>5.8627549169743684E-3</v>
      </c>
      <c r="F47" s="21">
        <f t="shared" si="1"/>
        <v>862104.41514559486</v>
      </c>
      <c r="G47" s="23">
        <f t="shared" si="2"/>
        <v>907067.41514559486</v>
      </c>
    </row>
    <row r="48" spans="1:7" x14ac:dyDescent="0.2">
      <c r="A48">
        <v>2015</v>
      </c>
      <c r="B48" s="3" t="s">
        <v>92</v>
      </c>
      <c r="C48" s="3" t="s">
        <v>93</v>
      </c>
      <c r="D48" s="3">
        <v>924</v>
      </c>
      <c r="E48" s="20">
        <f t="shared" si="0"/>
        <v>1.2048096308707863E-4</v>
      </c>
      <c r="F48" s="21">
        <f t="shared" si="1"/>
        <v>17716.444178425143</v>
      </c>
      <c r="G48" s="23">
        <f t="shared" si="2"/>
        <v>18640.444178425143</v>
      </c>
    </row>
    <row r="49" spans="1:7" x14ac:dyDescent="0.2">
      <c r="A49">
        <v>2015</v>
      </c>
      <c r="B49" s="3" t="s">
        <v>94</v>
      </c>
      <c r="C49" s="3" t="s">
        <v>95</v>
      </c>
      <c r="D49" s="4">
        <v>25997</v>
      </c>
      <c r="E49" s="20">
        <f t="shared" si="0"/>
        <v>3.3897657980246571E-3</v>
      </c>
      <c r="F49" s="21">
        <f t="shared" si="1"/>
        <v>498457.14210662164</v>
      </c>
      <c r="G49" s="23">
        <f t="shared" si="2"/>
        <v>524454.14210662164</v>
      </c>
    </row>
    <row r="50" spans="1:7" x14ac:dyDescent="0.2">
      <c r="A50">
        <v>2015</v>
      </c>
      <c r="B50" s="3" t="s">
        <v>96</v>
      </c>
      <c r="C50" s="3" t="s">
        <v>97</v>
      </c>
      <c r="D50" s="4">
        <v>9072</v>
      </c>
      <c r="E50" s="20">
        <f t="shared" si="0"/>
        <v>1.1829040012185901E-3</v>
      </c>
      <c r="F50" s="21">
        <f t="shared" si="1"/>
        <v>173943.27011544682</v>
      </c>
      <c r="G50" s="23">
        <f t="shared" si="2"/>
        <v>183015.27011544682</v>
      </c>
    </row>
    <row r="51" spans="1:7" x14ac:dyDescent="0.2">
      <c r="A51">
        <v>2015</v>
      </c>
      <c r="B51" s="5" t="s">
        <v>367</v>
      </c>
      <c r="C51" s="1" t="s">
        <v>98</v>
      </c>
      <c r="D51" s="6">
        <v>5589</v>
      </c>
      <c r="E51" s="20">
        <f t="shared" si="0"/>
        <v>7.2875335789359579E-4</v>
      </c>
      <c r="F51" s="21">
        <f t="shared" si="1"/>
        <v>107161.47891040922</v>
      </c>
      <c r="G51" s="23">
        <f t="shared" si="2"/>
        <v>112750.47891040922</v>
      </c>
    </row>
    <row r="52" spans="1:7" x14ac:dyDescent="0.2">
      <c r="A52">
        <v>2015</v>
      </c>
      <c r="B52" s="5" t="s">
        <v>368</v>
      </c>
      <c r="C52" s="5" t="s">
        <v>99</v>
      </c>
      <c r="D52" s="6">
        <v>37236</v>
      </c>
      <c r="E52" s="20">
        <f t="shared" si="0"/>
        <v>4.8552263436260389E-3</v>
      </c>
      <c r="F52" s="21">
        <f t="shared" si="1"/>
        <v>713949.69202147028</v>
      </c>
      <c r="G52" s="23">
        <f t="shared" si="2"/>
        <v>751185.69202147028</v>
      </c>
    </row>
    <row r="53" spans="1:7" x14ac:dyDescent="0.2">
      <c r="A53">
        <v>2015</v>
      </c>
      <c r="B53" s="5" t="s">
        <v>369</v>
      </c>
      <c r="C53" s="7" t="s">
        <v>100</v>
      </c>
      <c r="E53" s="20">
        <f t="shared" si="0"/>
        <v>0</v>
      </c>
      <c r="F53" s="21">
        <f t="shared" si="1"/>
        <v>0</v>
      </c>
      <c r="G53" s="23">
        <f t="shared" si="2"/>
        <v>0</v>
      </c>
    </row>
    <row r="54" spans="1:7" x14ac:dyDescent="0.2">
      <c r="A54">
        <v>2015</v>
      </c>
      <c r="B54" s="5" t="s">
        <v>370</v>
      </c>
      <c r="C54" s="5" t="s">
        <v>101</v>
      </c>
      <c r="D54" s="6">
        <v>2488</v>
      </c>
      <c r="E54" s="20">
        <f t="shared" si="0"/>
        <v>3.2441194389680911E-4</v>
      </c>
      <c r="F54" s="21">
        <f t="shared" si="1"/>
        <v>47704.018523724837</v>
      </c>
      <c r="G54" s="23">
        <f t="shared" si="2"/>
        <v>50192.018523724837</v>
      </c>
    </row>
    <row r="55" spans="1:7" x14ac:dyDescent="0.2">
      <c r="A55">
        <v>2015</v>
      </c>
      <c r="B55" s="1" t="s">
        <v>371</v>
      </c>
      <c r="C55" s="5" t="s">
        <v>102</v>
      </c>
      <c r="D55" s="6">
        <v>524224</v>
      </c>
      <c r="E55" s="20">
        <f t="shared" si="0"/>
        <v>6.8353909516624151E-2</v>
      </c>
      <c r="F55" s="21">
        <f t="shared" si="1"/>
        <v>10051282.71968695</v>
      </c>
      <c r="G55" s="23">
        <f t="shared" si="2"/>
        <v>10575506.71968695</v>
      </c>
    </row>
    <row r="56" spans="1:7" x14ac:dyDescent="0.2">
      <c r="A56">
        <v>2015</v>
      </c>
      <c r="B56" s="5" t="s">
        <v>372</v>
      </c>
      <c r="C56" s="5" t="s">
        <v>103</v>
      </c>
      <c r="D56" s="6">
        <v>52735</v>
      </c>
      <c r="E56" s="20">
        <f t="shared" si="0"/>
        <v>6.8761510696938224E-3</v>
      </c>
      <c r="F56" s="21">
        <f t="shared" si="1"/>
        <v>1011121.9521095778</v>
      </c>
      <c r="G56" s="23">
        <f t="shared" si="2"/>
        <v>1063856.9521095778</v>
      </c>
    </row>
    <row r="57" spans="1:7" x14ac:dyDescent="0.2">
      <c r="A57">
        <v>2015</v>
      </c>
      <c r="B57" s="5" t="s">
        <v>373</v>
      </c>
      <c r="C57" s="1" t="s">
        <v>104</v>
      </c>
      <c r="D57" s="6">
        <v>162938</v>
      </c>
      <c r="E57" s="20">
        <f t="shared" si="0"/>
        <v>2.1245592168271016E-2</v>
      </c>
      <c r="F57" s="21">
        <f t="shared" si="1"/>
        <v>3124114.6986409477</v>
      </c>
      <c r="G57" s="23">
        <f t="shared" si="2"/>
        <v>3287052.6986409477</v>
      </c>
    </row>
    <row r="58" spans="1:7" x14ac:dyDescent="0.2">
      <c r="A58">
        <v>2015</v>
      </c>
      <c r="B58" s="5" t="s">
        <v>374</v>
      </c>
      <c r="C58" s="1" t="s">
        <v>105</v>
      </c>
      <c r="D58" s="6">
        <v>64828</v>
      </c>
      <c r="E58" s="20">
        <f t="shared" si="0"/>
        <v>8.4529652326938674E-3</v>
      </c>
      <c r="F58" s="21">
        <f t="shared" si="1"/>
        <v>1242988.7913408496</v>
      </c>
      <c r="G58" s="23">
        <f t="shared" si="2"/>
        <v>1307816.7913408496</v>
      </c>
    </row>
    <row r="59" spans="1:7" x14ac:dyDescent="0.2">
      <c r="A59">
        <v>2015</v>
      </c>
      <c r="B59" s="5" t="s">
        <v>375</v>
      </c>
      <c r="C59" s="1" t="s">
        <v>106</v>
      </c>
      <c r="D59" s="6">
        <v>147215</v>
      </c>
      <c r="E59" s="20">
        <f t="shared" si="0"/>
        <v>1.9195459936000303E-2</v>
      </c>
      <c r="F59" s="21">
        <f t="shared" si="1"/>
        <v>2822647.542994434</v>
      </c>
      <c r="G59" s="23">
        <f t="shared" si="2"/>
        <v>2969862.542994434</v>
      </c>
    </row>
    <row r="60" spans="1:7" x14ac:dyDescent="0.2">
      <c r="A60">
        <v>2015</v>
      </c>
      <c r="B60" s="5" t="s">
        <v>107</v>
      </c>
      <c r="C60" s="5" t="s">
        <v>108</v>
      </c>
      <c r="D60" s="6">
        <v>2480</v>
      </c>
      <c r="E60" s="20">
        <f t="shared" si="0"/>
        <v>3.2336881867527599E-4</v>
      </c>
      <c r="F60" s="21">
        <f t="shared" si="1"/>
        <v>47550.629396638906</v>
      </c>
      <c r="G60" s="23">
        <f t="shared" si="2"/>
        <v>50030.629396638906</v>
      </c>
    </row>
    <row r="61" spans="1:7" x14ac:dyDescent="0.2">
      <c r="A61">
        <v>2015</v>
      </c>
      <c r="B61" s="5" t="s">
        <v>109</v>
      </c>
      <c r="C61" s="1" t="s">
        <v>110</v>
      </c>
      <c r="D61" s="6">
        <v>152899</v>
      </c>
      <c r="E61" s="20">
        <f t="shared" si="0"/>
        <v>1.9936600405899608E-2</v>
      </c>
      <c r="F61" s="21">
        <f t="shared" si="1"/>
        <v>2931630.517788989</v>
      </c>
      <c r="G61" s="23">
        <f t="shared" si="2"/>
        <v>3084529.517788989</v>
      </c>
    </row>
    <row r="62" spans="1:7" x14ac:dyDescent="0.2">
      <c r="A62">
        <v>2015</v>
      </c>
      <c r="B62" s="5" t="s">
        <v>376</v>
      </c>
      <c r="C62" s="7" t="s">
        <v>111</v>
      </c>
      <c r="D62" s="6">
        <v>13876</v>
      </c>
      <c r="E62" s="20">
        <f t="shared" si="0"/>
        <v>1.8093006967492458E-3</v>
      </c>
      <c r="F62" s="21">
        <f t="shared" si="1"/>
        <v>266053.440930549</v>
      </c>
      <c r="G62" s="23">
        <f t="shared" si="2"/>
        <v>279929.440930549</v>
      </c>
    </row>
    <row r="63" spans="1:7" x14ac:dyDescent="0.2">
      <c r="A63">
        <v>2015</v>
      </c>
      <c r="B63" s="5" t="s">
        <v>377</v>
      </c>
      <c r="C63" s="1" t="s">
        <v>112</v>
      </c>
      <c r="D63" s="6">
        <v>20665</v>
      </c>
      <c r="E63" s="20">
        <f t="shared" si="0"/>
        <v>2.6945228378728136E-3</v>
      </c>
      <c r="F63" s="21">
        <f t="shared" si="1"/>
        <v>396223.28890384798</v>
      </c>
      <c r="G63" s="23">
        <f t="shared" si="2"/>
        <v>416888.28890384798</v>
      </c>
    </row>
    <row r="64" spans="1:7" x14ac:dyDescent="0.2">
      <c r="A64">
        <v>2015</v>
      </c>
      <c r="B64" s="5" t="s">
        <v>378</v>
      </c>
      <c r="C64" s="5" t="s">
        <v>113</v>
      </c>
      <c r="D64" s="6">
        <v>9107</v>
      </c>
      <c r="E64" s="20">
        <f t="shared" si="0"/>
        <v>1.1874676740627978E-3</v>
      </c>
      <c r="F64" s="21">
        <f t="shared" si="1"/>
        <v>174614.3475464478</v>
      </c>
      <c r="G64" s="23">
        <f t="shared" si="2"/>
        <v>183721.3475464478</v>
      </c>
    </row>
    <row r="65" spans="1:7" x14ac:dyDescent="0.2">
      <c r="A65">
        <v>2015</v>
      </c>
      <c r="B65" s="5" t="s">
        <v>114</v>
      </c>
      <c r="C65" s="1" t="s">
        <v>115</v>
      </c>
      <c r="D65" s="6">
        <v>21131</v>
      </c>
      <c r="E65" s="20">
        <f t="shared" si="0"/>
        <v>2.7552848820271195E-3</v>
      </c>
      <c r="F65" s="21">
        <f t="shared" si="1"/>
        <v>405158.2055566035</v>
      </c>
      <c r="G65" s="23">
        <f t="shared" si="2"/>
        <v>426289.2055566035</v>
      </c>
    </row>
    <row r="66" spans="1:7" x14ac:dyDescent="0.2">
      <c r="A66">
        <v>2015</v>
      </c>
      <c r="B66" s="5" t="s">
        <v>379</v>
      </c>
      <c r="C66" s="1" t="s">
        <v>116</v>
      </c>
      <c r="D66" s="6">
        <v>58561</v>
      </c>
      <c r="E66" s="20">
        <f t="shared" si="0"/>
        <v>7.6358070122753375E-3</v>
      </c>
      <c r="F66" s="21">
        <f t="shared" si="1"/>
        <v>1122827.5839099076</v>
      </c>
      <c r="G66" s="23">
        <f t="shared" si="2"/>
        <v>1181388.5839099076</v>
      </c>
    </row>
    <row r="67" spans="1:7" x14ac:dyDescent="0.2">
      <c r="A67">
        <v>2015</v>
      </c>
      <c r="B67" s="5" t="s">
        <v>380</v>
      </c>
      <c r="C67" s="1" t="s">
        <v>117</v>
      </c>
      <c r="D67" s="6">
        <v>93274</v>
      </c>
      <c r="E67" s="20">
        <f t="shared" ref="E67:E130" si="3">D67/$D$242</f>
        <v>1.216205773916036E-2</v>
      </c>
      <c r="F67" s="21">
        <f t="shared" ref="F67:F130" si="4">E67*$D$244</f>
        <v>1788402.1799766524</v>
      </c>
      <c r="G67" s="23">
        <f t="shared" ref="G67:G130" si="5">SUM(F67,D67)</f>
        <v>1881676.1799766524</v>
      </c>
    </row>
    <row r="68" spans="1:7" x14ac:dyDescent="0.2">
      <c r="A68">
        <v>2015</v>
      </c>
      <c r="B68" s="5" t="s">
        <v>118</v>
      </c>
      <c r="C68" s="1" t="s">
        <v>119</v>
      </c>
      <c r="D68" s="6">
        <v>33499</v>
      </c>
      <c r="E68" s="20">
        <f t="shared" si="3"/>
        <v>4.3679564745173673E-3</v>
      </c>
      <c r="F68" s="21">
        <f t="shared" si="4"/>
        <v>642297.79603145435</v>
      </c>
      <c r="G68" s="23">
        <f t="shared" si="5"/>
        <v>675796.79603145435</v>
      </c>
    </row>
    <row r="69" spans="1:7" x14ac:dyDescent="0.2">
      <c r="A69">
        <v>2015</v>
      </c>
      <c r="B69" s="5" t="s">
        <v>381</v>
      </c>
      <c r="C69" s="5" t="s">
        <v>120</v>
      </c>
      <c r="D69" s="6">
        <v>61293</v>
      </c>
      <c r="E69" s="20">
        <f t="shared" si="3"/>
        <v>7.9920342754289074E-3</v>
      </c>
      <c r="F69" s="21">
        <f t="shared" si="4"/>
        <v>1175209.9708097535</v>
      </c>
      <c r="G69" s="23">
        <f t="shared" si="5"/>
        <v>1236502.9708097535</v>
      </c>
    </row>
    <row r="70" spans="1:7" x14ac:dyDescent="0.2">
      <c r="A70">
        <v>2015</v>
      </c>
      <c r="B70" s="5" t="s">
        <v>121</v>
      </c>
      <c r="C70" s="1" t="s">
        <v>122</v>
      </c>
      <c r="E70" s="20">
        <f t="shared" si="3"/>
        <v>0</v>
      </c>
      <c r="F70" s="21">
        <f t="shared" si="4"/>
        <v>0</v>
      </c>
      <c r="G70" s="23">
        <f t="shared" si="5"/>
        <v>0</v>
      </c>
    </row>
    <row r="71" spans="1:7" x14ac:dyDescent="0.2">
      <c r="A71">
        <v>2015</v>
      </c>
      <c r="B71" s="5" t="s">
        <v>123</v>
      </c>
      <c r="C71" s="1" t="s">
        <v>124</v>
      </c>
      <c r="D71" s="6">
        <v>4942</v>
      </c>
      <c r="E71" s="20">
        <f t="shared" si="3"/>
        <v>6.4439060560210243E-4</v>
      </c>
      <c r="F71" s="21">
        <f t="shared" si="4"/>
        <v>94756.13325733447</v>
      </c>
      <c r="G71" s="23">
        <f t="shared" si="5"/>
        <v>99698.13325733447</v>
      </c>
    </row>
    <row r="72" spans="1:7" x14ac:dyDescent="0.2">
      <c r="A72">
        <v>2015</v>
      </c>
      <c r="B72" s="5" t="s">
        <v>382</v>
      </c>
      <c r="C72" s="5" t="s">
        <v>125</v>
      </c>
      <c r="D72" s="6">
        <v>135114</v>
      </c>
      <c r="E72" s="20">
        <f t="shared" si="3"/>
        <v>1.7617602647778726E-2</v>
      </c>
      <c r="F72" s="21">
        <f t="shared" si="4"/>
        <v>2590627.3146360763</v>
      </c>
      <c r="G72" s="23">
        <f t="shared" si="5"/>
        <v>2725741.3146360763</v>
      </c>
    </row>
    <row r="73" spans="1:7" x14ac:dyDescent="0.2">
      <c r="A73">
        <v>2015</v>
      </c>
      <c r="B73" s="5" t="s">
        <v>383</v>
      </c>
      <c r="C73" s="5" t="s">
        <v>126</v>
      </c>
      <c r="D73" s="6">
        <v>85832</v>
      </c>
      <c r="E73" s="20">
        <f t="shared" si="3"/>
        <v>1.1191690501829148E-2</v>
      </c>
      <c r="F73" s="21">
        <f t="shared" si="4"/>
        <v>1645711.9445049639</v>
      </c>
      <c r="G73" s="23">
        <f t="shared" si="5"/>
        <v>1731543.9445049639</v>
      </c>
    </row>
    <row r="74" spans="1:7" x14ac:dyDescent="0.2">
      <c r="A74">
        <v>2015</v>
      </c>
      <c r="B74" s="5" t="s">
        <v>127</v>
      </c>
      <c r="C74" s="1" t="s">
        <v>128</v>
      </c>
      <c r="D74" s="6">
        <v>4746</v>
      </c>
      <c r="E74" s="20">
        <f t="shared" si="3"/>
        <v>6.1883403767454021E-4</v>
      </c>
      <c r="F74" s="21">
        <f t="shared" si="4"/>
        <v>90998.099643729132</v>
      </c>
      <c r="G74" s="23">
        <f t="shared" si="5"/>
        <v>95744.099643729132</v>
      </c>
    </row>
    <row r="75" spans="1:7" x14ac:dyDescent="0.2">
      <c r="A75">
        <v>2015</v>
      </c>
      <c r="B75" s="5" t="s">
        <v>129</v>
      </c>
      <c r="C75" s="5" t="s">
        <v>130</v>
      </c>
      <c r="D75" s="6">
        <v>15223</v>
      </c>
      <c r="E75" s="20">
        <f t="shared" si="3"/>
        <v>1.9849369059248899E-3</v>
      </c>
      <c r="F75" s="21">
        <f t="shared" si="4"/>
        <v>291880.33520364284</v>
      </c>
      <c r="G75" s="23">
        <f t="shared" si="5"/>
        <v>307103.33520364284</v>
      </c>
    </row>
    <row r="76" spans="1:7" x14ac:dyDescent="0.2">
      <c r="A76">
        <v>2015</v>
      </c>
      <c r="B76" s="5" t="s">
        <v>384</v>
      </c>
      <c r="C76" s="5" t="s">
        <v>131</v>
      </c>
      <c r="D76" s="6">
        <v>57607</v>
      </c>
      <c r="E76" s="20">
        <f t="shared" si="3"/>
        <v>7.5114143296075098E-3</v>
      </c>
      <c r="F76" s="21">
        <f t="shared" si="4"/>
        <v>1104535.9305049104</v>
      </c>
      <c r="G76" s="23">
        <f t="shared" si="5"/>
        <v>1162142.9305049104</v>
      </c>
    </row>
    <row r="77" spans="1:7" x14ac:dyDescent="0.2">
      <c r="A77">
        <v>2015</v>
      </c>
      <c r="B77" s="5" t="s">
        <v>385</v>
      </c>
      <c r="C77" s="5" t="s">
        <v>132</v>
      </c>
      <c r="D77" s="6">
        <v>72166</v>
      </c>
      <c r="E77" s="20">
        <f t="shared" si="3"/>
        <v>9.4097718421451478E-3</v>
      </c>
      <c r="F77" s="21">
        <f t="shared" si="4"/>
        <v>1383684.9681604207</v>
      </c>
      <c r="G77" s="23">
        <f t="shared" si="5"/>
        <v>1455850.9681604207</v>
      </c>
    </row>
    <row r="78" spans="1:7" x14ac:dyDescent="0.2">
      <c r="A78">
        <v>2015</v>
      </c>
      <c r="B78" s="5" t="s">
        <v>133</v>
      </c>
      <c r="C78" s="1" t="s">
        <v>134</v>
      </c>
      <c r="D78" s="6">
        <v>11952</v>
      </c>
      <c r="E78" s="20">
        <f t="shared" si="3"/>
        <v>1.5584290809705235E-3</v>
      </c>
      <c r="F78" s="21">
        <f t="shared" si="4"/>
        <v>229163.35586638234</v>
      </c>
      <c r="G78" s="23">
        <f t="shared" si="5"/>
        <v>241115.35586638234</v>
      </c>
    </row>
    <row r="79" spans="1:7" x14ac:dyDescent="0.2">
      <c r="A79">
        <v>2015</v>
      </c>
      <c r="B79" s="5" t="s">
        <v>386</v>
      </c>
      <c r="C79" s="1" t="s">
        <v>135</v>
      </c>
      <c r="D79" s="6">
        <v>48881</v>
      </c>
      <c r="E79" s="20">
        <f t="shared" si="3"/>
        <v>6.3736254942202281E-3</v>
      </c>
      <c r="F79" s="21">
        <f t="shared" si="4"/>
        <v>937226.74013593001</v>
      </c>
      <c r="G79" s="23">
        <f t="shared" si="5"/>
        <v>986107.74013593001</v>
      </c>
    </row>
    <row r="80" spans="1:7" x14ac:dyDescent="0.2">
      <c r="A80">
        <v>2015</v>
      </c>
      <c r="B80" s="5" t="s">
        <v>136</v>
      </c>
      <c r="C80" s="1" t="s">
        <v>137</v>
      </c>
      <c r="D80" s="6">
        <v>31315</v>
      </c>
      <c r="E80" s="20">
        <f t="shared" si="3"/>
        <v>4.0831832890388178E-3</v>
      </c>
      <c r="F80" s="21">
        <f t="shared" si="4"/>
        <v>600422.56433699501</v>
      </c>
      <c r="G80" s="23">
        <f t="shared" si="5"/>
        <v>631737.56433699501</v>
      </c>
    </row>
    <row r="81" spans="1:7" x14ac:dyDescent="0.2">
      <c r="A81">
        <v>2015</v>
      </c>
      <c r="B81" s="5" t="s">
        <v>387</v>
      </c>
      <c r="C81" s="1" t="s">
        <v>138</v>
      </c>
      <c r="D81" s="6">
        <v>15079</v>
      </c>
      <c r="E81" s="20">
        <f t="shared" si="3"/>
        <v>1.966160651937293E-3</v>
      </c>
      <c r="F81" s="21">
        <f t="shared" si="4"/>
        <v>289119.33091609599</v>
      </c>
      <c r="G81" s="23">
        <f t="shared" si="5"/>
        <v>304198.33091609599</v>
      </c>
    </row>
    <row r="82" spans="1:7" x14ac:dyDescent="0.2">
      <c r="A82">
        <v>2015</v>
      </c>
      <c r="B82" s="5" t="s">
        <v>388</v>
      </c>
      <c r="C82" s="5" t="s">
        <v>139</v>
      </c>
      <c r="D82" s="6">
        <v>56255</v>
      </c>
      <c r="E82" s="20">
        <f t="shared" si="3"/>
        <v>7.3351261671684076E-3</v>
      </c>
      <c r="F82" s="21">
        <f t="shared" si="4"/>
        <v>1078613.1680273879</v>
      </c>
      <c r="G82" s="23">
        <f t="shared" si="5"/>
        <v>1134868.1680273879</v>
      </c>
    </row>
    <row r="83" spans="1:7" x14ac:dyDescent="0.2">
      <c r="A83">
        <v>2015</v>
      </c>
      <c r="B83" s="5" t="s">
        <v>140</v>
      </c>
      <c r="C83" s="5" t="s">
        <v>141</v>
      </c>
      <c r="D83" s="6">
        <v>18715</v>
      </c>
      <c r="E83" s="20">
        <f t="shared" si="3"/>
        <v>2.4402610651241088E-3</v>
      </c>
      <c r="F83" s="21">
        <f t="shared" si="4"/>
        <v>358834.68917665206</v>
      </c>
      <c r="G83" s="23">
        <f t="shared" si="5"/>
        <v>377549.68917665206</v>
      </c>
    </row>
    <row r="84" spans="1:7" x14ac:dyDescent="0.2">
      <c r="A84">
        <v>2015</v>
      </c>
      <c r="B84" s="5" t="s">
        <v>389</v>
      </c>
      <c r="C84" s="5" t="s">
        <v>142</v>
      </c>
      <c r="D84" s="6">
        <v>57253</v>
      </c>
      <c r="E84" s="20">
        <f t="shared" si="3"/>
        <v>7.4652560385546681E-3</v>
      </c>
      <c r="F84" s="21">
        <f t="shared" si="4"/>
        <v>1097748.4616313579</v>
      </c>
      <c r="G84" s="23">
        <f t="shared" si="5"/>
        <v>1155001.4616313579</v>
      </c>
    </row>
    <row r="85" spans="1:7" x14ac:dyDescent="0.2">
      <c r="A85">
        <v>2015</v>
      </c>
      <c r="B85" s="5" t="s">
        <v>390</v>
      </c>
      <c r="C85" s="1" t="s">
        <v>143</v>
      </c>
      <c r="E85" s="20">
        <f t="shared" si="3"/>
        <v>0</v>
      </c>
      <c r="F85" s="21">
        <f t="shared" si="4"/>
        <v>0</v>
      </c>
      <c r="G85" s="23">
        <f t="shared" si="5"/>
        <v>0</v>
      </c>
    </row>
    <row r="86" spans="1:7" x14ac:dyDescent="0.2">
      <c r="A86">
        <v>2015</v>
      </c>
      <c r="B86" s="5" t="s">
        <v>391</v>
      </c>
      <c r="C86" s="5" t="s">
        <v>144</v>
      </c>
      <c r="D86" s="6">
        <v>6139</v>
      </c>
      <c r="E86" s="20">
        <f t="shared" si="3"/>
        <v>8.004682168739997E-4</v>
      </c>
      <c r="F86" s="21">
        <f t="shared" si="4"/>
        <v>117706.98139756704</v>
      </c>
      <c r="G86" s="23">
        <f t="shared" si="5"/>
        <v>123845.98139756704</v>
      </c>
    </row>
    <row r="87" spans="1:7" x14ac:dyDescent="0.2">
      <c r="A87">
        <v>2015</v>
      </c>
      <c r="B87" s="5" t="s">
        <v>392</v>
      </c>
      <c r="C87" s="1" t="s">
        <v>145</v>
      </c>
      <c r="D87" s="6">
        <v>17717</v>
      </c>
      <c r="E87" s="20">
        <f t="shared" si="3"/>
        <v>2.3101311937378487E-3</v>
      </c>
      <c r="F87" s="21">
        <f t="shared" si="4"/>
        <v>339699.39557268209</v>
      </c>
      <c r="G87" s="23">
        <f t="shared" si="5"/>
        <v>357416.39557268209</v>
      </c>
    </row>
    <row r="88" spans="1:7" x14ac:dyDescent="0.2">
      <c r="A88">
        <v>2015</v>
      </c>
      <c r="B88" s="5" t="s">
        <v>146</v>
      </c>
      <c r="C88" s="5" t="s">
        <v>147</v>
      </c>
      <c r="D88" s="6">
        <v>26396</v>
      </c>
      <c r="E88" s="20">
        <f t="shared" si="3"/>
        <v>3.4417916684486229E-3</v>
      </c>
      <c r="F88" s="21">
        <f t="shared" si="4"/>
        <v>506107.42482003249</v>
      </c>
      <c r="G88" s="23">
        <f t="shared" si="5"/>
        <v>532503.42482003244</v>
      </c>
    </row>
    <row r="89" spans="1:7" x14ac:dyDescent="0.2">
      <c r="A89">
        <v>2015</v>
      </c>
      <c r="B89" s="5" t="s">
        <v>393</v>
      </c>
      <c r="C89" s="1" t="s">
        <v>148</v>
      </c>
      <c r="D89" s="6">
        <v>91643</v>
      </c>
      <c r="E89" s="20">
        <f t="shared" si="3"/>
        <v>1.1949390584620289E-2</v>
      </c>
      <c r="F89" s="21">
        <f t="shared" si="4"/>
        <v>1757129.9716920077</v>
      </c>
      <c r="G89" s="23">
        <f t="shared" si="5"/>
        <v>1848772.9716920077</v>
      </c>
    </row>
    <row r="90" spans="1:7" x14ac:dyDescent="0.2">
      <c r="A90">
        <v>2015</v>
      </c>
      <c r="B90" s="5" t="s">
        <v>394</v>
      </c>
      <c r="C90" s="1" t="s">
        <v>149</v>
      </c>
      <c r="D90" s="6">
        <v>14877</v>
      </c>
      <c r="E90" s="20">
        <f t="shared" si="3"/>
        <v>1.939821740093581E-3</v>
      </c>
      <c r="F90" s="21">
        <f t="shared" si="4"/>
        <v>285246.25545717624</v>
      </c>
      <c r="G90" s="23">
        <f t="shared" si="5"/>
        <v>300123.25545717624</v>
      </c>
    </row>
    <row r="91" spans="1:7" x14ac:dyDescent="0.2">
      <c r="A91">
        <v>2015</v>
      </c>
      <c r="B91" s="8" t="s">
        <v>395</v>
      </c>
      <c r="C91" s="1" t="s">
        <v>150</v>
      </c>
      <c r="D91" s="6">
        <v>59958</v>
      </c>
      <c r="E91" s="20">
        <f t="shared" si="3"/>
        <v>7.8179627540855643E-3</v>
      </c>
      <c r="F91" s="21">
        <f t="shared" si="4"/>
        <v>1149613.1602272887</v>
      </c>
      <c r="G91" s="23">
        <f t="shared" si="5"/>
        <v>1209571.1602272887</v>
      </c>
    </row>
    <row r="92" spans="1:7" x14ac:dyDescent="0.2">
      <c r="A92">
        <v>2015</v>
      </c>
      <c r="B92" s="5" t="s">
        <v>151</v>
      </c>
      <c r="C92" s="5" t="s">
        <v>152</v>
      </c>
      <c r="D92" s="6">
        <v>13867</v>
      </c>
      <c r="E92" s="20">
        <f t="shared" si="3"/>
        <v>1.808127180875021E-3</v>
      </c>
      <c r="F92" s="21">
        <f t="shared" si="4"/>
        <v>265880.87816257734</v>
      </c>
      <c r="G92" s="23">
        <f t="shared" si="5"/>
        <v>279747.87816257734</v>
      </c>
    </row>
    <row r="93" spans="1:7" x14ac:dyDescent="0.2">
      <c r="A93">
        <v>2015</v>
      </c>
      <c r="B93" s="5" t="s">
        <v>396</v>
      </c>
      <c r="C93" s="5" t="s">
        <v>153</v>
      </c>
      <c r="D93" s="6">
        <v>96385</v>
      </c>
      <c r="E93" s="20">
        <f t="shared" si="3"/>
        <v>1.2567703059684063E-2</v>
      </c>
      <c r="F93" s="21">
        <f t="shared" si="4"/>
        <v>1848051.3767721939</v>
      </c>
      <c r="G93" s="23">
        <f t="shared" si="5"/>
        <v>1944436.3767721939</v>
      </c>
    </row>
    <row r="94" spans="1:7" x14ac:dyDescent="0.2">
      <c r="A94">
        <v>2015</v>
      </c>
      <c r="B94" s="5" t="s">
        <v>397</v>
      </c>
      <c r="C94" s="1" t="s">
        <v>154</v>
      </c>
      <c r="D94" s="9">
        <v>37406</v>
      </c>
      <c r="E94" s="20">
        <f t="shared" si="3"/>
        <v>4.8773927545836182E-3</v>
      </c>
      <c r="F94" s="21">
        <f t="shared" si="4"/>
        <v>717209.21097204636</v>
      </c>
      <c r="G94" s="23">
        <f t="shared" si="5"/>
        <v>754615.21097204636</v>
      </c>
    </row>
    <row r="95" spans="1:7" x14ac:dyDescent="0.2">
      <c r="A95">
        <v>2015</v>
      </c>
      <c r="B95" s="5" t="s">
        <v>398</v>
      </c>
      <c r="C95" s="5" t="s">
        <v>155</v>
      </c>
      <c r="D95" s="9">
        <v>33130</v>
      </c>
      <c r="E95" s="20">
        <f t="shared" si="3"/>
        <v>4.3198423236741508E-3</v>
      </c>
      <c r="F95" s="21">
        <f t="shared" si="4"/>
        <v>635222.72254461574</v>
      </c>
      <c r="G95" s="23">
        <f t="shared" si="5"/>
        <v>668352.72254461574</v>
      </c>
    </row>
    <row r="96" spans="1:7" x14ac:dyDescent="0.2">
      <c r="A96">
        <v>2015</v>
      </c>
      <c r="B96" s="5" t="s">
        <v>399</v>
      </c>
      <c r="C96" s="1" t="s">
        <v>156</v>
      </c>
      <c r="D96" s="6">
        <v>54877</v>
      </c>
      <c r="E96" s="20">
        <f t="shared" si="3"/>
        <v>7.1554478477593225E-3</v>
      </c>
      <c r="F96" s="21">
        <f t="shared" si="4"/>
        <v>1052191.890886836</v>
      </c>
      <c r="G96" s="23">
        <f t="shared" si="5"/>
        <v>1107068.890886836</v>
      </c>
    </row>
    <row r="97" spans="1:7" x14ac:dyDescent="0.2">
      <c r="A97">
        <v>2015</v>
      </c>
      <c r="B97" s="5" t="s">
        <v>400</v>
      </c>
      <c r="C97" s="5" t="s">
        <v>157</v>
      </c>
      <c r="D97" s="6">
        <v>156900</v>
      </c>
      <c r="E97" s="20">
        <f t="shared" si="3"/>
        <v>2.0458293407318872E-2</v>
      </c>
      <c r="F97" s="21">
        <f t="shared" si="4"/>
        <v>3008344.2549728407</v>
      </c>
      <c r="G97" s="23">
        <f t="shared" si="5"/>
        <v>3165244.2549728407</v>
      </c>
    </row>
    <row r="98" spans="1:7" x14ac:dyDescent="0.2">
      <c r="A98">
        <v>2015</v>
      </c>
      <c r="B98" s="5" t="s">
        <v>401</v>
      </c>
      <c r="C98" s="1" t="s">
        <v>158</v>
      </c>
      <c r="D98" s="6">
        <v>113512</v>
      </c>
      <c r="E98" s="20">
        <f t="shared" si="3"/>
        <v>1.4800903768333842E-2</v>
      </c>
      <c r="F98" s="21">
        <f t="shared" si="4"/>
        <v>2176438.3242222886</v>
      </c>
      <c r="G98" s="23">
        <f t="shared" si="5"/>
        <v>2289950.3242222886</v>
      </c>
    </row>
    <row r="99" spans="1:7" x14ac:dyDescent="0.2">
      <c r="A99">
        <v>2015</v>
      </c>
      <c r="B99" s="5" t="s">
        <v>402</v>
      </c>
      <c r="C99" s="1" t="s">
        <v>159</v>
      </c>
      <c r="D99" s="6">
        <v>56413</v>
      </c>
      <c r="E99" s="20">
        <f t="shared" si="3"/>
        <v>7.3557278902936871E-3</v>
      </c>
      <c r="F99" s="21">
        <f t="shared" si="4"/>
        <v>1081642.603287335</v>
      </c>
      <c r="G99" s="23">
        <f t="shared" si="5"/>
        <v>1138055.603287335</v>
      </c>
    </row>
    <row r="100" spans="1:7" x14ac:dyDescent="0.2">
      <c r="A100">
        <v>2015</v>
      </c>
      <c r="B100" s="5" t="s">
        <v>160</v>
      </c>
      <c r="C100" s="1" t="s">
        <v>161</v>
      </c>
      <c r="D100" s="6">
        <v>31010</v>
      </c>
      <c r="E100" s="20">
        <f t="shared" si="3"/>
        <v>4.0434141399678667E-3</v>
      </c>
      <c r="F100" s="21">
        <f t="shared" si="4"/>
        <v>594574.60386684386</v>
      </c>
      <c r="G100" s="23">
        <f t="shared" si="5"/>
        <v>625584.60386684386</v>
      </c>
    </row>
    <row r="101" spans="1:7" x14ac:dyDescent="0.2">
      <c r="A101">
        <v>2015</v>
      </c>
      <c r="B101" s="5" t="s">
        <v>162</v>
      </c>
      <c r="C101" s="1" t="s">
        <v>163</v>
      </c>
      <c r="D101" s="6">
        <v>34495</v>
      </c>
      <c r="E101" s="20">
        <f t="shared" si="3"/>
        <v>4.4978255645982445E-3</v>
      </c>
      <c r="F101" s="21">
        <f t="shared" si="4"/>
        <v>661394.74235365295</v>
      </c>
      <c r="G101" s="23">
        <f t="shared" si="5"/>
        <v>695889.74235365295</v>
      </c>
    </row>
    <row r="102" spans="1:7" x14ac:dyDescent="0.2">
      <c r="A102">
        <v>2015</v>
      </c>
      <c r="B102" s="5" t="s">
        <v>403</v>
      </c>
      <c r="C102" s="5" t="s">
        <v>164</v>
      </c>
      <c r="D102" s="6">
        <v>98826</v>
      </c>
      <c r="E102" s="20">
        <f t="shared" si="3"/>
        <v>1.2885986642904365E-2</v>
      </c>
      <c r="F102" s="21">
        <f t="shared" si="4"/>
        <v>1894854.234174289</v>
      </c>
      <c r="G102" s="23">
        <f t="shared" si="5"/>
        <v>1993680.234174289</v>
      </c>
    </row>
    <row r="103" spans="1:7" x14ac:dyDescent="0.2">
      <c r="A103">
        <v>2015</v>
      </c>
      <c r="B103" s="5" t="s">
        <v>404</v>
      </c>
      <c r="C103" s="5" t="s">
        <v>165</v>
      </c>
      <c r="D103" s="6">
        <v>85007</v>
      </c>
      <c r="E103" s="20">
        <f t="shared" si="3"/>
        <v>1.1084118213358543E-2</v>
      </c>
      <c r="F103" s="21">
        <f t="shared" si="4"/>
        <v>1629893.6907742273</v>
      </c>
      <c r="G103" s="23">
        <f t="shared" si="5"/>
        <v>1714900.6907742273</v>
      </c>
    </row>
    <row r="104" spans="1:7" x14ac:dyDescent="0.2">
      <c r="A104">
        <v>2015</v>
      </c>
      <c r="B104" s="5" t="s">
        <v>405</v>
      </c>
      <c r="C104" s="1" t="s">
        <v>166</v>
      </c>
      <c r="D104" s="6">
        <v>46892</v>
      </c>
      <c r="E104" s="20">
        <f t="shared" si="3"/>
        <v>6.114278486016549E-3</v>
      </c>
      <c r="F104" s="21">
        <f t="shared" si="4"/>
        <v>899090.36841419013</v>
      </c>
      <c r="G104" s="23">
        <f t="shared" si="5"/>
        <v>945982.36841419013</v>
      </c>
    </row>
    <row r="105" spans="1:7" x14ac:dyDescent="0.2">
      <c r="A105">
        <v>2015</v>
      </c>
      <c r="B105" s="5" t="s">
        <v>167</v>
      </c>
      <c r="C105" s="5" t="s">
        <v>168</v>
      </c>
      <c r="E105" s="20">
        <f t="shared" si="3"/>
        <v>0</v>
      </c>
      <c r="F105" s="21">
        <f t="shared" si="4"/>
        <v>0</v>
      </c>
      <c r="G105" s="23">
        <f t="shared" si="5"/>
        <v>0</v>
      </c>
    </row>
    <row r="106" spans="1:7" x14ac:dyDescent="0.2">
      <c r="A106">
        <v>2015</v>
      </c>
      <c r="B106" s="5" t="s">
        <v>406</v>
      </c>
      <c r="C106" s="5" t="s">
        <v>169</v>
      </c>
      <c r="D106" s="6">
        <v>32548</v>
      </c>
      <c r="E106" s="20">
        <f t="shared" si="3"/>
        <v>4.2439549638076139E-3</v>
      </c>
      <c r="F106" s="21">
        <f t="shared" si="4"/>
        <v>624063.66354911414</v>
      </c>
      <c r="G106" s="23">
        <f t="shared" si="5"/>
        <v>656611.66354911414</v>
      </c>
    </row>
    <row r="107" spans="1:7" x14ac:dyDescent="0.2">
      <c r="A107">
        <v>2015</v>
      </c>
      <c r="B107" s="5" t="s">
        <v>407</v>
      </c>
      <c r="C107" s="1" t="s">
        <v>170</v>
      </c>
      <c r="D107" s="6">
        <v>40564</v>
      </c>
      <c r="E107" s="20">
        <f t="shared" si="3"/>
        <v>5.2891664357838288E-3</v>
      </c>
      <c r="F107" s="21">
        <f t="shared" si="4"/>
        <v>777759.56888921803</v>
      </c>
      <c r="G107" s="23">
        <f t="shared" si="5"/>
        <v>818323.56888921803</v>
      </c>
    </row>
    <row r="108" spans="1:7" x14ac:dyDescent="0.2">
      <c r="A108">
        <v>2015</v>
      </c>
      <c r="B108" s="5" t="s">
        <v>408</v>
      </c>
      <c r="C108" s="1" t="s">
        <v>171</v>
      </c>
      <c r="D108" s="10">
        <v>18903</v>
      </c>
      <c r="E108" s="20">
        <f t="shared" si="3"/>
        <v>2.4647745078301381E-3</v>
      </c>
      <c r="F108" s="21">
        <f t="shared" si="4"/>
        <v>362439.33366317151</v>
      </c>
      <c r="G108" s="23">
        <f t="shared" si="5"/>
        <v>381342.33366317151</v>
      </c>
    </row>
    <row r="109" spans="1:7" x14ac:dyDescent="0.2">
      <c r="A109">
        <v>2015</v>
      </c>
      <c r="B109" s="5" t="s">
        <v>409</v>
      </c>
      <c r="C109" s="5" t="s">
        <v>172</v>
      </c>
      <c r="D109" s="6">
        <v>56499</v>
      </c>
      <c r="E109" s="20">
        <f t="shared" si="3"/>
        <v>7.3669414864251685E-3</v>
      </c>
      <c r="F109" s="21">
        <f t="shared" si="4"/>
        <v>1083291.5364035086</v>
      </c>
      <c r="G109" s="23">
        <f t="shared" si="5"/>
        <v>1139790.5364035086</v>
      </c>
    </row>
    <row r="110" spans="1:7" x14ac:dyDescent="0.2">
      <c r="A110">
        <v>2015</v>
      </c>
      <c r="B110" s="5" t="s">
        <v>410</v>
      </c>
      <c r="C110" s="1" t="s">
        <v>173</v>
      </c>
      <c r="D110" s="6">
        <v>97996</v>
      </c>
      <c r="E110" s="20">
        <f t="shared" si="3"/>
        <v>1.27777624011703E-2</v>
      </c>
      <c r="F110" s="21">
        <f t="shared" si="4"/>
        <v>1878940.1122391236</v>
      </c>
      <c r="G110" s="23">
        <f t="shared" si="5"/>
        <v>1976936.1122391236</v>
      </c>
    </row>
    <row r="111" spans="1:7" x14ac:dyDescent="0.2">
      <c r="A111">
        <v>2015</v>
      </c>
      <c r="B111" s="8" t="s">
        <v>411</v>
      </c>
      <c r="C111" s="5" t="s">
        <v>174</v>
      </c>
      <c r="D111" s="6">
        <v>40429</v>
      </c>
      <c r="E111" s="20">
        <f t="shared" si="3"/>
        <v>5.2715636976704569E-3</v>
      </c>
      <c r="F111" s="21">
        <f t="shared" si="4"/>
        <v>775171.12736964296</v>
      </c>
      <c r="G111" s="23">
        <f t="shared" si="5"/>
        <v>815600.12736964296</v>
      </c>
    </row>
    <row r="112" spans="1:7" x14ac:dyDescent="0.2">
      <c r="A112">
        <v>2015</v>
      </c>
      <c r="B112" s="5" t="s">
        <v>175</v>
      </c>
      <c r="C112" s="1" t="s">
        <v>176</v>
      </c>
      <c r="D112" s="6">
        <v>60142</v>
      </c>
      <c r="E112" s="20">
        <f t="shared" si="3"/>
        <v>7.8419546341808258E-3</v>
      </c>
      <c r="F112" s="21">
        <f t="shared" si="4"/>
        <v>1153141.110150265</v>
      </c>
      <c r="G112" s="23">
        <f t="shared" si="5"/>
        <v>1213283.110150265</v>
      </c>
    </row>
    <row r="113" spans="1:7" x14ac:dyDescent="0.2">
      <c r="A113">
        <v>2015</v>
      </c>
      <c r="B113" s="5" t="s">
        <v>412</v>
      </c>
      <c r="C113" s="1" t="s">
        <v>177</v>
      </c>
      <c r="D113" s="6">
        <v>24945</v>
      </c>
      <c r="E113" s="20">
        <f t="shared" si="3"/>
        <v>3.2525948313930483E-3</v>
      </c>
      <c r="F113" s="21">
        <f t="shared" si="4"/>
        <v>478286.47189482162</v>
      </c>
      <c r="G113" s="23">
        <f t="shared" si="5"/>
        <v>503231.47189482162</v>
      </c>
    </row>
    <row r="114" spans="1:7" x14ac:dyDescent="0.2">
      <c r="A114">
        <v>2015</v>
      </c>
      <c r="B114" s="5" t="s">
        <v>413</v>
      </c>
      <c r="C114" s="1" t="s">
        <v>178</v>
      </c>
      <c r="D114" s="6">
        <v>10202</v>
      </c>
      <c r="E114" s="20">
        <f t="shared" si="3"/>
        <v>1.3302454387601474E-3</v>
      </c>
      <c r="F114" s="21">
        <f t="shared" si="4"/>
        <v>195609.48431633474</v>
      </c>
      <c r="G114" s="23">
        <f t="shared" si="5"/>
        <v>205811.48431633474</v>
      </c>
    </row>
    <row r="115" spans="1:7" x14ac:dyDescent="0.2">
      <c r="A115">
        <v>2015</v>
      </c>
      <c r="B115" s="5" t="s">
        <v>414</v>
      </c>
      <c r="C115" s="1" t="s">
        <v>179</v>
      </c>
      <c r="E115" s="20">
        <f t="shared" si="3"/>
        <v>0</v>
      </c>
      <c r="F115" s="21">
        <f t="shared" si="4"/>
        <v>0</v>
      </c>
      <c r="G115" s="23">
        <f t="shared" si="5"/>
        <v>0</v>
      </c>
    </row>
    <row r="116" spans="1:7" x14ac:dyDescent="0.2">
      <c r="A116">
        <v>2015</v>
      </c>
      <c r="B116" s="5" t="s">
        <v>180</v>
      </c>
      <c r="C116" s="5" t="s">
        <v>181</v>
      </c>
      <c r="E116" s="20">
        <f t="shared" si="3"/>
        <v>0</v>
      </c>
      <c r="F116" s="21">
        <f t="shared" si="4"/>
        <v>0</v>
      </c>
      <c r="G116" s="23">
        <f t="shared" si="5"/>
        <v>0</v>
      </c>
    </row>
    <row r="117" spans="1:7" x14ac:dyDescent="0.2">
      <c r="A117">
        <v>2015</v>
      </c>
      <c r="B117" s="5" t="s">
        <v>415</v>
      </c>
      <c r="C117" s="5" t="s">
        <v>182</v>
      </c>
      <c r="D117" s="6">
        <v>11229</v>
      </c>
      <c r="E117" s="20">
        <f t="shared" si="3"/>
        <v>1.4641566390744653E-3</v>
      </c>
      <c r="F117" s="21">
        <f t="shared" si="4"/>
        <v>215300.81350599125</v>
      </c>
      <c r="G117" s="23">
        <f t="shared" si="5"/>
        <v>226529.81350599125</v>
      </c>
    </row>
    <row r="118" spans="1:7" x14ac:dyDescent="0.2">
      <c r="A118">
        <v>2015</v>
      </c>
      <c r="B118" s="5" t="s">
        <v>416</v>
      </c>
      <c r="C118" s="5" t="s">
        <v>183</v>
      </c>
      <c r="D118" s="6">
        <v>3577</v>
      </c>
      <c r="E118" s="20">
        <f t="shared" si="3"/>
        <v>4.6640736467800894E-4</v>
      </c>
      <c r="F118" s="21">
        <f t="shared" si="4"/>
        <v>68584.113448297328</v>
      </c>
      <c r="G118" s="23">
        <f t="shared" si="5"/>
        <v>72161.113448297328</v>
      </c>
    </row>
    <row r="119" spans="1:7" x14ac:dyDescent="0.2">
      <c r="A119">
        <v>2015</v>
      </c>
      <c r="B119" s="5" t="s">
        <v>417</v>
      </c>
      <c r="C119" s="1" t="s">
        <v>184</v>
      </c>
      <c r="D119" s="5">
        <v>230</v>
      </c>
      <c r="E119" s="20">
        <f t="shared" si="3"/>
        <v>2.9989850119078015E-5</v>
      </c>
      <c r="F119" s="21">
        <f t="shared" si="4"/>
        <v>4409.9374037205444</v>
      </c>
      <c r="G119" s="23">
        <f t="shared" si="5"/>
        <v>4639.9374037205444</v>
      </c>
    </row>
    <row r="120" spans="1:7" x14ac:dyDescent="0.2">
      <c r="A120">
        <v>2015</v>
      </c>
      <c r="B120" s="5" t="s">
        <v>418</v>
      </c>
      <c r="C120" s="1" t="s">
        <v>185</v>
      </c>
      <c r="D120" s="6">
        <v>3204</v>
      </c>
      <c r="E120" s="20">
        <f t="shared" si="3"/>
        <v>4.1777165122402593E-4</v>
      </c>
      <c r="F120" s="21">
        <f t="shared" si="4"/>
        <v>61432.345397915757</v>
      </c>
      <c r="G120" s="23">
        <f t="shared" si="5"/>
        <v>64636.345397915757</v>
      </c>
    </row>
    <row r="121" spans="1:7" x14ac:dyDescent="0.2">
      <c r="A121">
        <v>2015</v>
      </c>
      <c r="B121" s="5" t="s">
        <v>419</v>
      </c>
      <c r="C121" s="5" t="s">
        <v>186</v>
      </c>
      <c r="D121" s="6">
        <v>2864</v>
      </c>
      <c r="E121" s="20">
        <f t="shared" si="3"/>
        <v>3.734388293088671E-4</v>
      </c>
      <c r="F121" s="21">
        <f t="shared" si="4"/>
        <v>54913.307496763642</v>
      </c>
      <c r="G121" s="23">
        <f t="shared" si="5"/>
        <v>57777.307496763642</v>
      </c>
    </row>
    <row r="122" spans="1:7" x14ac:dyDescent="0.2">
      <c r="A122">
        <v>2015</v>
      </c>
      <c r="B122" s="5" t="s">
        <v>420</v>
      </c>
      <c r="C122" s="1" t="s">
        <v>187</v>
      </c>
      <c r="E122" s="20">
        <f t="shared" si="3"/>
        <v>0</v>
      </c>
      <c r="F122" s="21">
        <f t="shared" si="4"/>
        <v>0</v>
      </c>
      <c r="G122" s="23">
        <f t="shared" si="5"/>
        <v>0</v>
      </c>
    </row>
    <row r="123" spans="1:7" x14ac:dyDescent="0.2">
      <c r="A123">
        <v>2015</v>
      </c>
      <c r="B123" s="5" t="s">
        <v>421</v>
      </c>
      <c r="C123" s="1" t="s">
        <v>188</v>
      </c>
      <c r="D123" s="6">
        <v>74414</v>
      </c>
      <c r="E123" s="20">
        <f t="shared" si="3"/>
        <v>9.7028900293959618E-3</v>
      </c>
      <c r="F123" s="21">
        <f t="shared" si="4"/>
        <v>1426787.3128715674</v>
      </c>
      <c r="G123" s="23">
        <f t="shared" si="5"/>
        <v>1501201.3128715674</v>
      </c>
    </row>
    <row r="124" spans="1:7" x14ac:dyDescent="0.2">
      <c r="A124">
        <v>2015</v>
      </c>
      <c r="B124" s="5" t="s">
        <v>422</v>
      </c>
      <c r="C124" s="1" t="s">
        <v>189</v>
      </c>
      <c r="D124" s="6">
        <v>59710</v>
      </c>
      <c r="E124" s="20">
        <f t="shared" si="3"/>
        <v>7.7856258722180357E-3</v>
      </c>
      <c r="F124" s="21">
        <f t="shared" si="4"/>
        <v>1144858.0972876246</v>
      </c>
      <c r="G124" s="23">
        <f t="shared" si="5"/>
        <v>1204568.0972876246</v>
      </c>
    </row>
    <row r="125" spans="1:7" x14ac:dyDescent="0.2">
      <c r="A125">
        <v>2015</v>
      </c>
      <c r="B125" s="5" t="s">
        <v>423</v>
      </c>
      <c r="C125" s="5" t="s">
        <v>190</v>
      </c>
      <c r="D125" s="6">
        <v>39302</v>
      </c>
      <c r="E125" s="20">
        <f t="shared" si="3"/>
        <v>5.1246134320869748E-3</v>
      </c>
      <c r="F125" s="21">
        <f t="shared" si="4"/>
        <v>753562.43409141235</v>
      </c>
      <c r="G125" s="23">
        <f t="shared" si="5"/>
        <v>792864.43409141235</v>
      </c>
    </row>
    <row r="126" spans="1:7" x14ac:dyDescent="0.2">
      <c r="A126">
        <v>2015</v>
      </c>
      <c r="B126" s="5" t="s">
        <v>424</v>
      </c>
      <c r="C126" s="5" t="s">
        <v>191</v>
      </c>
      <c r="D126" s="6">
        <v>14843</v>
      </c>
      <c r="E126" s="20">
        <f t="shared" si="3"/>
        <v>1.9353884579020651E-3</v>
      </c>
      <c r="F126" s="21">
        <f t="shared" si="4"/>
        <v>284594.35166706104</v>
      </c>
      <c r="G126" s="23">
        <f t="shared" si="5"/>
        <v>299437.35166706104</v>
      </c>
    </row>
    <row r="127" spans="1:7" x14ac:dyDescent="0.2">
      <c r="A127">
        <v>2015</v>
      </c>
      <c r="B127" s="5" t="s">
        <v>425</v>
      </c>
      <c r="C127" s="1" t="s">
        <v>192</v>
      </c>
      <c r="D127" s="6">
        <v>164257</v>
      </c>
      <c r="E127" s="20">
        <f t="shared" si="3"/>
        <v>2.1417577439171293E-2</v>
      </c>
      <c r="F127" s="21">
        <f t="shared" si="4"/>
        <v>3149404.7309692409</v>
      </c>
      <c r="G127" s="23">
        <f t="shared" si="5"/>
        <v>3313661.7309692409</v>
      </c>
    </row>
    <row r="128" spans="1:7" x14ac:dyDescent="0.2">
      <c r="A128">
        <v>2015</v>
      </c>
      <c r="B128" s="5" t="s">
        <v>426</v>
      </c>
      <c r="C128" s="1" t="s">
        <v>193</v>
      </c>
      <c r="D128" s="11">
        <v>148953</v>
      </c>
      <c r="E128" s="20">
        <f t="shared" si="3"/>
        <v>1.9422078890378381E-2</v>
      </c>
      <c r="F128" s="21">
        <f t="shared" si="4"/>
        <v>2855971.3308538529</v>
      </c>
      <c r="G128" s="23">
        <f t="shared" si="5"/>
        <v>3004924.3308538529</v>
      </c>
    </row>
    <row r="129" spans="1:7" x14ac:dyDescent="0.2">
      <c r="A129">
        <v>2015</v>
      </c>
      <c r="B129" s="5" t="s">
        <v>427</v>
      </c>
      <c r="C129" s="5" t="s">
        <v>194</v>
      </c>
      <c r="D129" s="6">
        <v>90672</v>
      </c>
      <c r="E129" s="20">
        <f t="shared" si="3"/>
        <v>1.1822781260856704E-2</v>
      </c>
      <c r="F129" s="21">
        <f t="shared" si="4"/>
        <v>1738512.3663919528</v>
      </c>
      <c r="G129" s="23">
        <f t="shared" si="5"/>
        <v>1829184.3663919528</v>
      </c>
    </row>
    <row r="130" spans="1:7" x14ac:dyDescent="0.2">
      <c r="A130">
        <v>2015</v>
      </c>
      <c r="B130" s="5" t="s">
        <v>428</v>
      </c>
      <c r="C130" s="1" t="s">
        <v>195</v>
      </c>
      <c r="D130" s="6">
        <v>81178</v>
      </c>
      <c r="E130" s="20">
        <f t="shared" si="3"/>
        <v>1.058485240420224E-2</v>
      </c>
      <c r="F130" s="21">
        <f t="shared" si="4"/>
        <v>1556477.819822723</v>
      </c>
      <c r="G130" s="23">
        <f t="shared" si="5"/>
        <v>1637655.819822723</v>
      </c>
    </row>
    <row r="131" spans="1:7" x14ac:dyDescent="0.2">
      <c r="A131">
        <v>2015</v>
      </c>
      <c r="B131" s="5" t="s">
        <v>429</v>
      </c>
      <c r="C131" s="1" t="s">
        <v>196</v>
      </c>
      <c r="D131" s="6">
        <v>68502</v>
      </c>
      <c r="E131" s="20">
        <f t="shared" ref="E131:E194" si="6">D131/$D$242</f>
        <v>8.9320204906829653E-3</v>
      </c>
      <c r="F131" s="21">
        <f t="shared" ref="F131:F194" si="7">E131*$D$244</f>
        <v>1313432.7479550638</v>
      </c>
      <c r="G131" s="23">
        <f t="shared" ref="G131:G194" si="8">SUM(F131,D131)</f>
        <v>1381934.7479550638</v>
      </c>
    </row>
    <row r="132" spans="1:7" x14ac:dyDescent="0.2">
      <c r="A132">
        <v>2015</v>
      </c>
      <c r="B132" s="5" t="s">
        <v>430</v>
      </c>
      <c r="C132" s="1" t="s">
        <v>197</v>
      </c>
      <c r="D132" s="6">
        <v>59239</v>
      </c>
      <c r="E132" s="20">
        <f t="shared" si="6"/>
        <v>7.7242118748002721E-3</v>
      </c>
      <c r="F132" s="21">
        <f t="shared" si="7"/>
        <v>1135827.3124304404</v>
      </c>
      <c r="G132" s="23">
        <f t="shared" si="8"/>
        <v>1195066.3124304404</v>
      </c>
    </row>
    <row r="133" spans="1:7" x14ac:dyDescent="0.2">
      <c r="A133">
        <v>2015</v>
      </c>
      <c r="B133" s="5" t="s">
        <v>431</v>
      </c>
      <c r="C133" s="1" t="s">
        <v>198</v>
      </c>
      <c r="D133" s="6">
        <v>124016</v>
      </c>
      <c r="E133" s="20">
        <f t="shared" si="6"/>
        <v>1.6170527184206866E-2</v>
      </c>
      <c r="F133" s="21">
        <f t="shared" si="7"/>
        <v>2377838.2480861172</v>
      </c>
      <c r="G133" s="23">
        <f t="shared" si="8"/>
        <v>2501854.2480861172</v>
      </c>
    </row>
    <row r="134" spans="1:7" x14ac:dyDescent="0.2">
      <c r="A134">
        <v>2015</v>
      </c>
      <c r="B134" s="5" t="s">
        <v>432</v>
      </c>
      <c r="C134" s="5" t="s">
        <v>199</v>
      </c>
      <c r="D134" s="6">
        <v>142993</v>
      </c>
      <c r="E134" s="20">
        <f t="shared" si="6"/>
        <v>1.8644950600336184E-2</v>
      </c>
      <c r="F134" s="21">
        <f t="shared" si="7"/>
        <v>2741696.4311748333</v>
      </c>
      <c r="G134" s="23">
        <f t="shared" si="8"/>
        <v>2884689.4311748333</v>
      </c>
    </row>
    <row r="135" spans="1:7" x14ac:dyDescent="0.2">
      <c r="A135">
        <v>2015</v>
      </c>
      <c r="B135" s="5" t="s">
        <v>433</v>
      </c>
      <c r="C135" s="5" t="s">
        <v>200</v>
      </c>
      <c r="D135" s="6">
        <v>67199</v>
      </c>
      <c r="E135" s="20">
        <f t="shared" si="6"/>
        <v>8.7621214702257536E-3</v>
      </c>
      <c r="F135" s="21">
        <f t="shared" si="7"/>
        <v>1288449.4938809427</v>
      </c>
      <c r="G135" s="23">
        <f t="shared" si="8"/>
        <v>1355648.4938809427</v>
      </c>
    </row>
    <row r="136" spans="1:7" x14ac:dyDescent="0.2">
      <c r="A136">
        <v>2015</v>
      </c>
      <c r="B136" s="5" t="s">
        <v>434</v>
      </c>
      <c r="C136" s="5" t="s">
        <v>201</v>
      </c>
      <c r="D136" s="6">
        <v>28268</v>
      </c>
      <c r="E136" s="20">
        <f t="shared" si="6"/>
        <v>3.6858829702873797E-3</v>
      </c>
      <c r="F136" s="21">
        <f t="shared" si="7"/>
        <v>542000.48055814055</v>
      </c>
      <c r="G136" s="23">
        <f t="shared" si="8"/>
        <v>570268.48055814055</v>
      </c>
    </row>
    <row r="137" spans="1:7" x14ac:dyDescent="0.2">
      <c r="A137">
        <v>2015</v>
      </c>
      <c r="B137" s="5" t="s">
        <v>435</v>
      </c>
      <c r="C137" s="5" t="s">
        <v>202</v>
      </c>
      <c r="D137" s="6">
        <v>90643</v>
      </c>
      <c r="E137" s="20">
        <f t="shared" si="6"/>
        <v>1.1818999931928646E-2</v>
      </c>
      <c r="F137" s="21">
        <f t="shared" si="7"/>
        <v>1737956.3308062663</v>
      </c>
      <c r="G137" s="23">
        <f t="shared" si="8"/>
        <v>1828599.3308062663</v>
      </c>
    </row>
    <row r="138" spans="1:7" x14ac:dyDescent="0.2">
      <c r="A138">
        <v>2015</v>
      </c>
      <c r="B138" s="5" t="s">
        <v>436</v>
      </c>
      <c r="C138" s="1" t="s">
        <v>203</v>
      </c>
      <c r="D138" s="6">
        <v>43151</v>
      </c>
      <c r="E138" s="20">
        <f t="shared" si="6"/>
        <v>5.6264870542971105E-3</v>
      </c>
      <c r="F138" s="21">
        <f t="shared" si="7"/>
        <v>827361.77786063123</v>
      </c>
      <c r="G138" s="23">
        <f t="shared" si="8"/>
        <v>870512.77786063123</v>
      </c>
    </row>
    <row r="139" spans="1:7" x14ac:dyDescent="0.2">
      <c r="A139">
        <v>2015</v>
      </c>
      <c r="B139" s="5" t="s">
        <v>437</v>
      </c>
      <c r="C139" s="1" t="s">
        <v>204</v>
      </c>
      <c r="D139" s="6">
        <v>10908</v>
      </c>
      <c r="E139" s="20">
        <f t="shared" si="6"/>
        <v>1.4223012395604478E-3</v>
      </c>
      <c r="F139" s="21">
        <f t="shared" si="7"/>
        <v>209146.07478166823</v>
      </c>
      <c r="G139" s="23">
        <f t="shared" si="8"/>
        <v>220054.07478166823</v>
      </c>
    </row>
    <row r="140" spans="1:7" x14ac:dyDescent="0.2">
      <c r="A140">
        <v>2015</v>
      </c>
      <c r="B140" s="5" t="s">
        <v>438</v>
      </c>
      <c r="C140" s="5" t="s">
        <v>205</v>
      </c>
      <c r="D140" s="6">
        <v>44973</v>
      </c>
      <c r="E140" s="20">
        <f t="shared" si="6"/>
        <v>5.8640588235012846E-3</v>
      </c>
      <c r="F140" s="21">
        <f t="shared" si="7"/>
        <v>862296.15155445226</v>
      </c>
      <c r="G140" s="23">
        <f t="shared" si="8"/>
        <v>907269.15155445226</v>
      </c>
    </row>
    <row r="141" spans="1:7" x14ac:dyDescent="0.2">
      <c r="A141">
        <v>2015</v>
      </c>
      <c r="B141" s="5" t="s">
        <v>439</v>
      </c>
      <c r="C141" s="1" t="s">
        <v>206</v>
      </c>
      <c r="D141" s="6">
        <v>52251</v>
      </c>
      <c r="E141" s="20">
        <f t="shared" si="6"/>
        <v>6.8130419937910665E-3</v>
      </c>
      <c r="F141" s="21">
        <f t="shared" si="7"/>
        <v>1001841.9099208788</v>
      </c>
      <c r="G141" s="23">
        <f t="shared" si="8"/>
        <v>1054092.9099208787</v>
      </c>
    </row>
    <row r="142" spans="1:7" x14ac:dyDescent="0.2">
      <c r="A142">
        <v>2015</v>
      </c>
      <c r="B142" s="5" t="s">
        <v>440</v>
      </c>
      <c r="C142" s="1" t="s">
        <v>207</v>
      </c>
      <c r="D142" s="6">
        <v>59233</v>
      </c>
      <c r="E142" s="20">
        <f t="shared" si="6"/>
        <v>7.7234295308841218E-3</v>
      </c>
      <c r="F142" s="21">
        <f t="shared" si="7"/>
        <v>1135712.270585126</v>
      </c>
      <c r="G142" s="23">
        <f t="shared" si="8"/>
        <v>1194945.270585126</v>
      </c>
    </row>
    <row r="143" spans="1:7" x14ac:dyDescent="0.2">
      <c r="A143">
        <v>2015</v>
      </c>
      <c r="B143" s="5" t="s">
        <v>441</v>
      </c>
      <c r="C143" s="5" t="s">
        <v>208</v>
      </c>
      <c r="D143" s="6">
        <v>44544</v>
      </c>
      <c r="E143" s="20">
        <f t="shared" si="6"/>
        <v>5.8081212334965696E-3</v>
      </c>
      <c r="F143" s="21">
        <f t="shared" si="7"/>
        <v>854070.65961446916</v>
      </c>
      <c r="G143" s="23">
        <f t="shared" si="8"/>
        <v>898614.65961446916</v>
      </c>
    </row>
    <row r="144" spans="1:7" x14ac:dyDescent="0.2">
      <c r="A144">
        <v>2015</v>
      </c>
      <c r="B144" s="5" t="s">
        <v>442</v>
      </c>
      <c r="C144" s="1" t="s">
        <v>209</v>
      </c>
      <c r="D144" s="6">
        <v>76371</v>
      </c>
      <c r="E144" s="20">
        <f t="shared" si="6"/>
        <v>9.9580645367135096E-3</v>
      </c>
      <c r="F144" s="21">
        <f t="shared" si="7"/>
        <v>1464310.1280849639</v>
      </c>
      <c r="G144" s="23">
        <f t="shared" si="8"/>
        <v>1540681.1280849639</v>
      </c>
    </row>
    <row r="145" spans="1:7" x14ac:dyDescent="0.2">
      <c r="A145">
        <v>2015</v>
      </c>
      <c r="B145" s="5" t="s">
        <v>443</v>
      </c>
      <c r="C145" s="1" t="s">
        <v>210</v>
      </c>
      <c r="D145" s="6">
        <v>12268</v>
      </c>
      <c r="E145" s="20">
        <f t="shared" si="6"/>
        <v>1.5996325272210829E-3</v>
      </c>
      <c r="F145" s="21">
        <f t="shared" si="7"/>
        <v>235222.22638627666</v>
      </c>
      <c r="G145" s="23">
        <f t="shared" si="8"/>
        <v>247490.22638627666</v>
      </c>
    </row>
    <row r="146" spans="1:7" x14ac:dyDescent="0.2">
      <c r="A146">
        <v>2015</v>
      </c>
      <c r="B146" s="5" t="s">
        <v>444</v>
      </c>
      <c r="C146" s="5" t="s">
        <v>211</v>
      </c>
      <c r="E146" s="20">
        <f t="shared" si="6"/>
        <v>0</v>
      </c>
      <c r="F146" s="21">
        <f t="shared" si="7"/>
        <v>0</v>
      </c>
      <c r="G146" s="23">
        <f t="shared" si="8"/>
        <v>0</v>
      </c>
    </row>
    <row r="147" spans="1:7" x14ac:dyDescent="0.2">
      <c r="A147">
        <v>2015</v>
      </c>
      <c r="B147" s="5" t="s">
        <v>445</v>
      </c>
      <c r="C147" s="5" t="s">
        <v>212</v>
      </c>
      <c r="E147" s="20">
        <f t="shared" si="6"/>
        <v>0</v>
      </c>
      <c r="F147" s="21">
        <f t="shared" si="7"/>
        <v>0</v>
      </c>
      <c r="G147" s="23">
        <f t="shared" si="8"/>
        <v>0</v>
      </c>
    </row>
    <row r="148" spans="1:7" x14ac:dyDescent="0.2">
      <c r="A148">
        <v>2015</v>
      </c>
      <c r="B148" s="5" t="s">
        <v>446</v>
      </c>
      <c r="C148" s="5" t="s">
        <v>213</v>
      </c>
      <c r="E148" s="20">
        <f t="shared" si="6"/>
        <v>0</v>
      </c>
      <c r="F148" s="21">
        <f t="shared" si="7"/>
        <v>0</v>
      </c>
      <c r="G148" s="23">
        <f t="shared" si="8"/>
        <v>0</v>
      </c>
    </row>
    <row r="149" spans="1:7" x14ac:dyDescent="0.2">
      <c r="A149">
        <v>2015</v>
      </c>
      <c r="B149" s="5" t="s">
        <v>447</v>
      </c>
      <c r="C149" s="5" t="s">
        <v>214</v>
      </c>
      <c r="E149" s="20">
        <f t="shared" si="6"/>
        <v>0</v>
      </c>
      <c r="F149" s="21">
        <f t="shared" si="7"/>
        <v>0</v>
      </c>
      <c r="G149" s="23">
        <f t="shared" si="8"/>
        <v>0</v>
      </c>
    </row>
    <row r="150" spans="1:7" x14ac:dyDescent="0.2">
      <c r="A150">
        <v>2015</v>
      </c>
      <c r="B150" s="8" t="s">
        <v>448</v>
      </c>
      <c r="C150" s="5" t="s">
        <v>215</v>
      </c>
      <c r="D150" s="6">
        <v>39380</v>
      </c>
      <c r="E150" s="20">
        <f t="shared" si="6"/>
        <v>5.1347839029969224E-3</v>
      </c>
      <c r="F150" s="21">
        <f t="shared" si="7"/>
        <v>755057.97808050003</v>
      </c>
      <c r="G150" s="23">
        <f t="shared" si="8"/>
        <v>794437.97808050003</v>
      </c>
    </row>
    <row r="151" spans="1:7" x14ac:dyDescent="0.2">
      <c r="A151">
        <v>2015</v>
      </c>
      <c r="B151" s="1" t="s">
        <v>216</v>
      </c>
      <c r="C151" s="1" t="s">
        <v>217</v>
      </c>
      <c r="D151" s="10">
        <v>39654</v>
      </c>
      <c r="E151" s="20">
        <f t="shared" si="6"/>
        <v>5.170510941834433E-3</v>
      </c>
      <c r="F151" s="21">
        <f t="shared" si="7"/>
        <v>760311.55568319326</v>
      </c>
      <c r="G151" s="23">
        <f t="shared" si="8"/>
        <v>799965.55568319326</v>
      </c>
    </row>
    <row r="152" spans="1:7" x14ac:dyDescent="0.2">
      <c r="A152">
        <v>2015</v>
      </c>
      <c r="B152" s="1" t="s">
        <v>218</v>
      </c>
      <c r="C152" s="1" t="s">
        <v>219</v>
      </c>
      <c r="E152" s="20">
        <f t="shared" si="6"/>
        <v>0</v>
      </c>
      <c r="F152" s="21">
        <f t="shared" si="7"/>
        <v>0</v>
      </c>
      <c r="G152" s="23">
        <f t="shared" si="8"/>
        <v>0</v>
      </c>
    </row>
    <row r="153" spans="1:7" x14ac:dyDescent="0.2">
      <c r="A153">
        <v>2015</v>
      </c>
      <c r="B153" s="1" t="s">
        <v>220</v>
      </c>
      <c r="C153" s="1" t="s">
        <v>221</v>
      </c>
      <c r="D153" s="1">
        <v>229</v>
      </c>
      <c r="E153" s="20">
        <f t="shared" si="6"/>
        <v>2.9859459466386372E-5</v>
      </c>
      <c r="F153" s="21">
        <f t="shared" si="7"/>
        <v>4390.7637628348029</v>
      </c>
      <c r="G153" s="23">
        <f t="shared" si="8"/>
        <v>4619.7637628348029</v>
      </c>
    </row>
    <row r="154" spans="1:7" x14ac:dyDescent="0.2">
      <c r="A154">
        <v>2015</v>
      </c>
      <c r="B154" s="1" t="s">
        <v>222</v>
      </c>
      <c r="C154" s="1" t="s">
        <v>223</v>
      </c>
      <c r="E154" s="20">
        <f t="shared" si="6"/>
        <v>0</v>
      </c>
      <c r="F154" s="21">
        <f t="shared" si="7"/>
        <v>0</v>
      </c>
      <c r="G154" s="23">
        <f t="shared" si="8"/>
        <v>0</v>
      </c>
    </row>
    <row r="155" spans="1:7" x14ac:dyDescent="0.2">
      <c r="A155">
        <v>2015</v>
      </c>
      <c r="B155" s="1" t="s">
        <v>224</v>
      </c>
      <c r="C155" s="1" t="s">
        <v>225</v>
      </c>
      <c r="E155" s="20">
        <f t="shared" si="6"/>
        <v>0</v>
      </c>
      <c r="F155" s="21">
        <f t="shared" si="7"/>
        <v>0</v>
      </c>
      <c r="G155" s="23">
        <f t="shared" si="8"/>
        <v>0</v>
      </c>
    </row>
    <row r="156" spans="1:7" x14ac:dyDescent="0.2">
      <c r="A156">
        <v>2015</v>
      </c>
      <c r="B156" s="1" t="s">
        <v>226</v>
      </c>
      <c r="C156" s="1" t="s">
        <v>227</v>
      </c>
      <c r="D156" s="10">
        <v>37127</v>
      </c>
      <c r="E156" s="20">
        <f t="shared" si="6"/>
        <v>4.8410137624826498E-3</v>
      </c>
      <c r="F156" s="21">
        <f t="shared" si="7"/>
        <v>711859.76516492455</v>
      </c>
      <c r="G156" s="23">
        <f t="shared" si="8"/>
        <v>748986.76516492455</v>
      </c>
    </row>
    <row r="157" spans="1:7" x14ac:dyDescent="0.2">
      <c r="A157">
        <v>2015</v>
      </c>
      <c r="B157" s="1" t="s">
        <v>449</v>
      </c>
      <c r="C157" s="1" t="s">
        <v>228</v>
      </c>
      <c r="D157" s="10">
        <v>11667</v>
      </c>
      <c r="E157" s="20">
        <f t="shared" si="6"/>
        <v>1.5212677449534051E-3</v>
      </c>
      <c r="F157" s="21">
        <f t="shared" si="7"/>
        <v>223698.86821394603</v>
      </c>
      <c r="G157" s="23">
        <f t="shared" si="8"/>
        <v>235365.86821394603</v>
      </c>
    </row>
    <row r="158" spans="1:7" x14ac:dyDescent="0.2">
      <c r="A158">
        <v>2015</v>
      </c>
      <c r="B158" s="1" t="s">
        <v>229</v>
      </c>
      <c r="C158" s="1" t="s">
        <v>230</v>
      </c>
      <c r="E158" s="20">
        <f t="shared" si="6"/>
        <v>0</v>
      </c>
      <c r="F158" s="21">
        <f t="shared" si="7"/>
        <v>0</v>
      </c>
      <c r="G158" s="23">
        <f t="shared" si="8"/>
        <v>0</v>
      </c>
    </row>
    <row r="159" spans="1:7" x14ac:dyDescent="0.2">
      <c r="A159">
        <v>2015</v>
      </c>
      <c r="B159" s="1" t="s">
        <v>231</v>
      </c>
      <c r="C159" s="1" t="s">
        <v>232</v>
      </c>
      <c r="E159" s="20">
        <f t="shared" si="6"/>
        <v>0</v>
      </c>
      <c r="F159" s="21">
        <f t="shared" si="7"/>
        <v>0</v>
      </c>
      <c r="G159" s="23">
        <f t="shared" si="8"/>
        <v>0</v>
      </c>
    </row>
    <row r="160" spans="1:7" x14ac:dyDescent="0.2">
      <c r="A160">
        <v>2015</v>
      </c>
      <c r="B160" s="1" t="s">
        <v>450</v>
      </c>
      <c r="C160" s="1" t="s">
        <v>233</v>
      </c>
      <c r="E160" s="20">
        <f t="shared" si="6"/>
        <v>0</v>
      </c>
      <c r="F160" s="21">
        <f t="shared" si="7"/>
        <v>0</v>
      </c>
      <c r="G160" s="23">
        <f t="shared" si="8"/>
        <v>0</v>
      </c>
    </row>
    <row r="161" spans="1:7" x14ac:dyDescent="0.2">
      <c r="A161">
        <v>2015</v>
      </c>
      <c r="B161" s="1" t="s">
        <v>451</v>
      </c>
      <c r="C161" s="1" t="s">
        <v>234</v>
      </c>
      <c r="D161" s="10">
        <v>14767</v>
      </c>
      <c r="E161" s="20">
        <f t="shared" si="6"/>
        <v>1.9254787682975003E-3</v>
      </c>
      <c r="F161" s="21">
        <f t="shared" si="7"/>
        <v>283137.15495974466</v>
      </c>
      <c r="G161" s="23">
        <f t="shared" si="8"/>
        <v>297904.15495974466</v>
      </c>
    </row>
    <row r="162" spans="1:7" x14ac:dyDescent="0.2">
      <c r="A162">
        <v>2015</v>
      </c>
      <c r="B162" s="1" t="s">
        <v>452</v>
      </c>
      <c r="C162" s="1" t="s">
        <v>235</v>
      </c>
      <c r="D162" s="10">
        <v>1490</v>
      </c>
      <c r="E162" s="20">
        <f t="shared" si="6"/>
        <v>1.9428207251054888E-4</v>
      </c>
      <c r="F162" s="21">
        <f t="shared" si="7"/>
        <v>28568.72491975483</v>
      </c>
      <c r="G162" s="23">
        <f t="shared" si="8"/>
        <v>30058.72491975483</v>
      </c>
    </row>
    <row r="163" spans="1:7" x14ac:dyDescent="0.2">
      <c r="A163">
        <v>2015</v>
      </c>
      <c r="B163" s="1" t="s">
        <v>453</v>
      </c>
      <c r="C163" s="1" t="s">
        <v>236</v>
      </c>
      <c r="D163" s="10">
        <v>14201</v>
      </c>
      <c r="E163" s="20">
        <f t="shared" si="6"/>
        <v>1.8516776588740299E-3</v>
      </c>
      <c r="F163" s="21">
        <f t="shared" si="7"/>
        <v>272284.87421841495</v>
      </c>
      <c r="G163" s="23">
        <f t="shared" si="8"/>
        <v>286485.87421841495</v>
      </c>
    </row>
    <row r="164" spans="1:7" x14ac:dyDescent="0.2">
      <c r="A164">
        <v>2015</v>
      </c>
      <c r="B164" s="1" t="s">
        <v>454</v>
      </c>
      <c r="C164" s="1" t="s">
        <v>237</v>
      </c>
      <c r="D164" s="10">
        <v>6900</v>
      </c>
      <c r="E164" s="20">
        <f t="shared" si="6"/>
        <v>8.9969550357234045E-4</v>
      </c>
      <c r="F164" s="21">
        <f t="shared" si="7"/>
        <v>132298.12211161631</v>
      </c>
      <c r="G164" s="23">
        <f t="shared" si="8"/>
        <v>139198.12211161631</v>
      </c>
    </row>
    <row r="165" spans="1:7" x14ac:dyDescent="0.2">
      <c r="A165">
        <v>2015</v>
      </c>
      <c r="B165" s="1" t="s">
        <v>238</v>
      </c>
      <c r="C165" s="1" t="s">
        <v>239</v>
      </c>
      <c r="D165" s="10">
        <v>5961</v>
      </c>
      <c r="E165" s="20">
        <f t="shared" si="6"/>
        <v>7.7725868069488714E-4</v>
      </c>
      <c r="F165" s="21">
        <f t="shared" si="7"/>
        <v>114294.07331990504</v>
      </c>
      <c r="G165" s="23">
        <f t="shared" si="8"/>
        <v>120255.07331990504</v>
      </c>
    </row>
    <row r="166" spans="1:7" x14ac:dyDescent="0.2">
      <c r="A166">
        <v>2015</v>
      </c>
      <c r="B166" s="1" t="s">
        <v>240</v>
      </c>
      <c r="C166" s="1" t="s">
        <v>241</v>
      </c>
      <c r="D166" s="10">
        <v>4464</v>
      </c>
      <c r="E166" s="20">
        <f t="shared" si="6"/>
        <v>5.8206387361549674E-4</v>
      </c>
      <c r="F166" s="21">
        <f t="shared" si="7"/>
        <v>85591.13291395003</v>
      </c>
      <c r="G166" s="23">
        <f t="shared" si="8"/>
        <v>90055.13291395003</v>
      </c>
    </row>
    <row r="167" spans="1:7" x14ac:dyDescent="0.2">
      <c r="A167">
        <v>2015</v>
      </c>
      <c r="B167" s="1" t="s">
        <v>242</v>
      </c>
      <c r="C167" s="1" t="s">
        <v>243</v>
      </c>
      <c r="E167" s="20">
        <f t="shared" si="6"/>
        <v>0</v>
      </c>
      <c r="F167" s="21">
        <f t="shared" si="7"/>
        <v>0</v>
      </c>
      <c r="G167" s="23">
        <f t="shared" si="8"/>
        <v>0</v>
      </c>
    </row>
    <row r="168" spans="1:7" x14ac:dyDescent="0.2">
      <c r="A168">
        <v>2015</v>
      </c>
      <c r="B168" s="1" t="s">
        <v>244</v>
      </c>
      <c r="C168" s="1" t="s">
        <v>245</v>
      </c>
      <c r="D168" s="10">
        <v>1777</v>
      </c>
      <c r="E168" s="20">
        <f t="shared" si="6"/>
        <v>2.3170418983305057E-4</v>
      </c>
      <c r="F168" s="21">
        <f t="shared" si="7"/>
        <v>34071.559853962637</v>
      </c>
      <c r="G168" s="23">
        <f t="shared" si="8"/>
        <v>35848.559853962637</v>
      </c>
    </row>
    <row r="169" spans="1:7" x14ac:dyDescent="0.2">
      <c r="A169">
        <v>2015</v>
      </c>
      <c r="B169" s="1" t="s">
        <v>246</v>
      </c>
      <c r="C169" s="1" t="s">
        <v>247</v>
      </c>
      <c r="E169" s="20">
        <f t="shared" si="6"/>
        <v>0</v>
      </c>
      <c r="F169" s="21">
        <f t="shared" si="7"/>
        <v>0</v>
      </c>
      <c r="G169" s="23">
        <f t="shared" si="8"/>
        <v>0</v>
      </c>
    </row>
    <row r="170" spans="1:7" x14ac:dyDescent="0.2">
      <c r="A170">
        <v>2015</v>
      </c>
      <c r="B170" s="1" t="s">
        <v>248</v>
      </c>
      <c r="C170" s="1" t="s">
        <v>249</v>
      </c>
      <c r="D170" s="10">
        <v>27213</v>
      </c>
      <c r="E170" s="20">
        <f t="shared" si="6"/>
        <v>3.5483208316976957E-3</v>
      </c>
      <c r="F170" s="21">
        <f t="shared" si="7"/>
        <v>521772.28942368331</v>
      </c>
      <c r="G170" s="23">
        <f t="shared" si="8"/>
        <v>548985.28942368331</v>
      </c>
    </row>
    <row r="171" spans="1:7" x14ac:dyDescent="0.2">
      <c r="A171">
        <v>2015</v>
      </c>
      <c r="B171" s="1" t="s">
        <v>250</v>
      </c>
      <c r="C171" s="1" t="s">
        <v>251</v>
      </c>
      <c r="D171" s="10">
        <v>2889</v>
      </c>
      <c r="E171" s="20">
        <f t="shared" si="6"/>
        <v>3.7669859562615822E-4</v>
      </c>
      <c r="F171" s="21">
        <f t="shared" si="7"/>
        <v>55392.648518907183</v>
      </c>
      <c r="G171" s="23">
        <f t="shared" si="8"/>
        <v>58281.648518907183</v>
      </c>
    </row>
    <row r="172" spans="1:7" x14ac:dyDescent="0.2">
      <c r="A172">
        <v>2015</v>
      </c>
      <c r="B172" s="1" t="s">
        <v>455</v>
      </c>
      <c r="C172" s="1" t="s">
        <v>252</v>
      </c>
      <c r="E172" s="20">
        <f t="shared" si="6"/>
        <v>0</v>
      </c>
      <c r="F172" s="21">
        <f t="shared" si="7"/>
        <v>0</v>
      </c>
      <c r="G172" s="23">
        <f t="shared" si="8"/>
        <v>0</v>
      </c>
    </row>
    <row r="173" spans="1:7" x14ac:dyDescent="0.2">
      <c r="A173">
        <v>2015</v>
      </c>
      <c r="B173" s="1" t="s">
        <v>456</v>
      </c>
      <c r="C173" s="1" t="s">
        <v>253</v>
      </c>
      <c r="D173" s="10">
        <v>14878</v>
      </c>
      <c r="E173" s="20">
        <f t="shared" si="6"/>
        <v>1.9399521307462727E-3</v>
      </c>
      <c r="F173" s="21">
        <f t="shared" si="7"/>
        <v>285265.42909806198</v>
      </c>
      <c r="G173" s="23">
        <f t="shared" si="8"/>
        <v>300143.42909806198</v>
      </c>
    </row>
    <row r="174" spans="1:7" x14ac:dyDescent="0.2">
      <c r="A174">
        <v>2015</v>
      </c>
      <c r="B174" s="1" t="s">
        <v>457</v>
      </c>
      <c r="C174" s="1" t="s">
        <v>254</v>
      </c>
      <c r="D174" s="10">
        <v>1368</v>
      </c>
      <c r="E174" s="20">
        <f t="shared" si="6"/>
        <v>1.7837441288216837E-4</v>
      </c>
      <c r="F174" s="21">
        <f t="shared" si="7"/>
        <v>26229.540731694364</v>
      </c>
      <c r="G174" s="23">
        <f t="shared" si="8"/>
        <v>27597.540731694364</v>
      </c>
    </row>
    <row r="175" spans="1:7" x14ac:dyDescent="0.2">
      <c r="A175">
        <v>2015</v>
      </c>
      <c r="B175" s="1" t="s">
        <v>458</v>
      </c>
      <c r="C175" s="1" t="s">
        <v>255</v>
      </c>
      <c r="D175" s="10">
        <v>17990</v>
      </c>
      <c r="E175" s="20">
        <f t="shared" si="6"/>
        <v>2.3457278419226671E-3</v>
      </c>
      <c r="F175" s="21">
        <f t="shared" si="7"/>
        <v>344933.79953448946</v>
      </c>
      <c r="G175" s="23">
        <f t="shared" si="8"/>
        <v>362923.79953448946</v>
      </c>
    </row>
    <row r="176" spans="1:7" x14ac:dyDescent="0.2">
      <c r="A176">
        <v>2015</v>
      </c>
      <c r="B176" s="1" t="s">
        <v>459</v>
      </c>
      <c r="C176" s="1" t="s">
        <v>256</v>
      </c>
      <c r="D176" s="10">
        <v>7814</v>
      </c>
      <c r="E176" s="20">
        <f t="shared" si="6"/>
        <v>1.0188725601325025E-3</v>
      </c>
      <c r="F176" s="21">
        <f t="shared" si="7"/>
        <v>149822.82988118404</v>
      </c>
      <c r="G176" s="23">
        <f t="shared" si="8"/>
        <v>157636.82988118404</v>
      </c>
    </row>
    <row r="177" spans="1:7" x14ac:dyDescent="0.2">
      <c r="A177">
        <v>2015</v>
      </c>
      <c r="B177" s="1" t="s">
        <v>257</v>
      </c>
      <c r="C177" s="1" t="s">
        <v>258</v>
      </c>
      <c r="E177" s="20">
        <f t="shared" si="6"/>
        <v>0</v>
      </c>
      <c r="F177" s="21">
        <f t="shared" si="7"/>
        <v>0</v>
      </c>
      <c r="G177" s="23">
        <f t="shared" si="8"/>
        <v>0</v>
      </c>
    </row>
    <row r="178" spans="1:7" x14ac:dyDescent="0.2">
      <c r="A178">
        <v>2015</v>
      </c>
      <c r="B178" s="1" t="s">
        <v>259</v>
      </c>
      <c r="C178" s="1" t="s">
        <v>260</v>
      </c>
      <c r="D178" s="10">
        <v>16410</v>
      </c>
      <c r="E178" s="20">
        <f t="shared" si="6"/>
        <v>2.1397106106698705E-3</v>
      </c>
      <c r="F178" s="21">
        <f t="shared" si="7"/>
        <v>314639.44693501794</v>
      </c>
      <c r="G178" s="23">
        <f t="shared" si="8"/>
        <v>331049.44693501794</v>
      </c>
    </row>
    <row r="179" spans="1:7" x14ac:dyDescent="0.2">
      <c r="A179">
        <v>2015</v>
      </c>
      <c r="B179" s="1" t="s">
        <v>460</v>
      </c>
      <c r="C179" s="1" t="s">
        <v>261</v>
      </c>
      <c r="D179" s="10">
        <v>11697</v>
      </c>
      <c r="E179" s="20">
        <f t="shared" si="6"/>
        <v>1.5251794645341546E-3</v>
      </c>
      <c r="F179" s="21">
        <f t="shared" si="7"/>
        <v>224274.07744051827</v>
      </c>
      <c r="G179" s="23">
        <f t="shared" si="8"/>
        <v>235971.07744051827</v>
      </c>
    </row>
    <row r="180" spans="1:7" x14ac:dyDescent="0.2">
      <c r="A180">
        <v>2015</v>
      </c>
      <c r="B180" s="1" t="s">
        <v>461</v>
      </c>
      <c r="C180" s="1" t="s">
        <v>262</v>
      </c>
      <c r="E180" s="20">
        <f t="shared" si="6"/>
        <v>0</v>
      </c>
      <c r="F180" s="21">
        <f t="shared" si="7"/>
        <v>0</v>
      </c>
      <c r="G180" s="23">
        <f t="shared" si="8"/>
        <v>0</v>
      </c>
    </row>
    <row r="181" spans="1:7" x14ac:dyDescent="0.2">
      <c r="A181">
        <v>2015</v>
      </c>
      <c r="B181" s="1" t="s">
        <v>462</v>
      </c>
      <c r="C181" s="1" t="s">
        <v>263</v>
      </c>
      <c r="D181" s="1">
        <v>1.3360000000000001</v>
      </c>
      <c r="E181" s="20">
        <f t="shared" si="6"/>
        <v>1.7420191199603579E-7</v>
      </c>
      <c r="F181" s="21">
        <f t="shared" si="7"/>
        <v>25.61598422335064</v>
      </c>
      <c r="G181" s="23">
        <f t="shared" si="8"/>
        <v>26.951984223350639</v>
      </c>
    </row>
    <row r="182" spans="1:7" x14ac:dyDescent="0.2">
      <c r="A182">
        <v>2015</v>
      </c>
      <c r="B182" s="1" t="s">
        <v>463</v>
      </c>
      <c r="C182" s="1" t="s">
        <v>264</v>
      </c>
      <c r="D182" s="10">
        <v>5957</v>
      </c>
      <c r="E182" s="20">
        <f t="shared" si="6"/>
        <v>7.7673711808412061E-4</v>
      </c>
      <c r="F182" s="21">
        <f t="shared" si="7"/>
        <v>114217.37875636209</v>
      </c>
      <c r="G182" s="23">
        <f t="shared" si="8"/>
        <v>120174.37875636209</v>
      </c>
    </row>
    <row r="183" spans="1:7" x14ac:dyDescent="0.2">
      <c r="A183">
        <v>2015</v>
      </c>
      <c r="B183" s="1" t="s">
        <v>464</v>
      </c>
      <c r="C183" s="1" t="s">
        <v>265</v>
      </c>
      <c r="D183" s="10">
        <v>6494</v>
      </c>
      <c r="E183" s="20">
        <f t="shared" si="6"/>
        <v>8.4675689857953321E-4</v>
      </c>
      <c r="F183" s="21">
        <f t="shared" si="7"/>
        <v>124513.62391200528</v>
      </c>
      <c r="G183" s="23">
        <f t="shared" si="8"/>
        <v>131007.62391200528</v>
      </c>
    </row>
    <row r="184" spans="1:7" x14ac:dyDescent="0.2">
      <c r="A184">
        <v>2015</v>
      </c>
      <c r="B184" s="1" t="s">
        <v>465</v>
      </c>
      <c r="C184" s="1" t="s">
        <v>266</v>
      </c>
      <c r="D184" s="10">
        <v>8021</v>
      </c>
      <c r="E184" s="20">
        <f t="shared" si="6"/>
        <v>1.0458634252396729E-3</v>
      </c>
      <c r="F184" s="21">
        <f t="shared" si="7"/>
        <v>153791.77354453254</v>
      </c>
      <c r="G184" s="23">
        <f t="shared" si="8"/>
        <v>161812.77354453254</v>
      </c>
    </row>
    <row r="185" spans="1:7" x14ac:dyDescent="0.2">
      <c r="A185">
        <v>2015</v>
      </c>
      <c r="B185" s="1" t="s">
        <v>466</v>
      </c>
      <c r="C185" s="1" t="s">
        <v>267</v>
      </c>
      <c r="D185" s="1">
        <v>1.169</v>
      </c>
      <c r="E185" s="20">
        <f t="shared" si="6"/>
        <v>1.5242667299653132E-7</v>
      </c>
      <c r="F185" s="21">
        <f t="shared" si="7"/>
        <v>22.413986195431811</v>
      </c>
      <c r="G185" s="23">
        <f t="shared" si="8"/>
        <v>23.582986195431811</v>
      </c>
    </row>
    <row r="186" spans="1:7" x14ac:dyDescent="0.2">
      <c r="A186">
        <v>2015</v>
      </c>
      <c r="B186" s="1" t="s">
        <v>467</v>
      </c>
      <c r="C186" s="1" t="s">
        <v>268</v>
      </c>
      <c r="D186" s="10">
        <v>9491</v>
      </c>
      <c r="E186" s="20">
        <f t="shared" si="6"/>
        <v>1.2375376846963889E-3</v>
      </c>
      <c r="F186" s="21">
        <f t="shared" si="7"/>
        <v>181977.02564657255</v>
      </c>
      <c r="G186" s="23">
        <f t="shared" si="8"/>
        <v>191468.02564657255</v>
      </c>
    </row>
    <row r="187" spans="1:7" x14ac:dyDescent="0.2">
      <c r="A187">
        <v>2015</v>
      </c>
      <c r="B187" s="1" t="s">
        <v>269</v>
      </c>
      <c r="C187" s="1" t="s">
        <v>270</v>
      </c>
      <c r="E187" s="20">
        <f t="shared" si="6"/>
        <v>0</v>
      </c>
      <c r="F187" s="21">
        <f t="shared" si="7"/>
        <v>0</v>
      </c>
      <c r="G187" s="23">
        <f t="shared" si="8"/>
        <v>0</v>
      </c>
    </row>
    <row r="188" spans="1:7" x14ac:dyDescent="0.2">
      <c r="A188">
        <v>2015</v>
      </c>
      <c r="B188" s="1" t="s">
        <v>271</v>
      </c>
      <c r="C188" s="1" t="s">
        <v>272</v>
      </c>
      <c r="D188" s="10">
        <v>110339</v>
      </c>
      <c r="E188" s="20">
        <f t="shared" si="6"/>
        <v>1.4387174227343256E-2</v>
      </c>
      <c r="F188" s="21">
        <f t="shared" si="7"/>
        <v>2115600.3616918307</v>
      </c>
      <c r="G188" s="23">
        <f t="shared" si="8"/>
        <v>2225939.3616918307</v>
      </c>
    </row>
    <row r="189" spans="1:7" x14ac:dyDescent="0.2">
      <c r="A189">
        <v>2015</v>
      </c>
      <c r="B189" s="1" t="s">
        <v>468</v>
      </c>
      <c r="C189" s="1" t="s">
        <v>273</v>
      </c>
      <c r="D189" s="10">
        <v>19253</v>
      </c>
      <c r="E189" s="20">
        <f t="shared" si="6"/>
        <v>2.5104112362722133E-3</v>
      </c>
      <c r="F189" s="21">
        <f t="shared" si="7"/>
        <v>369150.10797318106</v>
      </c>
      <c r="G189" s="23">
        <f t="shared" si="8"/>
        <v>388403.10797318106</v>
      </c>
    </row>
    <row r="190" spans="1:7" x14ac:dyDescent="0.2">
      <c r="A190">
        <v>2015</v>
      </c>
      <c r="B190" s="1" t="s">
        <v>469</v>
      </c>
      <c r="C190" s="1" t="s">
        <v>274</v>
      </c>
      <c r="D190" s="10">
        <v>60079</v>
      </c>
      <c r="E190" s="20">
        <f t="shared" si="6"/>
        <v>7.8337400230612531E-3</v>
      </c>
      <c r="F190" s="21">
        <f t="shared" si="7"/>
        <v>1151933.1707744633</v>
      </c>
      <c r="G190" s="23">
        <f t="shared" si="8"/>
        <v>1212012.1707744633</v>
      </c>
    </row>
    <row r="191" spans="1:7" x14ac:dyDescent="0.2">
      <c r="A191">
        <v>2015</v>
      </c>
      <c r="B191" s="1" t="s">
        <v>470</v>
      </c>
      <c r="C191" s="1" t="s">
        <v>275</v>
      </c>
      <c r="D191" s="10">
        <v>9068</v>
      </c>
      <c r="E191" s="20">
        <f t="shared" si="6"/>
        <v>1.1823824386078237E-3</v>
      </c>
      <c r="F191" s="21">
        <f t="shared" si="7"/>
        <v>173866.57555190389</v>
      </c>
      <c r="G191" s="23">
        <f t="shared" si="8"/>
        <v>182934.57555190389</v>
      </c>
    </row>
    <row r="192" spans="1:7" x14ac:dyDescent="0.2">
      <c r="A192">
        <v>2015</v>
      </c>
      <c r="B192" s="1" t="s">
        <v>276</v>
      </c>
      <c r="C192" s="1" t="s">
        <v>277</v>
      </c>
      <c r="D192" s="10">
        <v>8915</v>
      </c>
      <c r="E192" s="20">
        <f t="shared" si="6"/>
        <v>1.1624326687460023E-3</v>
      </c>
      <c r="F192" s="21">
        <f t="shared" si="7"/>
        <v>170933.00849638545</v>
      </c>
      <c r="G192" s="23">
        <f t="shared" si="8"/>
        <v>179848.00849638545</v>
      </c>
    </row>
    <row r="193" spans="1:7" x14ac:dyDescent="0.2">
      <c r="A193">
        <v>2015</v>
      </c>
      <c r="B193" s="1" t="s">
        <v>278</v>
      </c>
      <c r="C193" s="1" t="s">
        <v>279</v>
      </c>
      <c r="D193" s="10">
        <v>4524</v>
      </c>
      <c r="E193" s="20">
        <f t="shared" si="6"/>
        <v>5.8988731277699537E-4</v>
      </c>
      <c r="F193" s="21">
        <f t="shared" si="7"/>
        <v>86741.551367094522</v>
      </c>
      <c r="G193" s="23">
        <f t="shared" si="8"/>
        <v>91265.551367094522</v>
      </c>
    </row>
    <row r="194" spans="1:7" x14ac:dyDescent="0.2">
      <c r="A194">
        <v>2015</v>
      </c>
      <c r="B194" s="1" t="s">
        <v>280</v>
      </c>
      <c r="C194" s="1" t="s">
        <v>281</v>
      </c>
      <c r="D194" s="10">
        <v>2752</v>
      </c>
      <c r="E194" s="20">
        <f t="shared" si="6"/>
        <v>3.5883507620740302E-4</v>
      </c>
      <c r="F194" s="21">
        <f t="shared" si="7"/>
        <v>52765.859717560597</v>
      </c>
      <c r="G194" s="23">
        <f t="shared" si="8"/>
        <v>55517.859717560597</v>
      </c>
    </row>
    <row r="195" spans="1:7" x14ac:dyDescent="0.2">
      <c r="A195">
        <v>2015</v>
      </c>
      <c r="B195" s="1" t="s">
        <v>282</v>
      </c>
      <c r="C195" s="1" t="s">
        <v>283</v>
      </c>
      <c r="D195" s="1">
        <v>985</v>
      </c>
      <c r="E195" s="20">
        <f t="shared" ref="E195:E240" si="9">D195/$D$242</f>
        <v>1.2843479290126889E-4</v>
      </c>
      <c r="F195" s="21">
        <f t="shared" ref="F195:F240" si="10">E195*$D$244</f>
        <v>18886.036272455374</v>
      </c>
      <c r="G195" s="23">
        <f t="shared" ref="G195:G240" si="11">SUM(F195,D195)</f>
        <v>19871.036272455374</v>
      </c>
    </row>
    <row r="196" spans="1:7" x14ac:dyDescent="0.2">
      <c r="A196">
        <v>2015</v>
      </c>
      <c r="B196" s="1" t="s">
        <v>284</v>
      </c>
      <c r="C196" s="1" t="s">
        <v>285</v>
      </c>
      <c r="D196" s="10">
        <v>12961</v>
      </c>
      <c r="E196" s="20">
        <f t="shared" si="9"/>
        <v>1.6899932495363919E-3</v>
      </c>
      <c r="F196" s="21">
        <f t="shared" si="10"/>
        <v>248509.5595200955</v>
      </c>
      <c r="G196" s="23">
        <f t="shared" si="11"/>
        <v>261470.5595200955</v>
      </c>
    </row>
    <row r="197" spans="1:7" x14ac:dyDescent="0.2">
      <c r="A197">
        <v>2015</v>
      </c>
      <c r="B197" s="1" t="s">
        <v>286</v>
      </c>
      <c r="C197" s="1" t="s">
        <v>287</v>
      </c>
      <c r="E197" s="20">
        <f t="shared" si="9"/>
        <v>0</v>
      </c>
      <c r="F197" s="21">
        <f t="shared" si="10"/>
        <v>0</v>
      </c>
      <c r="G197" s="23">
        <f t="shared" si="11"/>
        <v>0</v>
      </c>
    </row>
    <row r="198" spans="1:7" x14ac:dyDescent="0.2">
      <c r="A198">
        <v>2015</v>
      </c>
      <c r="B198" s="1" t="s">
        <v>288</v>
      </c>
      <c r="C198" s="1" t="s">
        <v>289</v>
      </c>
      <c r="D198" s="10">
        <v>73138</v>
      </c>
      <c r="E198" s="20">
        <f t="shared" si="9"/>
        <v>9.5365115565614247E-3</v>
      </c>
      <c r="F198" s="21">
        <f t="shared" si="10"/>
        <v>1402321.7471013614</v>
      </c>
      <c r="G198" s="23">
        <f t="shared" si="11"/>
        <v>1475459.7471013614</v>
      </c>
    </row>
    <row r="199" spans="1:7" x14ac:dyDescent="0.2">
      <c r="A199">
        <v>2015</v>
      </c>
      <c r="B199" s="1" t="s">
        <v>293</v>
      </c>
      <c r="C199" s="1" t="s">
        <v>290</v>
      </c>
      <c r="D199" s="1">
        <v>6.133</v>
      </c>
      <c r="E199" s="20">
        <f t="shared" si="9"/>
        <v>7.9968587295784989E-7</v>
      </c>
      <c r="F199" s="21">
        <f t="shared" si="10"/>
        <v>117.5919395522526</v>
      </c>
      <c r="G199" s="23">
        <f t="shared" si="11"/>
        <v>123.72493955225259</v>
      </c>
    </row>
    <row r="200" spans="1:7" x14ac:dyDescent="0.2">
      <c r="A200">
        <v>2015</v>
      </c>
      <c r="B200" s="1" t="s">
        <v>291</v>
      </c>
      <c r="C200" s="1" t="s">
        <v>292</v>
      </c>
      <c r="E200" s="20">
        <f t="shared" si="9"/>
        <v>0</v>
      </c>
      <c r="F200" s="21">
        <f t="shared" si="10"/>
        <v>0</v>
      </c>
      <c r="G200" s="23">
        <f t="shared" si="11"/>
        <v>0</v>
      </c>
    </row>
    <row r="201" spans="1:7" x14ac:dyDescent="0.2">
      <c r="A201">
        <v>2015</v>
      </c>
      <c r="B201" s="13" t="s">
        <v>471</v>
      </c>
      <c r="C201" s="13" t="s">
        <v>294</v>
      </c>
      <c r="E201" s="20">
        <f t="shared" si="9"/>
        <v>0</v>
      </c>
      <c r="F201" s="21">
        <f t="shared" si="10"/>
        <v>0</v>
      </c>
      <c r="G201" s="23">
        <f t="shared" si="11"/>
        <v>0</v>
      </c>
    </row>
    <row r="202" spans="1:7" x14ac:dyDescent="0.2">
      <c r="A202">
        <v>2015</v>
      </c>
      <c r="B202" s="13" t="s">
        <v>295</v>
      </c>
      <c r="C202" s="13" t="s">
        <v>296</v>
      </c>
      <c r="E202" s="20">
        <f t="shared" si="9"/>
        <v>0</v>
      </c>
      <c r="F202" s="21">
        <f t="shared" si="10"/>
        <v>0</v>
      </c>
      <c r="G202" s="23">
        <f t="shared" si="11"/>
        <v>0</v>
      </c>
    </row>
    <row r="203" spans="1:7" x14ac:dyDescent="0.2">
      <c r="A203">
        <v>2015</v>
      </c>
      <c r="B203" s="13" t="s">
        <v>297</v>
      </c>
      <c r="C203" s="13" t="s">
        <v>298</v>
      </c>
      <c r="E203" s="20">
        <f t="shared" si="9"/>
        <v>0</v>
      </c>
      <c r="F203" s="21">
        <f t="shared" si="10"/>
        <v>0</v>
      </c>
      <c r="G203" s="23">
        <f t="shared" si="11"/>
        <v>0</v>
      </c>
    </row>
    <row r="204" spans="1:7" x14ac:dyDescent="0.2">
      <c r="A204">
        <v>2015</v>
      </c>
      <c r="B204" s="13" t="s">
        <v>299</v>
      </c>
      <c r="C204" s="13" t="s">
        <v>300</v>
      </c>
      <c r="D204" s="14">
        <v>11187</v>
      </c>
      <c r="E204" s="20">
        <f t="shared" si="9"/>
        <v>1.4586802316614164E-3</v>
      </c>
      <c r="F204" s="21">
        <f t="shared" si="10"/>
        <v>214495.52058879012</v>
      </c>
      <c r="G204" s="23">
        <f t="shared" si="11"/>
        <v>225682.52058879012</v>
      </c>
    </row>
    <row r="205" spans="1:7" x14ac:dyDescent="0.2">
      <c r="A205">
        <v>2015</v>
      </c>
      <c r="B205" s="13" t="s">
        <v>301</v>
      </c>
      <c r="C205" s="13" t="s">
        <v>302</v>
      </c>
      <c r="D205" s="14">
        <v>2683</v>
      </c>
      <c r="E205" s="20">
        <f t="shared" si="9"/>
        <v>3.4983812117167962E-4</v>
      </c>
      <c r="F205" s="21">
        <f t="shared" si="10"/>
        <v>51442.878496444428</v>
      </c>
      <c r="G205" s="23">
        <f t="shared" si="11"/>
        <v>54125.878496444428</v>
      </c>
    </row>
    <row r="206" spans="1:7" x14ac:dyDescent="0.2">
      <c r="A206">
        <v>2015</v>
      </c>
      <c r="B206" s="13" t="s">
        <v>303</v>
      </c>
      <c r="C206" s="13" t="s">
        <v>304</v>
      </c>
      <c r="D206" s="14">
        <v>21723</v>
      </c>
      <c r="E206" s="20">
        <f t="shared" si="9"/>
        <v>2.8324761484205727E-3</v>
      </c>
      <c r="F206" s="21">
        <f t="shared" si="10"/>
        <v>416509.0009609625</v>
      </c>
      <c r="G206" s="23">
        <f t="shared" si="11"/>
        <v>438232.0009609625</v>
      </c>
    </row>
    <row r="207" spans="1:7" x14ac:dyDescent="0.2">
      <c r="A207">
        <v>2015</v>
      </c>
      <c r="B207" s="13" t="s">
        <v>305</v>
      </c>
      <c r="C207" s="13" t="s">
        <v>306</v>
      </c>
      <c r="E207" s="20">
        <f t="shared" si="9"/>
        <v>0</v>
      </c>
      <c r="F207" s="21">
        <f t="shared" si="10"/>
        <v>0</v>
      </c>
      <c r="G207" s="23">
        <f t="shared" si="11"/>
        <v>0</v>
      </c>
    </row>
    <row r="208" spans="1:7" x14ac:dyDescent="0.2">
      <c r="A208">
        <v>2015</v>
      </c>
      <c r="B208" s="13" t="s">
        <v>307</v>
      </c>
      <c r="C208" s="13" t="s">
        <v>308</v>
      </c>
      <c r="D208" s="13">
        <v>240</v>
      </c>
      <c r="E208" s="20">
        <f t="shared" si="9"/>
        <v>3.1293756645994449E-5</v>
      </c>
      <c r="F208" s="21">
        <f t="shared" si="10"/>
        <v>4601.6738125779584</v>
      </c>
      <c r="G208" s="23">
        <f t="shared" si="11"/>
        <v>4841.6738125779584</v>
      </c>
    </row>
    <row r="209" spans="1:7" x14ac:dyDescent="0.2">
      <c r="A209">
        <v>2015</v>
      </c>
      <c r="B209" s="13" t="s">
        <v>309</v>
      </c>
      <c r="C209" s="13" t="s">
        <v>310</v>
      </c>
      <c r="E209" s="20">
        <f t="shared" si="9"/>
        <v>0</v>
      </c>
      <c r="F209" s="21">
        <f t="shared" si="10"/>
        <v>0</v>
      </c>
      <c r="G209" s="23">
        <f t="shared" si="11"/>
        <v>0</v>
      </c>
    </row>
    <row r="210" spans="1:7" x14ac:dyDescent="0.2">
      <c r="A210">
        <v>2015</v>
      </c>
      <c r="B210" s="13" t="s">
        <v>472</v>
      </c>
      <c r="C210" s="13" t="s">
        <v>311</v>
      </c>
      <c r="D210" s="15">
        <v>375</v>
      </c>
      <c r="E210" s="20">
        <f t="shared" si="9"/>
        <v>4.889649475936633E-5</v>
      </c>
      <c r="F210" s="21">
        <f t="shared" si="10"/>
        <v>7190.115332153061</v>
      </c>
      <c r="G210" s="23">
        <f t="shared" si="11"/>
        <v>7565.115332153061</v>
      </c>
    </row>
    <row r="211" spans="1:7" x14ac:dyDescent="0.2">
      <c r="A211">
        <v>2015</v>
      </c>
      <c r="B211" s="13" t="s">
        <v>312</v>
      </c>
      <c r="C211" s="13" t="s">
        <v>313</v>
      </c>
      <c r="D211" s="14">
        <v>4026</v>
      </c>
      <c r="E211" s="20">
        <f t="shared" si="9"/>
        <v>5.2495276773655692E-4</v>
      </c>
      <c r="F211" s="21">
        <f t="shared" si="10"/>
        <v>77193.078205995262</v>
      </c>
      <c r="G211" s="23">
        <f t="shared" si="11"/>
        <v>81219.078205995262</v>
      </c>
    </row>
    <row r="212" spans="1:7" x14ac:dyDescent="0.2">
      <c r="A212">
        <v>2015</v>
      </c>
      <c r="B212" s="13" t="s">
        <v>473</v>
      </c>
      <c r="C212" s="13" t="s">
        <v>314</v>
      </c>
      <c r="D212" s="14">
        <v>6067</v>
      </c>
      <c r="E212" s="20">
        <f t="shared" si="9"/>
        <v>7.9108008988020137E-4</v>
      </c>
      <c r="F212" s="21">
        <f t="shared" si="10"/>
        <v>116326.47925379364</v>
      </c>
      <c r="G212" s="23">
        <f t="shared" si="11"/>
        <v>122393.47925379364</v>
      </c>
    </row>
    <row r="213" spans="1:7" x14ac:dyDescent="0.2">
      <c r="A213">
        <v>2015</v>
      </c>
      <c r="B213" s="13" t="s">
        <v>315</v>
      </c>
      <c r="C213" s="13" t="s">
        <v>316</v>
      </c>
      <c r="D213" s="14">
        <v>2801</v>
      </c>
      <c r="E213" s="20">
        <f t="shared" si="9"/>
        <v>3.6522421818929355E-4</v>
      </c>
      <c r="F213" s="21">
        <f t="shared" si="10"/>
        <v>53705.368120961924</v>
      </c>
      <c r="G213" s="23">
        <f t="shared" si="11"/>
        <v>56506.368120961924</v>
      </c>
    </row>
    <row r="214" spans="1:7" x14ac:dyDescent="0.2">
      <c r="A214">
        <v>2015</v>
      </c>
      <c r="B214" s="13" t="s">
        <v>317</v>
      </c>
      <c r="C214" s="13" t="s">
        <v>318</v>
      </c>
      <c r="E214" s="20">
        <f t="shared" si="9"/>
        <v>0</v>
      </c>
      <c r="F214" s="21">
        <f t="shared" si="10"/>
        <v>0</v>
      </c>
      <c r="G214" s="23">
        <f t="shared" si="11"/>
        <v>0</v>
      </c>
    </row>
    <row r="215" spans="1:7" x14ac:dyDescent="0.2">
      <c r="A215">
        <v>2015</v>
      </c>
      <c r="B215" s="13" t="s">
        <v>474</v>
      </c>
      <c r="C215" s="13" t="s">
        <v>319</v>
      </c>
      <c r="E215" s="20">
        <f t="shared" si="9"/>
        <v>0</v>
      </c>
      <c r="F215" s="21">
        <f t="shared" si="10"/>
        <v>0</v>
      </c>
      <c r="G215" s="23">
        <f t="shared" si="11"/>
        <v>0</v>
      </c>
    </row>
    <row r="216" spans="1:7" x14ac:dyDescent="0.2">
      <c r="A216">
        <v>2015</v>
      </c>
      <c r="B216" s="13" t="s">
        <v>475</v>
      </c>
      <c r="C216" s="13" t="s">
        <v>320</v>
      </c>
      <c r="D216" s="13">
        <v>9</v>
      </c>
      <c r="E216" s="20">
        <f t="shared" si="9"/>
        <v>1.1735158742247918E-6</v>
      </c>
      <c r="F216" s="21">
        <f t="shared" si="10"/>
        <v>172.56276797167345</v>
      </c>
      <c r="G216" s="23">
        <f t="shared" si="11"/>
        <v>181.56276797167345</v>
      </c>
    </row>
    <row r="217" spans="1:7" x14ac:dyDescent="0.2">
      <c r="A217">
        <v>2015</v>
      </c>
      <c r="B217" s="13" t="s">
        <v>321</v>
      </c>
      <c r="C217" s="15" t="s">
        <v>322</v>
      </c>
      <c r="E217" s="20">
        <f t="shared" si="9"/>
        <v>0</v>
      </c>
      <c r="F217" s="21">
        <f t="shared" si="10"/>
        <v>0</v>
      </c>
      <c r="G217" s="23">
        <f t="shared" si="11"/>
        <v>0</v>
      </c>
    </row>
    <row r="218" spans="1:7" x14ac:dyDescent="0.2">
      <c r="A218">
        <v>2015</v>
      </c>
      <c r="B218" s="13" t="s">
        <v>476</v>
      </c>
      <c r="C218" s="13" t="s">
        <v>323</v>
      </c>
      <c r="D218" s="14">
        <v>21287</v>
      </c>
      <c r="E218" s="20">
        <f t="shared" si="9"/>
        <v>2.7756258238470161E-3</v>
      </c>
      <c r="F218" s="21">
        <f t="shared" si="10"/>
        <v>408149.29353477922</v>
      </c>
      <c r="G218" s="23">
        <f t="shared" si="11"/>
        <v>429436.29353477922</v>
      </c>
    </row>
    <row r="219" spans="1:7" x14ac:dyDescent="0.2">
      <c r="A219">
        <v>2015</v>
      </c>
      <c r="B219" s="13" t="s">
        <v>324</v>
      </c>
      <c r="C219" s="13" t="s">
        <v>325</v>
      </c>
      <c r="D219" s="14">
        <v>3582</v>
      </c>
      <c r="E219" s="20">
        <f t="shared" si="9"/>
        <v>4.6705931794146718E-4</v>
      </c>
      <c r="F219" s="21">
        <f t="shared" si="10"/>
        <v>68679.981652726041</v>
      </c>
      <c r="G219" s="23">
        <f t="shared" si="11"/>
        <v>72261.981652726041</v>
      </c>
    </row>
    <row r="220" spans="1:7" x14ac:dyDescent="0.2">
      <c r="A220">
        <v>2015</v>
      </c>
      <c r="B220" s="13" t="s">
        <v>326</v>
      </c>
      <c r="C220" s="13" t="s">
        <v>327</v>
      </c>
      <c r="E220" s="20">
        <f t="shared" si="9"/>
        <v>0</v>
      </c>
      <c r="F220" s="21">
        <f t="shared" si="10"/>
        <v>0</v>
      </c>
      <c r="G220" s="23">
        <f t="shared" si="11"/>
        <v>0</v>
      </c>
    </row>
    <row r="221" spans="1:7" x14ac:dyDescent="0.2">
      <c r="A221">
        <v>2015</v>
      </c>
      <c r="B221" s="13" t="s">
        <v>477</v>
      </c>
      <c r="C221" s="13" t="s">
        <v>328</v>
      </c>
      <c r="D221" s="14">
        <v>2146</v>
      </c>
      <c r="E221" s="20">
        <f t="shared" si="9"/>
        <v>2.7981834067626702E-4</v>
      </c>
      <c r="F221" s="21">
        <f t="shared" si="10"/>
        <v>41146.633340801243</v>
      </c>
      <c r="G221" s="23">
        <f t="shared" si="11"/>
        <v>43292.633340801243</v>
      </c>
    </row>
    <row r="222" spans="1:7" x14ac:dyDescent="0.2">
      <c r="A222">
        <v>2015</v>
      </c>
      <c r="B222" s="13" t="s">
        <v>329</v>
      </c>
      <c r="C222" s="13" t="s">
        <v>330</v>
      </c>
      <c r="D222" s="16">
        <v>7597</v>
      </c>
      <c r="E222" s="20">
        <f t="shared" si="9"/>
        <v>9.9057778849841595E-4</v>
      </c>
      <c r="F222" s="21">
        <f t="shared" si="10"/>
        <v>145662.14980897814</v>
      </c>
      <c r="G222" s="23">
        <f t="shared" si="11"/>
        <v>153259.14980897814</v>
      </c>
    </row>
    <row r="223" spans="1:7" x14ac:dyDescent="0.2">
      <c r="A223">
        <v>2015</v>
      </c>
      <c r="B223" s="13" t="s">
        <v>478</v>
      </c>
      <c r="C223" s="13" t="s">
        <v>331</v>
      </c>
      <c r="D223" s="14">
        <v>6058</v>
      </c>
      <c r="E223" s="20">
        <f t="shared" si="9"/>
        <v>7.8990657400597659E-4</v>
      </c>
      <c r="F223" s="21">
        <f t="shared" si="10"/>
        <v>116153.91648582197</v>
      </c>
      <c r="G223" s="23">
        <f t="shared" si="11"/>
        <v>122211.91648582197</v>
      </c>
    </row>
    <row r="224" spans="1:7" x14ac:dyDescent="0.2">
      <c r="A224">
        <v>2015</v>
      </c>
      <c r="B224" s="13" t="s">
        <v>332</v>
      </c>
      <c r="C224" s="13" t="s">
        <v>333</v>
      </c>
      <c r="D224" s="14">
        <v>7300</v>
      </c>
      <c r="E224" s="20">
        <f t="shared" si="9"/>
        <v>9.5185176464899785E-4</v>
      </c>
      <c r="F224" s="21">
        <f t="shared" si="10"/>
        <v>139967.57846591293</v>
      </c>
      <c r="G224" s="23">
        <f t="shared" si="11"/>
        <v>147267.57846591293</v>
      </c>
    </row>
    <row r="225" spans="1:7" x14ac:dyDescent="0.2">
      <c r="A225">
        <v>2015</v>
      </c>
      <c r="B225" s="13" t="s">
        <v>334</v>
      </c>
      <c r="C225" s="13" t="s">
        <v>335</v>
      </c>
      <c r="D225" s="14">
        <v>2635</v>
      </c>
      <c r="E225" s="20">
        <f t="shared" si="9"/>
        <v>3.4357936984248075E-4</v>
      </c>
      <c r="F225" s="21">
        <f t="shared" si="10"/>
        <v>50522.54373392884</v>
      </c>
      <c r="G225" s="23">
        <f t="shared" si="11"/>
        <v>53157.54373392884</v>
      </c>
    </row>
    <row r="226" spans="1:7" x14ac:dyDescent="0.2">
      <c r="A226">
        <v>2015</v>
      </c>
      <c r="B226" s="13" t="s">
        <v>479</v>
      </c>
      <c r="C226" s="13" t="s">
        <v>336</v>
      </c>
      <c r="D226" s="16">
        <v>8201</v>
      </c>
      <c r="E226" s="20">
        <f t="shared" si="9"/>
        <v>1.0693337427241686E-3</v>
      </c>
      <c r="F226" s="21">
        <f t="shared" si="10"/>
        <v>157243.02890396598</v>
      </c>
      <c r="G226" s="23">
        <f t="shared" si="11"/>
        <v>165444.02890396598</v>
      </c>
    </row>
    <row r="227" spans="1:7" x14ac:dyDescent="0.2">
      <c r="A227">
        <v>2015</v>
      </c>
      <c r="B227" s="13" t="s">
        <v>337</v>
      </c>
      <c r="C227" s="13" t="s">
        <v>338</v>
      </c>
      <c r="D227" s="14">
        <v>6995</v>
      </c>
      <c r="E227" s="20">
        <f t="shared" si="9"/>
        <v>9.1208261557804658E-4</v>
      </c>
      <c r="F227" s="21">
        <f t="shared" si="10"/>
        <v>134119.61799576177</v>
      </c>
      <c r="G227" s="23">
        <f t="shared" si="11"/>
        <v>141114.61799576177</v>
      </c>
    </row>
    <row r="228" spans="1:7" x14ac:dyDescent="0.2">
      <c r="A228">
        <v>2015</v>
      </c>
      <c r="B228" s="13" t="s">
        <v>339</v>
      </c>
      <c r="C228" s="13" t="s">
        <v>340</v>
      </c>
      <c r="D228" s="14">
        <v>23298</v>
      </c>
      <c r="E228" s="20">
        <f t="shared" si="9"/>
        <v>3.0378414264099112E-3</v>
      </c>
      <c r="F228" s="21">
        <f t="shared" si="10"/>
        <v>446707.48535600537</v>
      </c>
      <c r="G228" s="23">
        <f t="shared" si="11"/>
        <v>470005.48535600537</v>
      </c>
    </row>
    <row r="229" spans="1:7" x14ac:dyDescent="0.2">
      <c r="A229">
        <v>2015</v>
      </c>
      <c r="B229" s="13" t="s">
        <v>341</v>
      </c>
      <c r="C229" s="13" t="s">
        <v>342</v>
      </c>
      <c r="D229" s="14">
        <v>2043</v>
      </c>
      <c r="E229" s="20">
        <f t="shared" si="9"/>
        <v>2.6638810344902777E-4</v>
      </c>
      <c r="F229" s="21">
        <f t="shared" si="10"/>
        <v>39171.748329569877</v>
      </c>
      <c r="G229" s="23">
        <f t="shared" si="11"/>
        <v>41214.748329569877</v>
      </c>
    </row>
    <row r="230" spans="1:7" x14ac:dyDescent="0.2">
      <c r="A230">
        <v>2015</v>
      </c>
      <c r="B230" s="13" t="s">
        <v>343</v>
      </c>
      <c r="C230" s="13" t="s">
        <v>344</v>
      </c>
      <c r="D230" s="14">
        <v>5252</v>
      </c>
      <c r="E230" s="20">
        <f t="shared" si="9"/>
        <v>6.8481170793651194E-4</v>
      </c>
      <c r="F230" s="21">
        <f t="shared" si="10"/>
        <v>100699.96193191434</v>
      </c>
      <c r="G230" s="23">
        <f t="shared" si="11"/>
        <v>105951.96193191434</v>
      </c>
    </row>
    <row r="231" spans="1:7" x14ac:dyDescent="0.2">
      <c r="A231">
        <v>2015</v>
      </c>
      <c r="B231" s="13" t="s">
        <v>345</v>
      </c>
      <c r="C231" s="13" t="s">
        <v>346</v>
      </c>
      <c r="D231" s="13">
        <v>726</v>
      </c>
      <c r="E231" s="20">
        <f t="shared" si="9"/>
        <v>9.4663613854133213E-5</v>
      </c>
      <c r="F231" s="21">
        <f t="shared" si="10"/>
        <v>13920.063283048326</v>
      </c>
      <c r="G231" s="23">
        <f t="shared" si="11"/>
        <v>14646.063283048326</v>
      </c>
    </row>
    <row r="232" spans="1:7" x14ac:dyDescent="0.2">
      <c r="A232">
        <v>2015</v>
      </c>
      <c r="B232" s="13" t="s">
        <v>347</v>
      </c>
      <c r="C232" s="13" t="s">
        <v>348</v>
      </c>
      <c r="D232" s="14">
        <v>1516</v>
      </c>
      <c r="E232" s="20">
        <f t="shared" si="9"/>
        <v>1.9767222948053161E-4</v>
      </c>
      <c r="F232" s="21">
        <f t="shared" si="10"/>
        <v>29067.239582784106</v>
      </c>
      <c r="G232" s="23">
        <f t="shared" si="11"/>
        <v>30583.239582784106</v>
      </c>
    </row>
    <row r="233" spans="1:7" x14ac:dyDescent="0.2">
      <c r="A233">
        <v>2015</v>
      </c>
      <c r="B233" s="13" t="s">
        <v>349</v>
      </c>
      <c r="C233" s="13" t="s">
        <v>350</v>
      </c>
      <c r="D233" s="16">
        <v>3354</v>
      </c>
      <c r="E233" s="20">
        <f t="shared" si="9"/>
        <v>4.3733024912777244E-4</v>
      </c>
      <c r="F233" s="21">
        <f t="shared" si="10"/>
        <v>64308.391530776971</v>
      </c>
      <c r="G233" s="23">
        <f t="shared" si="11"/>
        <v>67662.391530776978</v>
      </c>
    </row>
    <row r="234" spans="1:7" x14ac:dyDescent="0.2">
      <c r="A234">
        <v>2015</v>
      </c>
      <c r="B234" s="13" t="s">
        <v>351</v>
      </c>
      <c r="C234" s="13" t="s">
        <v>352</v>
      </c>
      <c r="D234" s="14">
        <v>4921</v>
      </c>
      <c r="E234" s="20">
        <f t="shared" si="9"/>
        <v>6.4165240189557784E-4</v>
      </c>
      <c r="F234" s="21">
        <f t="shared" si="10"/>
        <v>94353.486798733895</v>
      </c>
      <c r="G234" s="23">
        <f t="shared" si="11"/>
        <v>99274.486798733895</v>
      </c>
    </row>
    <row r="235" spans="1:7" x14ac:dyDescent="0.2">
      <c r="A235">
        <v>2015</v>
      </c>
      <c r="B235" s="13" t="s">
        <v>353</v>
      </c>
      <c r="C235" s="13" t="s">
        <v>354</v>
      </c>
      <c r="D235" s="14">
        <v>9989</v>
      </c>
      <c r="E235" s="20">
        <f t="shared" si="9"/>
        <v>1.3024722297368273E-3</v>
      </c>
      <c r="F235" s="21">
        <f t="shared" si="10"/>
        <v>191525.49880767177</v>
      </c>
      <c r="G235" s="23">
        <f t="shared" si="11"/>
        <v>201514.49880767177</v>
      </c>
    </row>
    <row r="236" spans="1:7" x14ac:dyDescent="0.2">
      <c r="A236">
        <v>2015</v>
      </c>
      <c r="B236" s="13" t="s">
        <v>355</v>
      </c>
      <c r="C236" s="13" t="s">
        <v>356</v>
      </c>
      <c r="E236" s="20">
        <f t="shared" si="9"/>
        <v>0</v>
      </c>
      <c r="F236" s="21">
        <f t="shared" si="10"/>
        <v>0</v>
      </c>
      <c r="G236" s="23">
        <f t="shared" si="11"/>
        <v>0</v>
      </c>
    </row>
    <row r="237" spans="1:7" x14ac:dyDescent="0.2">
      <c r="A237">
        <v>2015</v>
      </c>
      <c r="B237" s="13" t="s">
        <v>480</v>
      </c>
      <c r="C237" s="13" t="s">
        <v>357</v>
      </c>
      <c r="E237" s="20">
        <f t="shared" si="9"/>
        <v>0</v>
      </c>
      <c r="F237" s="21">
        <f t="shared" si="10"/>
        <v>0</v>
      </c>
      <c r="G237" s="23">
        <f t="shared" si="11"/>
        <v>0</v>
      </c>
    </row>
    <row r="238" spans="1:7" x14ac:dyDescent="0.2">
      <c r="A238">
        <v>2015</v>
      </c>
      <c r="B238" s="13" t="s">
        <v>481</v>
      </c>
      <c r="C238" s="13" t="s">
        <v>358</v>
      </c>
      <c r="D238" s="14">
        <v>2778</v>
      </c>
      <c r="E238" s="20">
        <f t="shared" si="9"/>
        <v>3.6222523317738575E-4</v>
      </c>
      <c r="F238" s="21">
        <f t="shared" si="10"/>
        <v>53264.37438058987</v>
      </c>
      <c r="G238" s="23">
        <f t="shared" si="11"/>
        <v>56042.37438058987</v>
      </c>
    </row>
    <row r="239" spans="1:7" x14ac:dyDescent="0.2">
      <c r="A239">
        <v>2015</v>
      </c>
      <c r="B239" s="13" t="s">
        <v>359</v>
      </c>
      <c r="C239" s="13" t="s">
        <v>360</v>
      </c>
      <c r="E239" s="20">
        <f t="shared" si="9"/>
        <v>0</v>
      </c>
      <c r="F239" s="21">
        <f t="shared" si="10"/>
        <v>0</v>
      </c>
      <c r="G239" s="23">
        <f t="shared" si="11"/>
        <v>0</v>
      </c>
    </row>
    <row r="240" spans="1:7" x14ac:dyDescent="0.2">
      <c r="A240">
        <v>2015</v>
      </c>
      <c r="B240" s="13" t="s">
        <v>361</v>
      </c>
      <c r="C240" s="13" t="s">
        <v>362</v>
      </c>
      <c r="D240" s="14">
        <v>4158</v>
      </c>
      <c r="E240" s="20">
        <f t="shared" si="9"/>
        <v>5.4216433389185387E-4</v>
      </c>
      <c r="F240" s="21">
        <f t="shared" si="10"/>
        <v>79723.998802913135</v>
      </c>
      <c r="G240" s="23">
        <f t="shared" si="11"/>
        <v>83881.998802913135</v>
      </c>
    </row>
    <row r="242" spans="2:4" x14ac:dyDescent="0.2">
      <c r="D242" s="2">
        <f>SUM(D2:D240)</f>
        <v>7669261.4030000009</v>
      </c>
    </row>
    <row r="244" spans="2:4" x14ac:dyDescent="0.2">
      <c r="B244" s="3" t="s">
        <v>0</v>
      </c>
      <c r="C244" s="3" t="s">
        <v>1</v>
      </c>
      <c r="D244" s="4">
        <v>147047664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AE8D-BBBF-704D-A001-97AA03F79A39}">
  <sheetPr>
    <tabColor rgb="FFFFFF00"/>
  </sheetPr>
  <dimension ref="A1:G250"/>
  <sheetViews>
    <sheetView workbookViewId="0">
      <selection activeCell="F2" sqref="F2:G253"/>
    </sheetView>
  </sheetViews>
  <sheetFormatPr baseColWidth="10" defaultRowHeight="16" x14ac:dyDescent="0.2"/>
  <cols>
    <col min="2" max="2" width="38.6640625" style="1" bestFit="1" customWidth="1"/>
    <col min="3" max="3" width="13.5" style="1" bestFit="1" customWidth="1"/>
    <col min="4" max="4" width="18.83203125" style="1" bestFit="1" customWidth="1"/>
    <col min="6" max="6" width="17.1640625" bestFit="1" customWidth="1"/>
    <col min="7" max="7" width="16.83203125" bestFit="1" customWidth="1"/>
  </cols>
  <sheetData>
    <row r="1" spans="1:7" x14ac:dyDescent="0.2">
      <c r="A1" t="s">
        <v>639</v>
      </c>
      <c r="B1" s="1" t="s">
        <v>634</v>
      </c>
      <c r="C1" s="1" t="s">
        <v>364</v>
      </c>
      <c r="D1" s="1" t="s">
        <v>363</v>
      </c>
      <c r="F1" t="s">
        <v>637</v>
      </c>
      <c r="G1" t="s">
        <v>638</v>
      </c>
    </row>
    <row r="2" spans="1:7" x14ac:dyDescent="0.2">
      <c r="A2">
        <v>2016</v>
      </c>
      <c r="B2" s="1" t="s">
        <v>2</v>
      </c>
      <c r="C2" s="1" t="s">
        <v>3</v>
      </c>
      <c r="D2" s="22"/>
      <c r="E2" s="20">
        <f>D2/$D$248</f>
        <v>0</v>
      </c>
      <c r="F2">
        <f>E2*$D$250</f>
        <v>0</v>
      </c>
      <c r="G2" s="23">
        <f>SUM(D2,F2)</f>
        <v>0</v>
      </c>
    </row>
    <row r="3" spans="1:7" x14ac:dyDescent="0.2">
      <c r="A3">
        <v>2016</v>
      </c>
      <c r="B3" s="1" t="s">
        <v>4</v>
      </c>
      <c r="C3" s="1" t="s">
        <v>5</v>
      </c>
      <c r="D3" s="22"/>
      <c r="E3" s="20">
        <f t="shared" ref="E3:E66" si="0">D3/$D$248</f>
        <v>0</v>
      </c>
      <c r="F3">
        <f t="shared" ref="F3:F66" si="1">E3*$D$250</f>
        <v>0</v>
      </c>
      <c r="G3" s="23">
        <f t="shared" ref="G3:G66" si="2">SUM(D3,F3)</f>
        <v>0</v>
      </c>
    </row>
    <row r="4" spans="1:7" x14ac:dyDescent="0.2">
      <c r="A4">
        <v>2016</v>
      </c>
      <c r="B4" s="1" t="s">
        <v>6</v>
      </c>
      <c r="C4" s="1" t="s">
        <v>7</v>
      </c>
      <c r="D4" s="22">
        <v>9376</v>
      </c>
      <c r="E4" s="20">
        <f t="shared" si="0"/>
        <v>1.5887615454637267E-3</v>
      </c>
      <c r="F4">
        <f t="shared" si="1"/>
        <v>178187.15076357481</v>
      </c>
      <c r="G4" s="23">
        <f t="shared" si="2"/>
        <v>187563.15076357481</v>
      </c>
    </row>
    <row r="5" spans="1:7" x14ac:dyDescent="0.2">
      <c r="A5">
        <v>2016</v>
      </c>
      <c r="B5" s="1" t="s">
        <v>8</v>
      </c>
      <c r="C5" s="1" t="s">
        <v>9</v>
      </c>
      <c r="D5" s="22">
        <v>24</v>
      </c>
      <c r="E5" s="20">
        <f t="shared" si="0"/>
        <v>4.0667957648388905E-6</v>
      </c>
      <c r="F5">
        <f t="shared" si="1"/>
        <v>456.11045417297305</v>
      </c>
      <c r="G5" s="23">
        <f t="shared" si="2"/>
        <v>480.11045417297305</v>
      </c>
    </row>
    <row r="6" spans="1:7" x14ac:dyDescent="0.2">
      <c r="A6">
        <v>2016</v>
      </c>
      <c r="B6" s="1" t="s">
        <v>483</v>
      </c>
      <c r="C6" s="1" t="s">
        <v>10</v>
      </c>
      <c r="D6" s="22">
        <v>12861</v>
      </c>
      <c r="E6" s="20">
        <f t="shared" si="0"/>
        <v>2.1792941804830404E-3</v>
      </c>
      <c r="F6">
        <f t="shared" si="1"/>
        <v>244418.18962994192</v>
      </c>
      <c r="G6" s="23">
        <f t="shared" si="2"/>
        <v>257279.18962994192</v>
      </c>
    </row>
    <row r="7" spans="1:7" x14ac:dyDescent="0.2">
      <c r="A7">
        <v>2016</v>
      </c>
      <c r="B7" s="1" t="s">
        <v>484</v>
      </c>
      <c r="C7" s="1" t="s">
        <v>11</v>
      </c>
      <c r="D7" s="22">
        <v>9438</v>
      </c>
      <c r="E7" s="20">
        <f t="shared" si="0"/>
        <v>1.5992674345228937E-3</v>
      </c>
      <c r="F7">
        <f t="shared" si="1"/>
        <v>179365.43610352164</v>
      </c>
      <c r="G7" s="23">
        <f t="shared" si="2"/>
        <v>188803.43610352164</v>
      </c>
    </row>
    <row r="8" spans="1:7" x14ac:dyDescent="0.2">
      <c r="A8">
        <v>2016</v>
      </c>
      <c r="B8" s="1" t="s">
        <v>12</v>
      </c>
      <c r="C8" s="1" t="s">
        <v>13</v>
      </c>
      <c r="D8" s="22"/>
      <c r="E8" s="20">
        <f t="shared" si="0"/>
        <v>0</v>
      </c>
      <c r="F8">
        <f t="shared" si="1"/>
        <v>0</v>
      </c>
      <c r="G8" s="23">
        <f t="shared" si="2"/>
        <v>0</v>
      </c>
    </row>
    <row r="9" spans="1:7" x14ac:dyDescent="0.2">
      <c r="A9">
        <v>2016</v>
      </c>
      <c r="B9" s="1" t="s">
        <v>14</v>
      </c>
      <c r="C9" s="1" t="s">
        <v>15</v>
      </c>
      <c r="D9" s="22"/>
      <c r="E9" s="20">
        <f t="shared" si="0"/>
        <v>0</v>
      </c>
      <c r="F9">
        <f t="shared" si="1"/>
        <v>0</v>
      </c>
      <c r="G9" s="23">
        <f t="shared" si="2"/>
        <v>0</v>
      </c>
    </row>
    <row r="10" spans="1:7" x14ac:dyDescent="0.2">
      <c r="A10">
        <v>2016</v>
      </c>
      <c r="B10" s="1" t="s">
        <v>16</v>
      </c>
      <c r="C10" s="1" t="s">
        <v>17</v>
      </c>
      <c r="D10" s="22"/>
      <c r="E10" s="20">
        <f t="shared" si="0"/>
        <v>0</v>
      </c>
      <c r="F10">
        <f t="shared" si="1"/>
        <v>0</v>
      </c>
      <c r="G10" s="23">
        <f t="shared" si="2"/>
        <v>0</v>
      </c>
    </row>
    <row r="11" spans="1:7" x14ac:dyDescent="0.2">
      <c r="A11">
        <v>2016</v>
      </c>
      <c r="B11" s="1" t="s">
        <v>18</v>
      </c>
      <c r="C11" s="1" t="s">
        <v>19</v>
      </c>
      <c r="D11" s="22"/>
      <c r="E11" s="20">
        <f t="shared" si="0"/>
        <v>0</v>
      </c>
      <c r="F11">
        <f t="shared" si="1"/>
        <v>0</v>
      </c>
      <c r="G11" s="23">
        <f t="shared" si="2"/>
        <v>0</v>
      </c>
    </row>
    <row r="12" spans="1:7" x14ac:dyDescent="0.2">
      <c r="A12">
        <v>2016</v>
      </c>
      <c r="B12" s="1" t="s">
        <v>20</v>
      </c>
      <c r="C12" s="1" t="s">
        <v>21</v>
      </c>
      <c r="D12" s="22"/>
      <c r="E12" s="20">
        <f t="shared" si="0"/>
        <v>0</v>
      </c>
      <c r="F12">
        <f t="shared" si="1"/>
        <v>0</v>
      </c>
      <c r="G12" s="23">
        <f t="shared" si="2"/>
        <v>0</v>
      </c>
    </row>
    <row r="13" spans="1:7" x14ac:dyDescent="0.2">
      <c r="A13">
        <v>2016</v>
      </c>
      <c r="B13" s="1" t="s">
        <v>22</v>
      </c>
      <c r="C13" s="1" t="s">
        <v>23</v>
      </c>
      <c r="D13" s="22"/>
      <c r="E13" s="20">
        <f t="shared" si="0"/>
        <v>0</v>
      </c>
      <c r="F13">
        <f t="shared" si="1"/>
        <v>0</v>
      </c>
      <c r="G13" s="23">
        <f t="shared" si="2"/>
        <v>0</v>
      </c>
    </row>
    <row r="14" spans="1:7" x14ac:dyDescent="0.2">
      <c r="A14">
        <v>2016</v>
      </c>
      <c r="B14" s="1" t="s">
        <v>24</v>
      </c>
      <c r="C14" s="1" t="s">
        <v>25</v>
      </c>
      <c r="D14" s="22"/>
      <c r="E14" s="20">
        <f t="shared" si="0"/>
        <v>0</v>
      </c>
      <c r="F14">
        <f t="shared" si="1"/>
        <v>0</v>
      </c>
      <c r="G14" s="23">
        <f t="shared" si="2"/>
        <v>0</v>
      </c>
    </row>
    <row r="15" spans="1:7" x14ac:dyDescent="0.2">
      <c r="A15">
        <v>2016</v>
      </c>
      <c r="B15" s="1" t="s">
        <v>26</v>
      </c>
      <c r="C15" s="1" t="s">
        <v>27</v>
      </c>
      <c r="D15" s="22"/>
      <c r="E15" s="20">
        <f t="shared" si="0"/>
        <v>0</v>
      </c>
      <c r="F15">
        <f t="shared" si="1"/>
        <v>0</v>
      </c>
      <c r="G15" s="23">
        <f t="shared" si="2"/>
        <v>0</v>
      </c>
    </row>
    <row r="16" spans="1:7" x14ac:dyDescent="0.2">
      <c r="A16">
        <v>2016</v>
      </c>
      <c r="B16" s="1" t="s">
        <v>28</v>
      </c>
      <c r="C16" s="1" t="s">
        <v>29</v>
      </c>
      <c r="D16" s="22"/>
      <c r="E16" s="20">
        <f t="shared" si="0"/>
        <v>0</v>
      </c>
      <c r="F16">
        <f t="shared" si="1"/>
        <v>0</v>
      </c>
      <c r="G16" s="23">
        <f t="shared" si="2"/>
        <v>0</v>
      </c>
    </row>
    <row r="17" spans="1:7" x14ac:dyDescent="0.2">
      <c r="A17">
        <v>2016</v>
      </c>
      <c r="B17" s="1" t="s">
        <v>30</v>
      </c>
      <c r="C17" s="1" t="s">
        <v>31</v>
      </c>
      <c r="D17" s="22"/>
      <c r="E17" s="20">
        <f t="shared" si="0"/>
        <v>0</v>
      </c>
      <c r="F17">
        <f t="shared" si="1"/>
        <v>0</v>
      </c>
      <c r="G17" s="23">
        <f t="shared" si="2"/>
        <v>0</v>
      </c>
    </row>
    <row r="18" spans="1:7" x14ac:dyDescent="0.2">
      <c r="A18">
        <v>2016</v>
      </c>
      <c r="B18" s="1" t="s">
        <v>32</v>
      </c>
      <c r="C18" s="1" t="s">
        <v>33</v>
      </c>
      <c r="D18" s="22">
        <v>6230</v>
      </c>
      <c r="E18" s="20">
        <f t="shared" si="0"/>
        <v>1.0556724006227621E-3</v>
      </c>
      <c r="F18">
        <f t="shared" si="1"/>
        <v>118398.67206240092</v>
      </c>
      <c r="G18" s="23">
        <f t="shared" si="2"/>
        <v>124628.67206240092</v>
      </c>
    </row>
    <row r="19" spans="1:7" x14ac:dyDescent="0.2">
      <c r="A19">
        <v>2016</v>
      </c>
      <c r="B19" s="1" t="s">
        <v>485</v>
      </c>
      <c r="C19" s="1" t="s">
        <v>486</v>
      </c>
      <c r="D19" s="22">
        <v>1506</v>
      </c>
      <c r="E19" s="20">
        <f t="shared" si="0"/>
        <v>2.5519143424364038E-4</v>
      </c>
      <c r="F19">
        <f t="shared" si="1"/>
        <v>28620.930999354059</v>
      </c>
      <c r="G19" s="23">
        <f t="shared" si="2"/>
        <v>30126.930999354059</v>
      </c>
    </row>
    <row r="20" spans="1:7" x14ac:dyDescent="0.2">
      <c r="A20">
        <v>2016</v>
      </c>
      <c r="B20" s="1" t="s">
        <v>34</v>
      </c>
      <c r="C20" s="1" t="s">
        <v>35</v>
      </c>
      <c r="D20" s="22">
        <v>6038</v>
      </c>
      <c r="E20" s="20">
        <f t="shared" si="0"/>
        <v>1.0231380345040509E-3</v>
      </c>
      <c r="F20">
        <f t="shared" si="1"/>
        <v>114749.78842901714</v>
      </c>
      <c r="G20" s="23">
        <f t="shared" si="2"/>
        <v>120787.78842901714</v>
      </c>
    </row>
    <row r="21" spans="1:7" x14ac:dyDescent="0.2">
      <c r="A21">
        <v>2016</v>
      </c>
      <c r="B21" s="1" t="s">
        <v>36</v>
      </c>
      <c r="C21" s="1" t="s">
        <v>37</v>
      </c>
      <c r="D21" s="22">
        <v>149677</v>
      </c>
      <c r="E21" s="20">
        <f t="shared" si="0"/>
        <v>2.5362741237241276E-2</v>
      </c>
      <c r="F21">
        <f t="shared" si="1"/>
        <v>2844551.8520520036</v>
      </c>
      <c r="G21" s="23">
        <f t="shared" si="2"/>
        <v>2994228.8520520036</v>
      </c>
    </row>
    <row r="22" spans="1:7" x14ac:dyDescent="0.2">
      <c r="A22">
        <v>2016</v>
      </c>
      <c r="B22" s="1" t="s">
        <v>38</v>
      </c>
      <c r="C22" s="1" t="s">
        <v>39</v>
      </c>
      <c r="D22" s="22">
        <v>120746</v>
      </c>
      <c r="E22" s="20">
        <f t="shared" si="0"/>
        <v>2.0460388392551529E-2</v>
      </c>
      <c r="F22">
        <f t="shared" si="1"/>
        <v>2294729.7041487419</v>
      </c>
      <c r="G22" s="23">
        <f t="shared" si="2"/>
        <v>2415475.7041487419</v>
      </c>
    </row>
    <row r="23" spans="1:7" x14ac:dyDescent="0.2">
      <c r="A23">
        <v>2016</v>
      </c>
      <c r="B23" s="1" t="s">
        <v>40</v>
      </c>
      <c r="C23" s="1" t="s">
        <v>41</v>
      </c>
      <c r="D23" s="22">
        <v>141709</v>
      </c>
      <c r="E23" s="20">
        <f t="shared" si="0"/>
        <v>2.4012565043314765E-2</v>
      </c>
      <c r="F23">
        <f t="shared" si="1"/>
        <v>2693123.1812665765</v>
      </c>
      <c r="G23" s="23">
        <f t="shared" si="2"/>
        <v>2834832.1812665765</v>
      </c>
    </row>
    <row r="24" spans="1:7" x14ac:dyDescent="0.2">
      <c r="A24">
        <v>2016</v>
      </c>
      <c r="B24" s="1" t="s">
        <v>42</v>
      </c>
      <c r="C24" s="1" t="s">
        <v>43</v>
      </c>
      <c r="D24" s="22">
        <v>113337</v>
      </c>
      <c r="E24" s="20">
        <f t="shared" si="0"/>
        <v>1.9204934649981055E-2</v>
      </c>
      <c r="F24">
        <f t="shared" si="1"/>
        <v>2153924.6060250932</v>
      </c>
      <c r="G24" s="23">
        <f t="shared" si="2"/>
        <v>2267261.6060250932</v>
      </c>
    </row>
    <row r="25" spans="1:7" x14ac:dyDescent="0.2">
      <c r="A25">
        <v>2016</v>
      </c>
      <c r="B25" s="1" t="s">
        <v>44</v>
      </c>
      <c r="C25" s="1" t="s">
        <v>45</v>
      </c>
      <c r="D25" s="22">
        <v>11388</v>
      </c>
      <c r="E25" s="20">
        <f t="shared" si="0"/>
        <v>1.9296945904160535E-3</v>
      </c>
      <c r="F25">
        <f t="shared" si="1"/>
        <v>216424.41050507571</v>
      </c>
      <c r="G25" s="23">
        <f t="shared" si="2"/>
        <v>227812.41050507571</v>
      </c>
    </row>
    <row r="26" spans="1:7" x14ac:dyDescent="0.2">
      <c r="A26">
        <v>2016</v>
      </c>
      <c r="B26" s="1" t="s">
        <v>46</v>
      </c>
      <c r="C26" s="1" t="s">
        <v>47</v>
      </c>
      <c r="D26" s="22">
        <v>52062</v>
      </c>
      <c r="E26" s="20">
        <f t="shared" si="0"/>
        <v>8.8218967128767638E-3</v>
      </c>
      <c r="F26">
        <f t="shared" si="1"/>
        <v>989417.60271472181</v>
      </c>
      <c r="G26" s="23">
        <f t="shared" si="2"/>
        <v>1041479.6027147218</v>
      </c>
    </row>
    <row r="27" spans="1:7" x14ac:dyDescent="0.2">
      <c r="A27">
        <v>2016</v>
      </c>
      <c r="B27" s="1" t="s">
        <v>48</v>
      </c>
      <c r="C27" s="1" t="s">
        <v>49</v>
      </c>
      <c r="D27" s="22">
        <v>17726</v>
      </c>
      <c r="E27" s="20">
        <f t="shared" si="0"/>
        <v>3.0036675719805907E-3</v>
      </c>
      <c r="F27">
        <f t="shared" si="1"/>
        <v>336875.57961125503</v>
      </c>
      <c r="G27" s="23">
        <f t="shared" si="2"/>
        <v>354601.57961125503</v>
      </c>
    </row>
    <row r="28" spans="1:7" x14ac:dyDescent="0.2">
      <c r="A28">
        <v>2016</v>
      </c>
      <c r="B28" s="1" t="s">
        <v>50</v>
      </c>
      <c r="C28" s="1" t="s">
        <v>51</v>
      </c>
      <c r="D28" s="22">
        <v>1082</v>
      </c>
      <c r="E28" s="20">
        <f t="shared" si="0"/>
        <v>1.8334470906481999E-4</v>
      </c>
      <c r="F28">
        <f t="shared" si="1"/>
        <v>20562.9796422982</v>
      </c>
      <c r="G28" s="23">
        <f t="shared" si="2"/>
        <v>21644.9796422982</v>
      </c>
    </row>
    <row r="29" spans="1:7" x14ac:dyDescent="0.2">
      <c r="A29">
        <v>2016</v>
      </c>
      <c r="B29" s="1" t="s">
        <v>52</v>
      </c>
      <c r="C29" s="1" t="s">
        <v>53</v>
      </c>
      <c r="D29" s="22">
        <v>14382</v>
      </c>
      <c r="E29" s="20">
        <f t="shared" si="0"/>
        <v>2.4370273620797052E-3</v>
      </c>
      <c r="F29">
        <f t="shared" si="1"/>
        <v>273324.18966315407</v>
      </c>
      <c r="G29" s="23">
        <f t="shared" si="2"/>
        <v>287706.18966315407</v>
      </c>
    </row>
    <row r="30" spans="1:7" x14ac:dyDescent="0.2">
      <c r="A30">
        <v>2016</v>
      </c>
      <c r="B30" s="1" t="s">
        <v>54</v>
      </c>
      <c r="C30" s="1" t="s">
        <v>55</v>
      </c>
      <c r="D30" s="22"/>
      <c r="E30" s="20">
        <f t="shared" si="0"/>
        <v>0</v>
      </c>
      <c r="F30">
        <f t="shared" si="1"/>
        <v>0</v>
      </c>
      <c r="G30" s="23">
        <f t="shared" si="2"/>
        <v>0</v>
      </c>
    </row>
    <row r="31" spans="1:7" x14ac:dyDescent="0.2">
      <c r="A31">
        <v>2016</v>
      </c>
      <c r="B31" s="1" t="s">
        <v>56</v>
      </c>
      <c r="C31" s="1" t="s">
        <v>57</v>
      </c>
      <c r="D31" s="22">
        <v>3679</v>
      </c>
      <c r="E31" s="20">
        <f t="shared" si="0"/>
        <v>6.234059007850949E-4</v>
      </c>
      <c r="F31">
        <f t="shared" si="1"/>
        <v>69917.931704265327</v>
      </c>
      <c r="G31" s="23">
        <f t="shared" si="2"/>
        <v>73596.931704265327</v>
      </c>
    </row>
    <row r="32" spans="1:7" x14ac:dyDescent="0.2">
      <c r="A32">
        <v>2016</v>
      </c>
      <c r="B32" s="1" t="s">
        <v>58</v>
      </c>
      <c r="C32" s="1" t="s">
        <v>59</v>
      </c>
      <c r="D32" s="22">
        <v>4241</v>
      </c>
      <c r="E32" s="20">
        <f t="shared" si="0"/>
        <v>7.186367016117389E-4</v>
      </c>
      <c r="F32">
        <f t="shared" si="1"/>
        <v>80598.518172815777</v>
      </c>
      <c r="G32" s="23">
        <f t="shared" si="2"/>
        <v>84839.518172815777</v>
      </c>
    </row>
    <row r="33" spans="1:7" x14ac:dyDescent="0.2">
      <c r="A33">
        <v>2016</v>
      </c>
      <c r="B33" s="1" t="s">
        <v>60</v>
      </c>
      <c r="C33" s="1" t="s">
        <v>61</v>
      </c>
      <c r="D33" s="22"/>
      <c r="E33" s="20">
        <f t="shared" si="0"/>
        <v>0</v>
      </c>
      <c r="F33">
        <f t="shared" si="1"/>
        <v>0</v>
      </c>
      <c r="G33" s="23">
        <f t="shared" si="2"/>
        <v>0</v>
      </c>
    </row>
    <row r="34" spans="1:7" x14ac:dyDescent="0.2">
      <c r="A34">
        <v>2016</v>
      </c>
      <c r="B34" s="1" t="s">
        <v>62</v>
      </c>
      <c r="C34" s="1" t="s">
        <v>63</v>
      </c>
      <c r="D34" s="22">
        <v>37977</v>
      </c>
      <c r="E34" s="20">
        <f t="shared" si="0"/>
        <v>6.4351959483869396E-3</v>
      </c>
      <c r="F34">
        <f t="shared" si="1"/>
        <v>721737.77992195822</v>
      </c>
      <c r="G34" s="23">
        <f t="shared" si="2"/>
        <v>759714.77992195822</v>
      </c>
    </row>
    <row r="35" spans="1:7" x14ac:dyDescent="0.2">
      <c r="A35">
        <v>2016</v>
      </c>
      <c r="B35" s="1" t="s">
        <v>64</v>
      </c>
      <c r="C35" s="1" t="s">
        <v>65</v>
      </c>
      <c r="D35" s="22">
        <v>9934</v>
      </c>
      <c r="E35" s="20">
        <f t="shared" si="0"/>
        <v>1.6833145469962309E-3</v>
      </c>
      <c r="F35">
        <f t="shared" si="1"/>
        <v>188791.71882309642</v>
      </c>
      <c r="G35" s="23">
        <f t="shared" si="2"/>
        <v>198725.71882309642</v>
      </c>
    </row>
    <row r="36" spans="1:7" x14ac:dyDescent="0.2">
      <c r="A36">
        <v>2016</v>
      </c>
      <c r="B36" s="1" t="s">
        <v>66</v>
      </c>
      <c r="C36" s="1" t="s">
        <v>67</v>
      </c>
      <c r="D36" s="22">
        <v>3827</v>
      </c>
      <c r="E36" s="20">
        <f t="shared" si="0"/>
        <v>6.4848447466826808E-4</v>
      </c>
      <c r="F36">
        <f t="shared" si="1"/>
        <v>72730.612838331988</v>
      </c>
      <c r="G36" s="23">
        <f t="shared" si="2"/>
        <v>76557.612838331988</v>
      </c>
    </row>
    <row r="37" spans="1:7" x14ac:dyDescent="0.2">
      <c r="A37">
        <v>2016</v>
      </c>
      <c r="B37" s="1" t="s">
        <v>68</v>
      </c>
      <c r="C37" s="1" t="s">
        <v>69</v>
      </c>
      <c r="D37" s="22">
        <v>6047</v>
      </c>
      <c r="E37" s="20">
        <f t="shared" si="0"/>
        <v>1.0246630829158655E-3</v>
      </c>
      <c r="F37">
        <f t="shared" si="1"/>
        <v>114920.82984933199</v>
      </c>
      <c r="G37" s="23">
        <f t="shared" si="2"/>
        <v>120967.82984933199</v>
      </c>
    </row>
    <row r="38" spans="1:7" x14ac:dyDescent="0.2">
      <c r="A38">
        <v>2016</v>
      </c>
      <c r="B38" s="1" t="s">
        <v>70</v>
      </c>
      <c r="C38" s="1" t="s">
        <v>71</v>
      </c>
      <c r="D38" s="22">
        <v>2276</v>
      </c>
      <c r="E38" s="20">
        <f t="shared" si="0"/>
        <v>3.8566779836555478E-4</v>
      </c>
      <c r="F38">
        <f t="shared" si="1"/>
        <v>43254.474737403609</v>
      </c>
      <c r="G38" s="23">
        <f t="shared" si="2"/>
        <v>45530.474737403609</v>
      </c>
    </row>
    <row r="39" spans="1:7" x14ac:dyDescent="0.2">
      <c r="A39">
        <v>2016</v>
      </c>
      <c r="B39" s="1" t="s">
        <v>72</v>
      </c>
      <c r="C39" s="1" t="s">
        <v>73</v>
      </c>
      <c r="D39" s="22">
        <v>6722</v>
      </c>
      <c r="E39" s="20">
        <f t="shared" si="0"/>
        <v>1.1390417138019593E-3</v>
      </c>
      <c r="F39">
        <f t="shared" si="1"/>
        <v>127748.93637294688</v>
      </c>
      <c r="G39" s="23">
        <f t="shared" si="2"/>
        <v>134470.93637294689</v>
      </c>
    </row>
    <row r="40" spans="1:7" x14ac:dyDescent="0.2">
      <c r="A40">
        <v>2016</v>
      </c>
      <c r="B40" s="1" t="s">
        <v>74</v>
      </c>
      <c r="C40" s="1" t="s">
        <v>75</v>
      </c>
      <c r="D40" s="22">
        <v>41508</v>
      </c>
      <c r="E40" s="20">
        <f t="shared" si="0"/>
        <v>7.033523275288861E-3</v>
      </c>
      <c r="F40">
        <f t="shared" si="1"/>
        <v>788843.03049215686</v>
      </c>
      <c r="G40" s="23">
        <f t="shared" si="2"/>
        <v>830351.03049215686</v>
      </c>
    </row>
    <row r="41" spans="1:7" x14ac:dyDescent="0.2">
      <c r="A41">
        <v>2016</v>
      </c>
      <c r="B41" s="1" t="s">
        <v>76</v>
      </c>
      <c r="C41" s="1" t="s">
        <v>77</v>
      </c>
      <c r="D41" s="22">
        <v>5852</v>
      </c>
      <c r="E41" s="20">
        <f t="shared" si="0"/>
        <v>9.9162036732654952E-4</v>
      </c>
      <c r="F41">
        <f t="shared" si="1"/>
        <v>111214.93240917659</v>
      </c>
      <c r="G41" s="23">
        <f t="shared" si="2"/>
        <v>117066.93240917659</v>
      </c>
    </row>
    <row r="42" spans="1:7" x14ac:dyDescent="0.2">
      <c r="A42">
        <v>2016</v>
      </c>
      <c r="B42" s="1" t="s">
        <v>78</v>
      </c>
      <c r="C42" s="1" t="s">
        <v>79</v>
      </c>
      <c r="D42" s="22">
        <v>18044</v>
      </c>
      <c r="E42" s="20">
        <f t="shared" si="0"/>
        <v>3.0575526158647059E-3</v>
      </c>
      <c r="F42">
        <f t="shared" si="1"/>
        <v>342919.04312904691</v>
      </c>
      <c r="G42" s="23">
        <f t="shared" si="2"/>
        <v>360963.04312904691</v>
      </c>
    </row>
    <row r="43" spans="1:7" x14ac:dyDescent="0.2">
      <c r="A43">
        <v>2016</v>
      </c>
      <c r="B43" s="1" t="s">
        <v>80</v>
      </c>
      <c r="C43" s="1" t="s">
        <v>81</v>
      </c>
      <c r="D43" s="22">
        <v>2174</v>
      </c>
      <c r="E43" s="20">
        <f t="shared" si="0"/>
        <v>3.6838391636498949E-4</v>
      </c>
      <c r="F43">
        <f t="shared" si="1"/>
        <v>41316.005307168474</v>
      </c>
      <c r="G43" s="23">
        <f t="shared" si="2"/>
        <v>43490.005307168474</v>
      </c>
    </row>
    <row r="44" spans="1:7" x14ac:dyDescent="0.2">
      <c r="A44">
        <v>2016</v>
      </c>
      <c r="B44" s="1" t="s">
        <v>82</v>
      </c>
      <c r="C44" s="1" t="s">
        <v>83</v>
      </c>
      <c r="D44" s="22">
        <v>20611</v>
      </c>
      <c r="E44" s="20">
        <f t="shared" si="0"/>
        <v>3.4925303128789322E-3</v>
      </c>
      <c r="F44">
        <f t="shared" si="1"/>
        <v>391703.85712329781</v>
      </c>
      <c r="G44" s="23">
        <f t="shared" si="2"/>
        <v>412314.85712329781</v>
      </c>
    </row>
    <row r="45" spans="1:7" x14ac:dyDescent="0.2">
      <c r="A45">
        <v>2016</v>
      </c>
      <c r="B45" s="1" t="s">
        <v>84</v>
      </c>
      <c r="C45" s="1" t="s">
        <v>85</v>
      </c>
      <c r="D45" s="22">
        <v>2100</v>
      </c>
      <c r="E45" s="20">
        <f t="shared" si="0"/>
        <v>3.558446294234029E-4</v>
      </c>
      <c r="F45">
        <f t="shared" si="1"/>
        <v>39909.664740135137</v>
      </c>
      <c r="G45" s="23">
        <f t="shared" si="2"/>
        <v>42009.664740135137</v>
      </c>
    </row>
    <row r="46" spans="1:7" x14ac:dyDescent="0.2">
      <c r="A46">
        <v>2016</v>
      </c>
      <c r="B46" s="1" t="s">
        <v>86</v>
      </c>
      <c r="C46" s="1" t="s">
        <v>87</v>
      </c>
      <c r="D46" s="22">
        <v>255720</v>
      </c>
      <c r="E46" s="20">
        <f t="shared" si="0"/>
        <v>4.3331708874358381E-2</v>
      </c>
      <c r="F46">
        <f t="shared" si="1"/>
        <v>4859856.8892130274</v>
      </c>
      <c r="G46" s="23">
        <f t="shared" si="2"/>
        <v>5115576.8892130274</v>
      </c>
    </row>
    <row r="47" spans="1:7" x14ac:dyDescent="0.2">
      <c r="A47">
        <v>2016</v>
      </c>
      <c r="B47" s="1" t="s">
        <v>88</v>
      </c>
      <c r="C47" s="1" t="s">
        <v>89</v>
      </c>
      <c r="D47" s="22">
        <v>6236</v>
      </c>
      <c r="E47" s="20">
        <f t="shared" si="0"/>
        <v>1.0566890995639716E-3</v>
      </c>
      <c r="F47">
        <f t="shared" si="1"/>
        <v>118512.69967594415</v>
      </c>
      <c r="G47" s="23">
        <f t="shared" si="2"/>
        <v>124748.69967594415</v>
      </c>
    </row>
    <row r="48" spans="1:7" x14ac:dyDescent="0.2">
      <c r="A48">
        <v>2016</v>
      </c>
      <c r="B48" s="1" t="s">
        <v>90</v>
      </c>
      <c r="C48" s="1" t="s">
        <v>91</v>
      </c>
      <c r="D48" s="22">
        <v>46395</v>
      </c>
      <c r="E48" s="20">
        <f t="shared" si="0"/>
        <v>7.8616245629041809E-3</v>
      </c>
      <c r="F48">
        <f t="shared" si="1"/>
        <v>881718.52172312851</v>
      </c>
      <c r="G48" s="23">
        <f t="shared" si="2"/>
        <v>928113.52172312851</v>
      </c>
    </row>
    <row r="49" spans="1:7" x14ac:dyDescent="0.2">
      <c r="A49">
        <v>2016</v>
      </c>
      <c r="B49" s="1" t="s">
        <v>92</v>
      </c>
      <c r="C49" s="1" t="s">
        <v>93</v>
      </c>
      <c r="D49" s="22">
        <v>581</v>
      </c>
      <c r="E49" s="20">
        <f t="shared" si="0"/>
        <v>9.8450347473808144E-5</v>
      </c>
      <c r="F49">
        <f t="shared" si="1"/>
        <v>11041.673911437389</v>
      </c>
      <c r="G49" s="23">
        <f t="shared" si="2"/>
        <v>11622.673911437389</v>
      </c>
    </row>
    <row r="50" spans="1:7" x14ac:dyDescent="0.2">
      <c r="A50">
        <v>2016</v>
      </c>
      <c r="B50" s="1" t="s">
        <v>94</v>
      </c>
      <c r="C50" s="1" t="s">
        <v>95</v>
      </c>
      <c r="D50" s="22">
        <v>16856</v>
      </c>
      <c r="E50" s="20">
        <f t="shared" si="0"/>
        <v>2.8562462255051807E-3</v>
      </c>
      <c r="F50">
        <f t="shared" si="1"/>
        <v>320341.57564748474</v>
      </c>
      <c r="G50" s="23">
        <f t="shared" si="2"/>
        <v>337197.57564748474</v>
      </c>
    </row>
    <row r="51" spans="1:7" x14ac:dyDescent="0.2">
      <c r="A51">
        <v>2016</v>
      </c>
      <c r="B51" s="1" t="s">
        <v>96</v>
      </c>
      <c r="C51" s="1" t="s">
        <v>97</v>
      </c>
      <c r="D51" s="22">
        <v>7182</v>
      </c>
      <c r="E51" s="20">
        <f t="shared" si="0"/>
        <v>1.2169886326280381E-3</v>
      </c>
      <c r="F51">
        <f t="shared" si="1"/>
        <v>136491.0534112622</v>
      </c>
      <c r="G51" s="23">
        <f t="shared" si="2"/>
        <v>143673.0534112622</v>
      </c>
    </row>
    <row r="52" spans="1:7" x14ac:dyDescent="0.2">
      <c r="A52">
        <v>2016</v>
      </c>
      <c r="B52" s="1" t="s">
        <v>487</v>
      </c>
      <c r="C52" s="1" t="s">
        <v>98</v>
      </c>
      <c r="D52" s="22">
        <v>9292</v>
      </c>
      <c r="E52" s="20">
        <f t="shared" si="0"/>
        <v>1.5745277602867904E-3</v>
      </c>
      <c r="F52">
        <f t="shared" si="1"/>
        <v>176590.76417396939</v>
      </c>
      <c r="G52" s="23">
        <f t="shared" si="2"/>
        <v>185882.76417396939</v>
      </c>
    </row>
    <row r="53" spans="1:7" x14ac:dyDescent="0.2">
      <c r="A53">
        <v>2016</v>
      </c>
      <c r="B53" s="1" t="s">
        <v>488</v>
      </c>
      <c r="C53" s="1" t="s">
        <v>99</v>
      </c>
      <c r="D53" s="22">
        <v>42155</v>
      </c>
      <c r="E53" s="20">
        <f t="shared" si="0"/>
        <v>7.1431573111159765E-3</v>
      </c>
      <c r="F53">
        <f t="shared" si="1"/>
        <v>801139.00815256999</v>
      </c>
      <c r="G53" s="23">
        <f t="shared" si="2"/>
        <v>843294.00815256999</v>
      </c>
    </row>
    <row r="54" spans="1:7" x14ac:dyDescent="0.2">
      <c r="A54">
        <v>2016</v>
      </c>
      <c r="B54" s="1" t="s">
        <v>489</v>
      </c>
      <c r="C54" s="1" t="s">
        <v>100</v>
      </c>
      <c r="D54" s="22"/>
      <c r="E54" s="20">
        <f t="shared" si="0"/>
        <v>0</v>
      </c>
      <c r="F54">
        <f t="shared" si="1"/>
        <v>0</v>
      </c>
      <c r="G54" s="23">
        <f t="shared" si="2"/>
        <v>0</v>
      </c>
    </row>
    <row r="55" spans="1:7" x14ac:dyDescent="0.2">
      <c r="A55">
        <v>2016</v>
      </c>
      <c r="B55" s="1" t="s">
        <v>490</v>
      </c>
      <c r="C55" s="1" t="s">
        <v>491</v>
      </c>
      <c r="D55" s="22">
        <v>1097</v>
      </c>
      <c r="E55" s="20">
        <f t="shared" si="0"/>
        <v>1.8588645641784429E-4</v>
      </c>
      <c r="F55">
        <f t="shared" si="1"/>
        <v>20848.048676156308</v>
      </c>
      <c r="G55" s="23">
        <f t="shared" si="2"/>
        <v>21945.048676156308</v>
      </c>
    </row>
    <row r="56" spans="1:7" x14ac:dyDescent="0.2">
      <c r="A56">
        <v>2016</v>
      </c>
      <c r="B56" s="1" t="s">
        <v>492</v>
      </c>
      <c r="C56" s="1" t="s">
        <v>101</v>
      </c>
      <c r="D56" s="22">
        <v>2120</v>
      </c>
      <c r="E56" s="20">
        <f t="shared" si="0"/>
        <v>3.5923362589410199E-4</v>
      </c>
      <c r="F56">
        <f t="shared" si="1"/>
        <v>40289.756785279285</v>
      </c>
      <c r="G56" s="23">
        <f t="shared" si="2"/>
        <v>42409.756785279285</v>
      </c>
    </row>
    <row r="57" spans="1:7" x14ac:dyDescent="0.2">
      <c r="A57">
        <v>2016</v>
      </c>
      <c r="B57" s="1" t="s">
        <v>493</v>
      </c>
      <c r="C57" s="1" t="s">
        <v>102</v>
      </c>
      <c r="D57" s="22">
        <v>353568</v>
      </c>
      <c r="E57" s="20">
        <f t="shared" si="0"/>
        <v>5.9912035207606532E-2</v>
      </c>
      <c r="F57">
        <f t="shared" si="1"/>
        <v>6719419.2108762385</v>
      </c>
      <c r="G57" s="23">
        <f t="shared" si="2"/>
        <v>7072987.2108762385</v>
      </c>
    </row>
    <row r="58" spans="1:7" x14ac:dyDescent="0.2">
      <c r="A58">
        <v>2016</v>
      </c>
      <c r="B58" s="1" t="s">
        <v>494</v>
      </c>
      <c r="C58" s="1" t="s">
        <v>103</v>
      </c>
      <c r="D58" s="22">
        <v>44486</v>
      </c>
      <c r="E58" s="20">
        <f t="shared" si="0"/>
        <v>7.5381448497759537E-3</v>
      </c>
      <c r="F58">
        <f t="shared" si="1"/>
        <v>845438.73601411993</v>
      </c>
      <c r="G58" s="23">
        <f t="shared" si="2"/>
        <v>889924.73601411993</v>
      </c>
    </row>
    <row r="59" spans="1:7" x14ac:dyDescent="0.2">
      <c r="A59">
        <v>2016</v>
      </c>
      <c r="B59" s="1" t="s">
        <v>495</v>
      </c>
      <c r="C59" s="1" t="s">
        <v>104</v>
      </c>
      <c r="D59" s="22">
        <v>150079</v>
      </c>
      <c r="E59" s="20">
        <f t="shared" si="0"/>
        <v>2.5430860066302328E-2</v>
      </c>
      <c r="F59">
        <f t="shared" si="1"/>
        <v>2852191.702159401</v>
      </c>
      <c r="G59" s="23">
        <f t="shared" si="2"/>
        <v>3002270.702159401</v>
      </c>
    </row>
    <row r="60" spans="1:7" x14ac:dyDescent="0.2">
      <c r="A60">
        <v>2016</v>
      </c>
      <c r="B60" s="1" t="s">
        <v>496</v>
      </c>
      <c r="C60" s="1" t="s">
        <v>105</v>
      </c>
      <c r="D60" s="22">
        <v>41719</v>
      </c>
      <c r="E60" s="20">
        <f t="shared" si="0"/>
        <v>7.0692771880547364E-3</v>
      </c>
      <c r="F60">
        <f t="shared" si="1"/>
        <v>792853.00156842754</v>
      </c>
      <c r="G60" s="23">
        <f t="shared" si="2"/>
        <v>834572.00156842754</v>
      </c>
    </row>
    <row r="61" spans="1:7" x14ac:dyDescent="0.2">
      <c r="A61">
        <v>2016</v>
      </c>
      <c r="B61" s="1" t="s">
        <v>497</v>
      </c>
      <c r="C61" s="1" t="s">
        <v>106</v>
      </c>
      <c r="D61" s="22">
        <v>113317</v>
      </c>
      <c r="E61" s="20">
        <f t="shared" si="0"/>
        <v>1.9201545653510357E-2</v>
      </c>
      <c r="F61">
        <f t="shared" si="1"/>
        <v>2153544.5139799495</v>
      </c>
      <c r="G61" s="23">
        <f t="shared" si="2"/>
        <v>2266861.5139799495</v>
      </c>
    </row>
    <row r="62" spans="1:7" x14ac:dyDescent="0.2">
      <c r="A62">
        <v>2016</v>
      </c>
      <c r="B62" s="1" t="s">
        <v>498</v>
      </c>
      <c r="C62" s="1" t="s">
        <v>499</v>
      </c>
      <c r="D62" s="22">
        <v>5825</v>
      </c>
      <c r="E62" s="20">
        <f t="shared" si="0"/>
        <v>9.8704522209110569E-4</v>
      </c>
      <c r="F62">
        <f t="shared" si="1"/>
        <v>110701.808148232</v>
      </c>
      <c r="G62" s="23">
        <f t="shared" si="2"/>
        <v>116526.808148232</v>
      </c>
    </row>
    <row r="63" spans="1:7" x14ac:dyDescent="0.2">
      <c r="A63">
        <v>2016</v>
      </c>
      <c r="B63" s="1" t="s">
        <v>107</v>
      </c>
      <c r="C63" s="1" t="s">
        <v>108</v>
      </c>
      <c r="D63" s="22">
        <v>1938</v>
      </c>
      <c r="E63" s="20">
        <f t="shared" si="0"/>
        <v>3.283937580107404E-4</v>
      </c>
      <c r="F63">
        <f t="shared" si="1"/>
        <v>36830.91917446757</v>
      </c>
      <c r="G63" s="23">
        <f t="shared" si="2"/>
        <v>38768.91917446757</v>
      </c>
    </row>
    <row r="64" spans="1:7" x14ac:dyDescent="0.2">
      <c r="A64">
        <v>2016</v>
      </c>
      <c r="B64" s="1" t="s">
        <v>500</v>
      </c>
      <c r="C64" s="1" t="s">
        <v>501</v>
      </c>
      <c r="D64" s="22">
        <v>12609</v>
      </c>
      <c r="E64" s="20">
        <f t="shared" si="0"/>
        <v>2.1365928249522321E-3</v>
      </c>
      <c r="F64">
        <f t="shared" si="1"/>
        <v>239629.02986112569</v>
      </c>
      <c r="G64" s="23">
        <f t="shared" si="2"/>
        <v>252238.02986112569</v>
      </c>
    </row>
    <row r="65" spans="1:7" x14ac:dyDescent="0.2">
      <c r="A65">
        <v>2016</v>
      </c>
      <c r="B65" s="1" t="s">
        <v>109</v>
      </c>
      <c r="C65" s="1" t="s">
        <v>110</v>
      </c>
      <c r="D65" s="22">
        <v>116239</v>
      </c>
      <c r="E65" s="20">
        <f t="shared" si="0"/>
        <v>1.969667803787949E-2</v>
      </c>
      <c r="F65">
        <f t="shared" si="1"/>
        <v>2209075.9617755087</v>
      </c>
      <c r="G65" s="23">
        <f t="shared" si="2"/>
        <v>2325314.9617755087</v>
      </c>
    </row>
    <row r="66" spans="1:7" x14ac:dyDescent="0.2">
      <c r="A66">
        <v>2016</v>
      </c>
      <c r="B66" s="1" t="s">
        <v>502</v>
      </c>
      <c r="C66" s="1" t="s">
        <v>111</v>
      </c>
      <c r="D66" s="22">
        <v>10530</v>
      </c>
      <c r="E66" s="20">
        <f t="shared" si="0"/>
        <v>1.7843066418230633E-3</v>
      </c>
      <c r="F66">
        <f t="shared" si="1"/>
        <v>200118.46176839192</v>
      </c>
      <c r="G66" s="23">
        <f t="shared" si="2"/>
        <v>210648.46176839192</v>
      </c>
    </row>
    <row r="67" spans="1:7" x14ac:dyDescent="0.2">
      <c r="A67">
        <v>2016</v>
      </c>
      <c r="B67" s="1" t="s">
        <v>503</v>
      </c>
      <c r="C67" s="1" t="s">
        <v>112</v>
      </c>
      <c r="D67" s="22">
        <v>32784</v>
      </c>
      <c r="E67" s="20">
        <f t="shared" ref="E67:E130" si="3">D67/$D$248</f>
        <v>5.5552430147699245E-3</v>
      </c>
      <c r="F67">
        <f t="shared" ref="F67:F130" si="4">E67*$D$250</f>
        <v>623046.88040028117</v>
      </c>
      <c r="G67" s="23">
        <f t="shared" ref="G67:G130" si="5">SUM(D67,F67)</f>
        <v>655830.88040028117</v>
      </c>
    </row>
    <row r="68" spans="1:7" x14ac:dyDescent="0.2">
      <c r="A68">
        <v>2016</v>
      </c>
      <c r="B68" s="1" t="s">
        <v>504</v>
      </c>
      <c r="C68" s="1" t="s">
        <v>113</v>
      </c>
      <c r="D68" s="22">
        <v>10039</v>
      </c>
      <c r="E68" s="20">
        <f t="shared" si="3"/>
        <v>1.701106778467401E-3</v>
      </c>
      <c r="F68">
        <f t="shared" si="4"/>
        <v>190787.20206010318</v>
      </c>
      <c r="G68" s="23">
        <f t="shared" si="5"/>
        <v>200826.20206010318</v>
      </c>
    </row>
    <row r="69" spans="1:7" x14ac:dyDescent="0.2">
      <c r="A69">
        <v>2016</v>
      </c>
      <c r="B69" s="1" t="s">
        <v>114</v>
      </c>
      <c r="C69" s="1" t="s">
        <v>115</v>
      </c>
      <c r="D69" s="22">
        <v>16729</v>
      </c>
      <c r="E69" s="20">
        <f t="shared" si="3"/>
        <v>2.8347260979162416E-3</v>
      </c>
      <c r="F69">
        <f t="shared" si="4"/>
        <v>317927.99116081942</v>
      </c>
      <c r="G69" s="23">
        <f t="shared" si="5"/>
        <v>334656.99116081942</v>
      </c>
    </row>
    <row r="70" spans="1:7" x14ac:dyDescent="0.2">
      <c r="A70">
        <v>2016</v>
      </c>
      <c r="B70" s="1" t="s">
        <v>505</v>
      </c>
      <c r="C70" s="1" t="s">
        <v>116</v>
      </c>
      <c r="D70" s="22">
        <v>43141</v>
      </c>
      <c r="E70" s="20">
        <f t="shared" si="3"/>
        <v>7.3102348371214404E-3</v>
      </c>
      <c r="F70">
        <f t="shared" si="4"/>
        <v>819877.54597817617</v>
      </c>
      <c r="G70" s="23">
        <f t="shared" si="5"/>
        <v>863018.54597817617</v>
      </c>
    </row>
    <row r="71" spans="1:7" x14ac:dyDescent="0.2">
      <c r="A71">
        <v>2016</v>
      </c>
      <c r="B71" s="1" t="s">
        <v>506</v>
      </c>
      <c r="C71" s="1" t="s">
        <v>117</v>
      </c>
      <c r="D71" s="22">
        <v>75983</v>
      </c>
      <c r="E71" s="20">
        <f t="shared" si="3"/>
        <v>1.2875305941656392E-2</v>
      </c>
      <c r="F71">
        <f t="shared" si="4"/>
        <v>1444026.6933093753</v>
      </c>
      <c r="G71" s="23">
        <f t="shared" si="5"/>
        <v>1520009.6933093753</v>
      </c>
    </row>
    <row r="72" spans="1:7" x14ac:dyDescent="0.2">
      <c r="A72">
        <v>2016</v>
      </c>
      <c r="B72" s="1" t="s">
        <v>118</v>
      </c>
      <c r="C72" s="1" t="s">
        <v>119</v>
      </c>
      <c r="D72" s="22">
        <v>27039</v>
      </c>
      <c r="E72" s="20">
        <f t="shared" si="3"/>
        <v>4.5817537785616154E-3</v>
      </c>
      <c r="F72">
        <f t="shared" si="4"/>
        <v>513865.44043262576</v>
      </c>
      <c r="G72" s="23">
        <f t="shared" si="5"/>
        <v>540904.44043262582</v>
      </c>
    </row>
    <row r="73" spans="1:7" x14ac:dyDescent="0.2">
      <c r="A73">
        <v>2016</v>
      </c>
      <c r="B73" s="1" t="s">
        <v>507</v>
      </c>
      <c r="C73" s="1" t="s">
        <v>120</v>
      </c>
      <c r="D73" s="22">
        <v>46016</v>
      </c>
      <c r="E73" s="20">
        <f t="shared" si="3"/>
        <v>7.797403079784433E-3</v>
      </c>
      <c r="F73">
        <f t="shared" si="4"/>
        <v>874515.77746764699</v>
      </c>
      <c r="G73" s="23">
        <f t="shared" si="5"/>
        <v>920531.77746764699</v>
      </c>
    </row>
    <row r="74" spans="1:7" x14ac:dyDescent="0.2">
      <c r="A74">
        <v>2016</v>
      </c>
      <c r="B74" s="1" t="s">
        <v>121</v>
      </c>
      <c r="C74" s="1" t="s">
        <v>122</v>
      </c>
      <c r="D74" s="22"/>
      <c r="E74" s="20">
        <f t="shared" si="3"/>
        <v>0</v>
      </c>
      <c r="F74">
        <f t="shared" si="4"/>
        <v>0</v>
      </c>
      <c r="G74" s="23">
        <f t="shared" si="5"/>
        <v>0</v>
      </c>
    </row>
    <row r="75" spans="1:7" x14ac:dyDescent="0.2">
      <c r="A75">
        <v>2016</v>
      </c>
      <c r="B75" s="1" t="s">
        <v>123</v>
      </c>
      <c r="C75" s="1" t="s">
        <v>124</v>
      </c>
      <c r="D75" s="22">
        <v>5152</v>
      </c>
      <c r="E75" s="20">
        <f t="shared" si="3"/>
        <v>8.7300549085208179E-4</v>
      </c>
      <c r="F75">
        <f t="shared" si="4"/>
        <v>97911.710829131538</v>
      </c>
      <c r="G75" s="23">
        <f t="shared" si="5"/>
        <v>103063.71082913154</v>
      </c>
    </row>
    <row r="76" spans="1:7" x14ac:dyDescent="0.2">
      <c r="A76">
        <v>2016</v>
      </c>
      <c r="B76" s="1" t="s">
        <v>508</v>
      </c>
      <c r="C76" s="1" t="s">
        <v>125</v>
      </c>
      <c r="D76" s="22">
        <v>101726</v>
      </c>
      <c r="E76" s="20">
        <f t="shared" si="3"/>
        <v>1.7237452748916707E-2</v>
      </c>
      <c r="F76">
        <f t="shared" si="4"/>
        <v>1933262.1692166605</v>
      </c>
      <c r="G76" s="23">
        <f t="shared" si="5"/>
        <v>2034988.1692166605</v>
      </c>
    </row>
    <row r="77" spans="1:7" x14ac:dyDescent="0.2">
      <c r="A77">
        <v>2016</v>
      </c>
      <c r="B77" s="1" t="s">
        <v>509</v>
      </c>
      <c r="C77" s="1" t="s">
        <v>126</v>
      </c>
      <c r="D77" s="22">
        <v>46842</v>
      </c>
      <c r="E77" s="20">
        <f t="shared" si="3"/>
        <v>7.9373686340243037E-3</v>
      </c>
      <c r="F77">
        <f t="shared" si="4"/>
        <v>890213.57893209998</v>
      </c>
      <c r="G77" s="23">
        <f t="shared" si="5"/>
        <v>937055.57893209998</v>
      </c>
    </row>
    <row r="78" spans="1:7" x14ac:dyDescent="0.2">
      <c r="A78">
        <v>2016</v>
      </c>
      <c r="B78" s="1" t="s">
        <v>127</v>
      </c>
      <c r="C78" s="1" t="s">
        <v>128</v>
      </c>
      <c r="D78" s="22">
        <v>7299</v>
      </c>
      <c r="E78" s="20">
        <f t="shared" si="3"/>
        <v>1.2368142619816275E-3</v>
      </c>
      <c r="F78">
        <f t="shared" si="4"/>
        <v>138714.5918753554</v>
      </c>
      <c r="G78" s="23">
        <f t="shared" si="5"/>
        <v>146013.5918753554</v>
      </c>
    </row>
    <row r="79" spans="1:7" x14ac:dyDescent="0.2">
      <c r="A79">
        <v>2016</v>
      </c>
      <c r="B79" s="1" t="s">
        <v>129</v>
      </c>
      <c r="C79" s="1" t="s">
        <v>130</v>
      </c>
      <c r="D79" s="22">
        <v>13207</v>
      </c>
      <c r="E79" s="20">
        <f t="shared" si="3"/>
        <v>2.2379238194261343E-3</v>
      </c>
      <c r="F79">
        <f t="shared" si="4"/>
        <v>250993.7820109356</v>
      </c>
      <c r="G79" s="23">
        <f t="shared" si="5"/>
        <v>264200.7820109356</v>
      </c>
    </row>
    <row r="80" spans="1:7" x14ac:dyDescent="0.2">
      <c r="A80">
        <v>2016</v>
      </c>
      <c r="B80" s="1" t="s">
        <v>510</v>
      </c>
      <c r="C80" s="1" t="s">
        <v>131</v>
      </c>
      <c r="D80" s="22">
        <v>44050</v>
      </c>
      <c r="E80" s="20">
        <f t="shared" si="3"/>
        <v>7.4642647267147135E-3</v>
      </c>
      <c r="F80">
        <f t="shared" si="4"/>
        <v>837152.7294299776</v>
      </c>
      <c r="G80" s="23">
        <f t="shared" si="5"/>
        <v>881202.7294299776</v>
      </c>
    </row>
    <row r="81" spans="1:7" x14ac:dyDescent="0.2">
      <c r="A81">
        <v>2016</v>
      </c>
      <c r="B81" s="1" t="s">
        <v>511</v>
      </c>
      <c r="C81" s="1" t="s">
        <v>132</v>
      </c>
      <c r="D81" s="22">
        <v>93376</v>
      </c>
      <c r="E81" s="20">
        <f t="shared" si="3"/>
        <v>1.5822546722399845E-2</v>
      </c>
      <c r="F81">
        <f t="shared" si="4"/>
        <v>1774573.7403689804</v>
      </c>
      <c r="G81" s="23">
        <f t="shared" si="5"/>
        <v>1867949.7403689804</v>
      </c>
    </row>
    <row r="82" spans="1:7" x14ac:dyDescent="0.2">
      <c r="A82">
        <v>2016</v>
      </c>
      <c r="B82" s="1" t="s">
        <v>133</v>
      </c>
      <c r="C82" s="1" t="s">
        <v>134</v>
      </c>
      <c r="D82" s="22">
        <v>14735</v>
      </c>
      <c r="E82" s="20">
        <f t="shared" si="3"/>
        <v>2.4968431497875438E-3</v>
      </c>
      <c r="F82">
        <f t="shared" si="4"/>
        <v>280032.81425994821</v>
      </c>
      <c r="G82" s="23">
        <f t="shared" si="5"/>
        <v>294767.81425994821</v>
      </c>
    </row>
    <row r="83" spans="1:7" x14ac:dyDescent="0.2">
      <c r="A83">
        <v>2016</v>
      </c>
      <c r="B83" s="1" t="s">
        <v>512</v>
      </c>
      <c r="C83" s="1" t="s">
        <v>135</v>
      </c>
      <c r="D83" s="22">
        <v>42586</v>
      </c>
      <c r="E83" s="20">
        <f t="shared" si="3"/>
        <v>7.2161901850595414E-3</v>
      </c>
      <c r="F83">
        <f t="shared" si="4"/>
        <v>809329.99172542628</v>
      </c>
      <c r="G83" s="23">
        <f t="shared" si="5"/>
        <v>851915.99172542628</v>
      </c>
    </row>
    <row r="84" spans="1:7" x14ac:dyDescent="0.2">
      <c r="A84">
        <v>2016</v>
      </c>
      <c r="B84" s="1" t="s">
        <v>136</v>
      </c>
      <c r="C84" s="1" t="s">
        <v>137</v>
      </c>
      <c r="D84" s="22">
        <v>24548</v>
      </c>
      <c r="E84" s="20">
        <f t="shared" si="3"/>
        <v>4.1596542681360451E-3</v>
      </c>
      <c r="F84">
        <f t="shared" si="4"/>
        <v>466524.97620992258</v>
      </c>
      <c r="G84" s="23">
        <f t="shared" si="5"/>
        <v>491072.97620992258</v>
      </c>
    </row>
    <row r="85" spans="1:7" x14ac:dyDescent="0.2">
      <c r="A85">
        <v>2016</v>
      </c>
      <c r="B85" s="1" t="s">
        <v>513</v>
      </c>
      <c r="C85" s="1" t="s">
        <v>138</v>
      </c>
      <c r="D85" s="22">
        <v>5425</v>
      </c>
      <c r="E85" s="20">
        <f t="shared" si="3"/>
        <v>9.1926529267712424E-4</v>
      </c>
      <c r="F85">
        <f t="shared" si="4"/>
        <v>103099.96724534911</v>
      </c>
      <c r="G85" s="23">
        <f t="shared" si="5"/>
        <v>108524.96724534911</v>
      </c>
    </row>
    <row r="86" spans="1:7" x14ac:dyDescent="0.2">
      <c r="A86">
        <v>2016</v>
      </c>
      <c r="B86" s="1" t="s">
        <v>514</v>
      </c>
      <c r="C86" s="1" t="s">
        <v>139</v>
      </c>
      <c r="D86" s="22">
        <v>42679</v>
      </c>
      <c r="E86" s="20">
        <f t="shared" si="3"/>
        <v>7.2319490186482918E-3</v>
      </c>
      <c r="F86">
        <f t="shared" si="4"/>
        <v>811097.41973534646</v>
      </c>
      <c r="G86" s="23">
        <f t="shared" si="5"/>
        <v>853776.41973534646</v>
      </c>
    </row>
    <row r="87" spans="1:7" x14ac:dyDescent="0.2">
      <c r="A87">
        <v>2016</v>
      </c>
      <c r="B87" s="1" t="s">
        <v>140</v>
      </c>
      <c r="C87" s="1" t="s">
        <v>141</v>
      </c>
      <c r="D87" s="22">
        <v>17919</v>
      </c>
      <c r="E87" s="20">
        <f t="shared" si="3"/>
        <v>3.0363713879228366E-3</v>
      </c>
      <c r="F87">
        <f t="shared" si="4"/>
        <v>340543.46784689598</v>
      </c>
      <c r="G87" s="23">
        <f t="shared" si="5"/>
        <v>358462.46784689598</v>
      </c>
    </row>
    <row r="88" spans="1:7" x14ac:dyDescent="0.2">
      <c r="A88">
        <v>2016</v>
      </c>
      <c r="B88" s="1" t="s">
        <v>515</v>
      </c>
      <c r="C88" s="1" t="s">
        <v>142</v>
      </c>
      <c r="D88" s="22">
        <v>45998</v>
      </c>
      <c r="E88" s="20">
        <f t="shared" si="3"/>
        <v>7.7943529829608039E-3</v>
      </c>
      <c r="F88">
        <f t="shared" si="4"/>
        <v>874173.69462701725</v>
      </c>
      <c r="G88" s="23">
        <f t="shared" si="5"/>
        <v>920171.69462701725</v>
      </c>
    </row>
    <row r="89" spans="1:7" x14ac:dyDescent="0.2">
      <c r="A89">
        <v>2016</v>
      </c>
      <c r="B89" s="1" t="s">
        <v>516</v>
      </c>
      <c r="C89" s="1" t="s">
        <v>143</v>
      </c>
      <c r="D89" s="22"/>
      <c r="E89" s="20">
        <f t="shared" si="3"/>
        <v>0</v>
      </c>
      <c r="F89">
        <f t="shared" si="4"/>
        <v>0</v>
      </c>
      <c r="G89" s="23">
        <f t="shared" si="5"/>
        <v>0</v>
      </c>
    </row>
    <row r="90" spans="1:7" x14ac:dyDescent="0.2">
      <c r="A90">
        <v>2016</v>
      </c>
      <c r="B90" s="1" t="s">
        <v>517</v>
      </c>
      <c r="C90" s="1" t="s">
        <v>144</v>
      </c>
      <c r="D90" s="22">
        <v>6034</v>
      </c>
      <c r="E90" s="20">
        <f t="shared" si="3"/>
        <v>1.022460235209911E-3</v>
      </c>
      <c r="F90">
        <f t="shared" si="4"/>
        <v>114673.7700199883</v>
      </c>
      <c r="G90" s="23">
        <f t="shared" si="5"/>
        <v>120707.7700199883</v>
      </c>
    </row>
    <row r="91" spans="1:7" x14ac:dyDescent="0.2">
      <c r="A91">
        <v>2016</v>
      </c>
      <c r="B91" s="1" t="s">
        <v>518</v>
      </c>
      <c r="C91" s="1" t="s">
        <v>145</v>
      </c>
      <c r="D91" s="22">
        <v>19120</v>
      </c>
      <c r="E91" s="20">
        <f t="shared" si="3"/>
        <v>3.239880625988316E-3</v>
      </c>
      <c r="F91">
        <f t="shared" si="4"/>
        <v>363367.99515780184</v>
      </c>
      <c r="G91" s="23">
        <f t="shared" si="5"/>
        <v>382487.99515780184</v>
      </c>
    </row>
    <row r="92" spans="1:7" x14ac:dyDescent="0.2">
      <c r="A92">
        <v>2016</v>
      </c>
      <c r="B92" s="1" t="s">
        <v>146</v>
      </c>
      <c r="C92" s="1" t="s">
        <v>147</v>
      </c>
      <c r="D92" s="22">
        <v>45758</v>
      </c>
      <c r="E92" s="20">
        <f t="shared" si="3"/>
        <v>7.7536850253124142E-3</v>
      </c>
      <c r="F92">
        <f t="shared" si="4"/>
        <v>869612.59008528746</v>
      </c>
      <c r="G92" s="23">
        <f t="shared" si="5"/>
        <v>915370.59008528746</v>
      </c>
    </row>
    <row r="93" spans="1:7" x14ac:dyDescent="0.2">
      <c r="A93">
        <v>2016</v>
      </c>
      <c r="B93" s="1" t="s">
        <v>519</v>
      </c>
      <c r="C93" s="1" t="s">
        <v>148</v>
      </c>
      <c r="D93" s="22">
        <v>72522</v>
      </c>
      <c r="E93" s="20">
        <f t="shared" si="3"/>
        <v>1.2288840102401917E-2</v>
      </c>
      <c r="F93">
        <f t="shared" si="4"/>
        <v>1378251.7648971812</v>
      </c>
      <c r="G93" s="23">
        <f t="shared" si="5"/>
        <v>1450773.7648971812</v>
      </c>
    </row>
    <row r="94" spans="1:7" x14ac:dyDescent="0.2">
      <c r="A94">
        <v>2016</v>
      </c>
      <c r="B94" s="1" t="s">
        <v>520</v>
      </c>
      <c r="C94" s="1" t="s">
        <v>149</v>
      </c>
      <c r="D94" s="22">
        <v>9060</v>
      </c>
      <c r="E94" s="20">
        <f t="shared" si="3"/>
        <v>1.5352154012266811E-3</v>
      </c>
      <c r="F94">
        <f t="shared" si="4"/>
        <v>172181.69645029731</v>
      </c>
      <c r="G94" s="23">
        <f t="shared" si="5"/>
        <v>181241.69645029731</v>
      </c>
    </row>
    <row r="95" spans="1:7" x14ac:dyDescent="0.2">
      <c r="A95">
        <v>2016</v>
      </c>
      <c r="B95" s="1" t="s">
        <v>521</v>
      </c>
      <c r="C95" s="1" t="s">
        <v>150</v>
      </c>
      <c r="D95" s="22">
        <v>48224</v>
      </c>
      <c r="E95" s="20">
        <f t="shared" si="3"/>
        <v>8.1715482901496099E-3</v>
      </c>
      <c r="F95">
        <f t="shared" si="4"/>
        <v>916477.93925156037</v>
      </c>
      <c r="G95" s="23">
        <f t="shared" si="5"/>
        <v>964701.93925156037</v>
      </c>
    </row>
    <row r="96" spans="1:7" x14ac:dyDescent="0.2">
      <c r="A96">
        <v>2016</v>
      </c>
      <c r="B96" s="1" t="s">
        <v>151</v>
      </c>
      <c r="C96" s="1" t="s">
        <v>152</v>
      </c>
      <c r="D96" s="22">
        <v>10553</v>
      </c>
      <c r="E96" s="20">
        <f t="shared" si="3"/>
        <v>1.7882039877643672E-3</v>
      </c>
      <c r="F96">
        <f t="shared" si="4"/>
        <v>200555.56762030767</v>
      </c>
      <c r="G96" s="23">
        <f t="shared" si="5"/>
        <v>211108.56762030767</v>
      </c>
    </row>
    <row r="97" spans="1:7" x14ac:dyDescent="0.2">
      <c r="A97">
        <v>2016</v>
      </c>
      <c r="B97" s="1" t="s">
        <v>522</v>
      </c>
      <c r="C97" s="1" t="s">
        <v>153</v>
      </c>
      <c r="D97" s="22">
        <v>69659</v>
      </c>
      <c r="E97" s="20">
        <f t="shared" si="3"/>
        <v>1.1803705257621346E-2</v>
      </c>
      <c r="F97">
        <f t="shared" si="4"/>
        <v>1323841.5886347971</v>
      </c>
      <c r="G97" s="23">
        <f t="shared" si="5"/>
        <v>1393500.5886347971</v>
      </c>
    </row>
    <row r="98" spans="1:7" x14ac:dyDescent="0.2">
      <c r="A98">
        <v>2016</v>
      </c>
      <c r="B98" s="1" t="s">
        <v>523</v>
      </c>
      <c r="C98" s="1" t="s">
        <v>154</v>
      </c>
      <c r="D98" s="22">
        <v>38186</v>
      </c>
      <c r="E98" s="20">
        <f t="shared" si="3"/>
        <v>6.4706109615057447E-3</v>
      </c>
      <c r="F98">
        <f t="shared" si="4"/>
        <v>725709.74179371446</v>
      </c>
      <c r="G98" s="23">
        <f t="shared" si="5"/>
        <v>763895.74179371446</v>
      </c>
    </row>
    <row r="99" spans="1:7" x14ac:dyDescent="0.2">
      <c r="A99">
        <v>2016</v>
      </c>
      <c r="B99" s="1" t="s">
        <v>524</v>
      </c>
      <c r="C99" s="1" t="s">
        <v>155</v>
      </c>
      <c r="D99" s="22">
        <v>25238</v>
      </c>
      <c r="E99" s="20">
        <f t="shared" si="3"/>
        <v>4.2765746463751635E-3</v>
      </c>
      <c r="F99">
        <f t="shared" si="4"/>
        <v>479638.15176739555</v>
      </c>
      <c r="G99" s="23">
        <f t="shared" si="5"/>
        <v>504876.15176739555</v>
      </c>
    </row>
    <row r="100" spans="1:7" x14ac:dyDescent="0.2">
      <c r="A100">
        <v>2016</v>
      </c>
      <c r="B100" s="1" t="s">
        <v>525</v>
      </c>
      <c r="C100" s="1" t="s">
        <v>156</v>
      </c>
      <c r="D100" s="22">
        <v>29617</v>
      </c>
      <c r="E100" s="20">
        <f t="shared" si="3"/>
        <v>5.0185954236347261E-3</v>
      </c>
      <c r="F100">
        <f t="shared" si="4"/>
        <v>562859.30505170592</v>
      </c>
      <c r="G100" s="23">
        <f t="shared" si="5"/>
        <v>592476.30505170592</v>
      </c>
    </row>
    <row r="101" spans="1:7" x14ac:dyDescent="0.2">
      <c r="A101">
        <v>2016</v>
      </c>
      <c r="B101" s="1" t="s">
        <v>526</v>
      </c>
      <c r="C101" s="1" t="s">
        <v>157</v>
      </c>
      <c r="D101" s="22">
        <v>121760</v>
      </c>
      <c r="E101" s="20">
        <f t="shared" si="3"/>
        <v>2.0632210513615971E-2</v>
      </c>
      <c r="F101">
        <f t="shared" si="4"/>
        <v>2314000.3708375497</v>
      </c>
      <c r="G101" s="23">
        <f t="shared" si="5"/>
        <v>2435760.3708375497</v>
      </c>
    </row>
    <row r="102" spans="1:7" x14ac:dyDescent="0.2">
      <c r="A102">
        <v>2016</v>
      </c>
      <c r="B102" s="1" t="s">
        <v>527</v>
      </c>
      <c r="C102" s="1" t="s">
        <v>158</v>
      </c>
      <c r="D102" s="22">
        <v>88716</v>
      </c>
      <c r="E102" s="20">
        <f t="shared" si="3"/>
        <v>1.5032910544726958E-2</v>
      </c>
      <c r="F102">
        <f t="shared" si="4"/>
        <v>1686012.2938503947</v>
      </c>
      <c r="G102" s="23">
        <f t="shared" si="5"/>
        <v>1774728.2938503947</v>
      </c>
    </row>
    <row r="103" spans="1:7" x14ac:dyDescent="0.2">
      <c r="A103">
        <v>2016</v>
      </c>
      <c r="B103" s="1" t="s">
        <v>528</v>
      </c>
      <c r="C103" s="1" t="s">
        <v>159</v>
      </c>
      <c r="D103" s="22">
        <v>41781</v>
      </c>
      <c r="E103" s="20">
        <f t="shared" si="3"/>
        <v>7.0797830771139039E-3</v>
      </c>
      <c r="F103">
        <f t="shared" si="4"/>
        <v>794031.2869083744</v>
      </c>
      <c r="G103" s="23">
        <f t="shared" si="5"/>
        <v>835812.2869083744</v>
      </c>
    </row>
    <row r="104" spans="1:7" x14ac:dyDescent="0.2">
      <c r="A104">
        <v>2016</v>
      </c>
      <c r="B104" s="1" t="s">
        <v>160</v>
      </c>
      <c r="C104" s="1" t="s">
        <v>161</v>
      </c>
      <c r="D104" s="22">
        <v>20631</v>
      </c>
      <c r="E104" s="20">
        <f t="shared" si="3"/>
        <v>3.4959193093496311E-3</v>
      </c>
      <c r="F104">
        <f t="shared" si="4"/>
        <v>392083.94916844193</v>
      </c>
      <c r="G104" s="23">
        <f t="shared" si="5"/>
        <v>412714.94916844193</v>
      </c>
    </row>
    <row r="105" spans="1:7" x14ac:dyDescent="0.2">
      <c r="A105">
        <v>2016</v>
      </c>
      <c r="B105" s="1" t="s">
        <v>162</v>
      </c>
      <c r="C105" s="1" t="s">
        <v>163</v>
      </c>
      <c r="D105" s="22">
        <v>30047</v>
      </c>
      <c r="E105" s="20">
        <f t="shared" si="3"/>
        <v>5.0914588477547562E-3</v>
      </c>
      <c r="F105">
        <f t="shared" si="4"/>
        <v>571031.28402230504</v>
      </c>
      <c r="G105" s="23">
        <f t="shared" si="5"/>
        <v>601078.28402230504</v>
      </c>
    </row>
    <row r="106" spans="1:7" x14ac:dyDescent="0.2">
      <c r="A106">
        <v>2016</v>
      </c>
      <c r="B106" s="1" t="s">
        <v>529</v>
      </c>
      <c r="C106" s="1" t="s">
        <v>164</v>
      </c>
      <c r="D106" s="22">
        <v>75880</v>
      </c>
      <c r="E106" s="20">
        <f t="shared" si="3"/>
        <v>1.2857852609832292E-2</v>
      </c>
      <c r="F106">
        <f t="shared" si="4"/>
        <v>1442069.2192768829</v>
      </c>
      <c r="G106" s="23">
        <f t="shared" si="5"/>
        <v>1517949.2192768829</v>
      </c>
    </row>
    <row r="107" spans="1:7" x14ac:dyDescent="0.2">
      <c r="A107">
        <v>2016</v>
      </c>
      <c r="B107" s="1" t="s">
        <v>530</v>
      </c>
      <c r="C107" s="1" t="s">
        <v>165</v>
      </c>
      <c r="D107" s="22">
        <v>79992</v>
      </c>
      <c r="E107" s="20">
        <f t="shared" si="3"/>
        <v>1.3554630284208022E-2</v>
      </c>
      <c r="F107">
        <f t="shared" si="4"/>
        <v>1520216.1437585191</v>
      </c>
      <c r="G107" s="23">
        <f t="shared" si="5"/>
        <v>1600208.1437585191</v>
      </c>
    </row>
    <row r="108" spans="1:7" x14ac:dyDescent="0.2">
      <c r="A108">
        <v>2016</v>
      </c>
      <c r="B108" s="1" t="s">
        <v>531</v>
      </c>
      <c r="C108" s="1" t="s">
        <v>166</v>
      </c>
      <c r="D108" s="22">
        <v>44095</v>
      </c>
      <c r="E108" s="20">
        <f t="shared" si="3"/>
        <v>7.4718899687737867E-3</v>
      </c>
      <c r="F108">
        <f t="shared" si="4"/>
        <v>838007.93653155188</v>
      </c>
      <c r="G108" s="23">
        <f t="shared" si="5"/>
        <v>882102.93653155188</v>
      </c>
    </row>
    <row r="109" spans="1:7" x14ac:dyDescent="0.2">
      <c r="A109">
        <v>2016</v>
      </c>
      <c r="B109" s="1" t="s">
        <v>167</v>
      </c>
      <c r="C109" s="1" t="s">
        <v>168</v>
      </c>
      <c r="D109" s="22"/>
      <c r="E109" s="20">
        <f t="shared" si="3"/>
        <v>0</v>
      </c>
      <c r="F109">
        <f t="shared" si="4"/>
        <v>0</v>
      </c>
      <c r="G109" s="23">
        <f t="shared" si="5"/>
        <v>0</v>
      </c>
    </row>
    <row r="110" spans="1:7" x14ac:dyDescent="0.2">
      <c r="A110">
        <v>2016</v>
      </c>
      <c r="B110" s="1" t="s">
        <v>532</v>
      </c>
      <c r="C110" s="1" t="s">
        <v>169</v>
      </c>
      <c r="D110" s="22">
        <v>21373</v>
      </c>
      <c r="E110" s="20">
        <f t="shared" si="3"/>
        <v>3.6216510784125668E-3</v>
      </c>
      <c r="F110">
        <f t="shared" si="4"/>
        <v>406185.36404328968</v>
      </c>
      <c r="G110" s="23">
        <f t="shared" si="5"/>
        <v>427558.36404328968</v>
      </c>
    </row>
    <row r="111" spans="1:7" x14ac:dyDescent="0.2">
      <c r="A111">
        <v>2016</v>
      </c>
      <c r="B111" s="1" t="s">
        <v>533</v>
      </c>
      <c r="C111" s="1" t="s">
        <v>170</v>
      </c>
      <c r="D111" s="22">
        <v>32463</v>
      </c>
      <c r="E111" s="20">
        <f t="shared" si="3"/>
        <v>5.5008496214152044E-3</v>
      </c>
      <c r="F111">
        <f t="shared" si="4"/>
        <v>616946.40307571762</v>
      </c>
      <c r="G111" s="23">
        <f t="shared" si="5"/>
        <v>649409.40307571762</v>
      </c>
    </row>
    <row r="112" spans="1:7" x14ac:dyDescent="0.2">
      <c r="A112">
        <v>2016</v>
      </c>
      <c r="B112" s="1" t="s">
        <v>534</v>
      </c>
      <c r="C112" s="1" t="s">
        <v>171</v>
      </c>
      <c r="D112" s="22">
        <v>15348</v>
      </c>
      <c r="E112" s="20">
        <f t="shared" si="3"/>
        <v>2.6007158916144706E-3</v>
      </c>
      <c r="F112">
        <f t="shared" si="4"/>
        <v>291682.63544361625</v>
      </c>
      <c r="G112" s="23">
        <f t="shared" si="5"/>
        <v>307030.63544361625</v>
      </c>
    </row>
    <row r="113" spans="1:7" x14ac:dyDescent="0.2">
      <c r="A113">
        <v>2016</v>
      </c>
      <c r="B113" s="1" t="s">
        <v>535</v>
      </c>
      <c r="C113" s="1" t="s">
        <v>172</v>
      </c>
      <c r="D113" s="22">
        <v>39469</v>
      </c>
      <c r="E113" s="20">
        <f t="shared" si="3"/>
        <v>6.6880150851010905E-3</v>
      </c>
      <c r="F113">
        <f t="shared" si="4"/>
        <v>750092.64648971136</v>
      </c>
      <c r="G113" s="23">
        <f t="shared" si="5"/>
        <v>789561.64648971136</v>
      </c>
    </row>
    <row r="114" spans="1:7" x14ac:dyDescent="0.2">
      <c r="A114">
        <v>2016</v>
      </c>
      <c r="B114" s="1" t="s">
        <v>536</v>
      </c>
      <c r="C114" s="1" t="s">
        <v>173</v>
      </c>
      <c r="D114" s="22">
        <v>80375</v>
      </c>
      <c r="E114" s="20">
        <f t="shared" si="3"/>
        <v>1.3619529566621909E-2</v>
      </c>
      <c r="F114">
        <f t="shared" si="4"/>
        <v>1527494.9064230295</v>
      </c>
      <c r="G114" s="23">
        <f t="shared" si="5"/>
        <v>1607869.9064230295</v>
      </c>
    </row>
    <row r="115" spans="1:7" x14ac:dyDescent="0.2">
      <c r="A115">
        <v>2016</v>
      </c>
      <c r="B115" s="1" t="s">
        <v>537</v>
      </c>
      <c r="C115" s="1" t="s">
        <v>174</v>
      </c>
      <c r="D115" s="22">
        <v>42850</v>
      </c>
      <c r="E115" s="20">
        <f t="shared" si="3"/>
        <v>7.2609249384727693E-3</v>
      </c>
      <c r="F115">
        <f t="shared" si="4"/>
        <v>814347.2067213289</v>
      </c>
      <c r="G115" s="23">
        <f t="shared" si="5"/>
        <v>857197.2067213289</v>
      </c>
    </row>
    <row r="116" spans="1:7" x14ac:dyDescent="0.2">
      <c r="A116">
        <v>2016</v>
      </c>
      <c r="B116" s="1" t="s">
        <v>175</v>
      </c>
      <c r="C116" s="1" t="s">
        <v>176</v>
      </c>
      <c r="D116" s="22">
        <v>33507</v>
      </c>
      <c r="E116" s="20">
        <f t="shared" si="3"/>
        <v>5.677755237185696E-3</v>
      </c>
      <c r="F116">
        <f t="shared" si="4"/>
        <v>636787.20783224201</v>
      </c>
      <c r="G116" s="23">
        <f t="shared" si="5"/>
        <v>670294.20783224201</v>
      </c>
    </row>
    <row r="117" spans="1:7" x14ac:dyDescent="0.2">
      <c r="A117">
        <v>2016</v>
      </c>
      <c r="B117" s="1" t="s">
        <v>538</v>
      </c>
      <c r="C117" s="1" t="s">
        <v>177</v>
      </c>
      <c r="D117" s="22">
        <v>26683</v>
      </c>
      <c r="E117" s="20">
        <f t="shared" si="3"/>
        <v>4.5214296413831718E-3</v>
      </c>
      <c r="F117">
        <f t="shared" si="4"/>
        <v>507099.80202906003</v>
      </c>
      <c r="G117" s="23">
        <f t="shared" si="5"/>
        <v>533782.80202905997</v>
      </c>
    </row>
    <row r="118" spans="1:7" x14ac:dyDescent="0.2">
      <c r="A118">
        <v>2016</v>
      </c>
      <c r="B118" s="1" t="s">
        <v>539</v>
      </c>
      <c r="C118" s="1" t="s">
        <v>178</v>
      </c>
      <c r="D118" s="22">
        <v>8005</v>
      </c>
      <c r="E118" s="20">
        <f t="shared" si="3"/>
        <v>1.3564458373973049E-3</v>
      </c>
      <c r="F118">
        <f t="shared" si="4"/>
        <v>152131.8410689437</v>
      </c>
      <c r="G118" s="23">
        <f t="shared" si="5"/>
        <v>160136.8410689437</v>
      </c>
    </row>
    <row r="119" spans="1:7" x14ac:dyDescent="0.2">
      <c r="A119">
        <v>2016</v>
      </c>
      <c r="B119" s="1" t="s">
        <v>540</v>
      </c>
      <c r="C119" s="1" t="s">
        <v>179</v>
      </c>
      <c r="D119" s="22"/>
      <c r="E119" s="20">
        <f t="shared" si="3"/>
        <v>0</v>
      </c>
      <c r="F119">
        <f t="shared" si="4"/>
        <v>0</v>
      </c>
      <c r="G119" s="23">
        <f t="shared" si="5"/>
        <v>0</v>
      </c>
    </row>
    <row r="120" spans="1:7" x14ac:dyDescent="0.2">
      <c r="A120">
        <v>2016</v>
      </c>
      <c r="B120" s="1" t="s">
        <v>180</v>
      </c>
      <c r="C120" s="1" t="s">
        <v>181</v>
      </c>
      <c r="D120" s="22"/>
      <c r="E120" s="20">
        <f t="shared" si="3"/>
        <v>0</v>
      </c>
      <c r="F120">
        <f t="shared" si="4"/>
        <v>0</v>
      </c>
      <c r="G120" s="23">
        <f t="shared" si="5"/>
        <v>0</v>
      </c>
    </row>
    <row r="121" spans="1:7" x14ac:dyDescent="0.2">
      <c r="A121">
        <v>2016</v>
      </c>
      <c r="B121" s="1" t="s">
        <v>541</v>
      </c>
      <c r="C121" s="1" t="s">
        <v>182</v>
      </c>
      <c r="D121" s="22">
        <v>8558</v>
      </c>
      <c r="E121" s="20">
        <f t="shared" si="3"/>
        <v>1.4501515898121345E-3</v>
      </c>
      <c r="F121">
        <f t="shared" si="4"/>
        <v>162641.3861171793</v>
      </c>
      <c r="G121" s="23">
        <f t="shared" si="5"/>
        <v>171199.3861171793</v>
      </c>
    </row>
    <row r="122" spans="1:7" x14ac:dyDescent="0.2">
      <c r="A122">
        <v>2016</v>
      </c>
      <c r="B122" s="1" t="s">
        <v>542</v>
      </c>
      <c r="C122" s="1" t="s">
        <v>183</v>
      </c>
      <c r="D122" s="22">
        <v>451</v>
      </c>
      <c r="E122" s="20">
        <f t="shared" si="3"/>
        <v>7.6421870414264149E-5</v>
      </c>
      <c r="F122">
        <f t="shared" si="4"/>
        <v>8571.0756180004519</v>
      </c>
      <c r="G122" s="23">
        <f t="shared" si="5"/>
        <v>9022.0756180004519</v>
      </c>
    </row>
    <row r="123" spans="1:7" x14ac:dyDescent="0.2">
      <c r="A123">
        <v>2016</v>
      </c>
      <c r="B123" s="1" t="s">
        <v>543</v>
      </c>
      <c r="C123" s="1" t="s">
        <v>184</v>
      </c>
      <c r="D123" s="22">
        <v>301</v>
      </c>
      <c r="E123" s="20">
        <f t="shared" si="3"/>
        <v>5.1004396884021085E-5</v>
      </c>
      <c r="F123">
        <f t="shared" si="4"/>
        <v>5720.3852794193699</v>
      </c>
      <c r="G123" s="23">
        <f t="shared" si="5"/>
        <v>6021.3852794193699</v>
      </c>
    </row>
    <row r="124" spans="1:7" x14ac:dyDescent="0.2">
      <c r="A124">
        <v>2016</v>
      </c>
      <c r="B124" s="1" t="s">
        <v>544</v>
      </c>
      <c r="C124" s="1" t="s">
        <v>185</v>
      </c>
      <c r="D124" s="22">
        <v>854</v>
      </c>
      <c r="E124" s="20">
        <f t="shared" si="3"/>
        <v>1.4471014929885053E-4</v>
      </c>
      <c r="F124">
        <f t="shared" si="4"/>
        <v>16229.930327654958</v>
      </c>
      <c r="G124" s="23">
        <f t="shared" si="5"/>
        <v>17083.930327654958</v>
      </c>
    </row>
    <row r="125" spans="1:7" x14ac:dyDescent="0.2">
      <c r="A125">
        <v>2016</v>
      </c>
      <c r="B125" s="1" t="s">
        <v>545</v>
      </c>
      <c r="C125" s="1" t="s">
        <v>186</v>
      </c>
      <c r="D125" s="22"/>
      <c r="E125" s="20">
        <f t="shared" si="3"/>
        <v>0</v>
      </c>
      <c r="F125">
        <f t="shared" si="4"/>
        <v>0</v>
      </c>
      <c r="G125" s="23">
        <f t="shared" si="5"/>
        <v>0</v>
      </c>
    </row>
    <row r="126" spans="1:7" x14ac:dyDescent="0.2">
      <c r="A126">
        <v>2016</v>
      </c>
      <c r="B126" s="1" t="s">
        <v>546</v>
      </c>
      <c r="C126" s="1" t="s">
        <v>187</v>
      </c>
      <c r="D126" s="22"/>
      <c r="E126" s="20">
        <f t="shared" si="3"/>
        <v>0</v>
      </c>
      <c r="F126">
        <f t="shared" si="4"/>
        <v>0</v>
      </c>
      <c r="G126" s="23">
        <f t="shared" si="5"/>
        <v>0</v>
      </c>
    </row>
    <row r="127" spans="1:7" x14ac:dyDescent="0.2">
      <c r="A127">
        <v>2016</v>
      </c>
      <c r="B127" s="1" t="s">
        <v>547</v>
      </c>
      <c r="C127" s="1" t="s">
        <v>188</v>
      </c>
      <c r="D127" s="22">
        <v>50556</v>
      </c>
      <c r="E127" s="20">
        <f t="shared" si="3"/>
        <v>8.5667052786331226E-3</v>
      </c>
      <c r="F127">
        <f t="shared" si="4"/>
        <v>960796.6717153677</v>
      </c>
      <c r="G127" s="23">
        <f t="shared" si="5"/>
        <v>1011352.6717153677</v>
      </c>
    </row>
    <row r="128" spans="1:7" x14ac:dyDescent="0.2">
      <c r="A128">
        <v>2016</v>
      </c>
      <c r="B128" s="1" t="s">
        <v>548</v>
      </c>
      <c r="C128" s="1" t="s">
        <v>189</v>
      </c>
      <c r="D128" s="22">
        <v>42830</v>
      </c>
      <c r="E128" s="20">
        <f t="shared" si="3"/>
        <v>7.25753594200207E-3</v>
      </c>
      <c r="F128">
        <f t="shared" si="4"/>
        <v>813967.11467618472</v>
      </c>
      <c r="G128" s="23">
        <f t="shared" si="5"/>
        <v>856797.11467618472</v>
      </c>
    </row>
    <row r="129" spans="1:7" x14ac:dyDescent="0.2">
      <c r="A129">
        <v>2016</v>
      </c>
      <c r="B129" s="1" t="s">
        <v>549</v>
      </c>
      <c r="C129" s="1" t="s">
        <v>190</v>
      </c>
      <c r="D129" s="22">
        <v>40721</v>
      </c>
      <c r="E129" s="20">
        <f t="shared" si="3"/>
        <v>6.9001662641668526E-3</v>
      </c>
      <c r="F129">
        <f t="shared" si="4"/>
        <v>773886.40851573483</v>
      </c>
      <c r="G129" s="23">
        <f t="shared" si="5"/>
        <v>814607.40851573483</v>
      </c>
    </row>
    <row r="130" spans="1:7" x14ac:dyDescent="0.2">
      <c r="A130">
        <v>2016</v>
      </c>
      <c r="B130" s="1" t="s">
        <v>550</v>
      </c>
      <c r="C130" s="1" t="s">
        <v>191</v>
      </c>
      <c r="D130" s="22">
        <v>9545</v>
      </c>
      <c r="E130" s="20">
        <f t="shared" si="3"/>
        <v>1.6173985656411337E-3</v>
      </c>
      <c r="F130">
        <f t="shared" si="4"/>
        <v>181398.92854504281</v>
      </c>
      <c r="G130" s="23">
        <f t="shared" si="5"/>
        <v>190943.92854504281</v>
      </c>
    </row>
    <row r="131" spans="1:7" x14ac:dyDescent="0.2">
      <c r="A131">
        <v>2016</v>
      </c>
      <c r="B131" s="1" t="s">
        <v>551</v>
      </c>
      <c r="C131" s="1" t="s">
        <v>192</v>
      </c>
      <c r="D131" s="22">
        <v>127550</v>
      </c>
      <c r="E131" s="20">
        <f t="shared" ref="E131:E194" si="6">D131/$D$248</f>
        <v>2.1613324991883353E-2</v>
      </c>
      <c r="F131">
        <f t="shared" ref="F131:F194" si="7">E131*$D$250</f>
        <v>2424037.0179067794</v>
      </c>
      <c r="G131" s="23">
        <f t="shared" ref="G131:G194" si="8">SUM(D131,F131)</f>
        <v>2551587.0179067794</v>
      </c>
    </row>
    <row r="132" spans="1:7" x14ac:dyDescent="0.2">
      <c r="A132">
        <v>2016</v>
      </c>
      <c r="B132" s="1" t="s">
        <v>552</v>
      </c>
      <c r="C132" s="1" t="s">
        <v>193</v>
      </c>
      <c r="D132" s="22">
        <v>88542</v>
      </c>
      <c r="E132" s="20">
        <f t="shared" si="6"/>
        <v>1.5003426275431877E-2</v>
      </c>
      <c r="F132">
        <f t="shared" si="7"/>
        <v>1682705.4930576407</v>
      </c>
      <c r="G132" s="23">
        <f t="shared" si="8"/>
        <v>1771247.4930576407</v>
      </c>
    </row>
    <row r="133" spans="1:7" x14ac:dyDescent="0.2">
      <c r="A133">
        <v>2016</v>
      </c>
      <c r="B133" s="1" t="s">
        <v>553</v>
      </c>
      <c r="C133" s="1" t="s">
        <v>194</v>
      </c>
      <c r="D133" s="22">
        <v>72518</v>
      </c>
      <c r="E133" s="20">
        <f t="shared" si="6"/>
        <v>1.2288162303107777E-2</v>
      </c>
      <c r="F133">
        <f t="shared" si="7"/>
        <v>1378175.7464881523</v>
      </c>
      <c r="G133" s="23">
        <f t="shared" si="8"/>
        <v>1450693.7464881523</v>
      </c>
    </row>
    <row r="134" spans="1:7" x14ac:dyDescent="0.2">
      <c r="A134">
        <v>2016</v>
      </c>
      <c r="B134" s="1" t="s">
        <v>554</v>
      </c>
      <c r="C134" s="1" t="s">
        <v>195</v>
      </c>
      <c r="D134" s="22">
        <v>56843</v>
      </c>
      <c r="E134" s="20">
        <f t="shared" si="6"/>
        <v>9.6320363191973769E-3</v>
      </c>
      <c r="F134">
        <f t="shared" si="7"/>
        <v>1080278.6061064294</v>
      </c>
      <c r="G134" s="23">
        <f t="shared" si="8"/>
        <v>1137121.6061064294</v>
      </c>
    </row>
    <row r="135" spans="1:7" x14ac:dyDescent="0.2">
      <c r="A135">
        <v>2016</v>
      </c>
      <c r="B135" s="1" t="s">
        <v>555</v>
      </c>
      <c r="C135" s="1" t="s">
        <v>196</v>
      </c>
      <c r="D135" s="22">
        <v>51384</v>
      </c>
      <c r="E135" s="20">
        <f t="shared" si="6"/>
        <v>8.7070097325200654E-3</v>
      </c>
      <c r="F135">
        <f t="shared" si="7"/>
        <v>976532.48238433537</v>
      </c>
      <c r="G135" s="23">
        <f t="shared" si="8"/>
        <v>1027916.4823843354</v>
      </c>
    </row>
    <row r="136" spans="1:7" x14ac:dyDescent="0.2">
      <c r="A136">
        <v>2016</v>
      </c>
      <c r="B136" s="1" t="s">
        <v>556</v>
      </c>
      <c r="C136" s="1" t="s">
        <v>197</v>
      </c>
      <c r="D136" s="22">
        <v>58719</v>
      </c>
      <c r="E136" s="20">
        <f t="shared" si="6"/>
        <v>9.9499241881489502E-3</v>
      </c>
      <c r="F136">
        <f t="shared" si="7"/>
        <v>1115931.2399409502</v>
      </c>
      <c r="G136" s="23">
        <f t="shared" si="8"/>
        <v>1174650.2399409502</v>
      </c>
    </row>
    <row r="137" spans="1:7" x14ac:dyDescent="0.2">
      <c r="A137">
        <v>2016</v>
      </c>
      <c r="B137" s="1" t="s">
        <v>557</v>
      </c>
      <c r="C137" s="1" t="s">
        <v>198</v>
      </c>
      <c r="D137" s="22">
        <v>125541</v>
      </c>
      <c r="E137" s="20">
        <f t="shared" si="6"/>
        <v>2.127290029640163E-2</v>
      </c>
      <c r="F137">
        <f t="shared" si="7"/>
        <v>2385856.77197205</v>
      </c>
      <c r="G137" s="23">
        <f t="shared" si="8"/>
        <v>2511397.77197205</v>
      </c>
    </row>
    <row r="138" spans="1:7" x14ac:dyDescent="0.2">
      <c r="A138">
        <v>2016</v>
      </c>
      <c r="B138" s="1" t="s">
        <v>558</v>
      </c>
      <c r="C138" s="1" t="s">
        <v>199</v>
      </c>
      <c r="D138" s="22">
        <v>30475</v>
      </c>
      <c r="E138" s="20">
        <f t="shared" si="6"/>
        <v>5.1639833722277161E-3</v>
      </c>
      <c r="F138">
        <f t="shared" si="7"/>
        <v>579165.25378838973</v>
      </c>
      <c r="G138" s="23">
        <f t="shared" si="8"/>
        <v>609640.25378838973</v>
      </c>
    </row>
    <row r="139" spans="1:7" x14ac:dyDescent="0.2">
      <c r="A139">
        <v>2016</v>
      </c>
      <c r="B139" s="1" t="s">
        <v>559</v>
      </c>
      <c r="C139" s="1" t="s">
        <v>200</v>
      </c>
      <c r="D139" s="22">
        <v>56891</v>
      </c>
      <c r="E139" s="20">
        <f t="shared" si="6"/>
        <v>9.640169910727055E-3</v>
      </c>
      <c r="F139">
        <f t="shared" si="7"/>
        <v>1081190.8270147752</v>
      </c>
      <c r="G139" s="23">
        <f t="shared" si="8"/>
        <v>1138081.8270147752</v>
      </c>
    </row>
    <row r="140" spans="1:7" x14ac:dyDescent="0.2">
      <c r="A140">
        <v>2016</v>
      </c>
      <c r="B140" s="1" t="s">
        <v>560</v>
      </c>
      <c r="C140" s="1" t="s">
        <v>201</v>
      </c>
      <c r="D140" s="22">
        <v>48019</v>
      </c>
      <c r="E140" s="20">
        <f t="shared" si="6"/>
        <v>8.1368110763249454E-3</v>
      </c>
      <c r="F140">
        <f t="shared" si="7"/>
        <v>912581.99578883301</v>
      </c>
      <c r="G140" s="23">
        <f t="shared" si="8"/>
        <v>960600.99578883301</v>
      </c>
    </row>
    <row r="141" spans="1:7" x14ac:dyDescent="0.2">
      <c r="A141">
        <v>2016</v>
      </c>
      <c r="B141" s="1" t="s">
        <v>561</v>
      </c>
      <c r="C141" s="1" t="s">
        <v>202</v>
      </c>
      <c r="D141" s="22">
        <v>82796</v>
      </c>
      <c r="E141" s="20">
        <f t="shared" si="6"/>
        <v>1.4029767589400033E-2</v>
      </c>
      <c r="F141">
        <f t="shared" si="7"/>
        <v>1573505.0484877282</v>
      </c>
      <c r="G141" s="23">
        <f t="shared" si="8"/>
        <v>1656301.0484877282</v>
      </c>
    </row>
    <row r="142" spans="1:7" x14ac:dyDescent="0.2">
      <c r="A142">
        <v>2016</v>
      </c>
      <c r="B142" s="1" t="s">
        <v>562</v>
      </c>
      <c r="C142" s="1" t="s">
        <v>203</v>
      </c>
      <c r="D142" s="22">
        <v>34860</v>
      </c>
      <c r="E142" s="20">
        <f t="shared" si="6"/>
        <v>5.9070208484284887E-3</v>
      </c>
      <c r="F142">
        <f t="shared" si="7"/>
        <v>662500.4346862433</v>
      </c>
      <c r="G142" s="23">
        <f t="shared" si="8"/>
        <v>697360.4346862433</v>
      </c>
    </row>
    <row r="143" spans="1:7" x14ac:dyDescent="0.2">
      <c r="A143">
        <v>2016</v>
      </c>
      <c r="B143" s="1" t="s">
        <v>563</v>
      </c>
      <c r="C143" s="1" t="s">
        <v>204</v>
      </c>
      <c r="D143" s="22">
        <v>9881</v>
      </c>
      <c r="E143" s="20">
        <f t="shared" si="6"/>
        <v>1.6743337063488781E-3</v>
      </c>
      <c r="F143">
        <f t="shared" si="7"/>
        <v>187784.47490346443</v>
      </c>
      <c r="G143" s="23">
        <f t="shared" si="8"/>
        <v>197665.47490346443</v>
      </c>
    </row>
    <row r="144" spans="1:7" x14ac:dyDescent="0.2">
      <c r="A144">
        <v>2016</v>
      </c>
      <c r="B144" s="1" t="s">
        <v>564</v>
      </c>
      <c r="C144" s="1" t="s">
        <v>205</v>
      </c>
      <c r="D144" s="22">
        <v>36009</v>
      </c>
      <c r="E144" s="20">
        <f t="shared" si="6"/>
        <v>6.1017186956701507E-3</v>
      </c>
      <c r="F144">
        <f t="shared" si="7"/>
        <v>684336.72267977439</v>
      </c>
      <c r="G144" s="23">
        <f t="shared" si="8"/>
        <v>720345.72267977439</v>
      </c>
    </row>
    <row r="145" spans="1:7" x14ac:dyDescent="0.2">
      <c r="A145">
        <v>2016</v>
      </c>
      <c r="B145" s="1" t="s">
        <v>565</v>
      </c>
      <c r="C145" s="1" t="s">
        <v>206</v>
      </c>
      <c r="D145" s="22">
        <v>43383</v>
      </c>
      <c r="E145" s="20">
        <f t="shared" si="6"/>
        <v>7.3512416944168995E-3</v>
      </c>
      <c r="F145">
        <f t="shared" si="7"/>
        <v>824476.6597244204</v>
      </c>
      <c r="G145" s="23">
        <f t="shared" si="8"/>
        <v>867859.6597244204</v>
      </c>
    </row>
    <row r="146" spans="1:7" x14ac:dyDescent="0.2">
      <c r="A146">
        <v>2016</v>
      </c>
      <c r="B146" s="1" t="s">
        <v>566</v>
      </c>
      <c r="C146" s="1" t="s">
        <v>207</v>
      </c>
      <c r="D146" s="22">
        <v>48506</v>
      </c>
      <c r="E146" s="20">
        <f t="shared" si="6"/>
        <v>8.2193331403864669E-3</v>
      </c>
      <c r="F146">
        <f t="shared" si="7"/>
        <v>921837.23708809284</v>
      </c>
      <c r="G146" s="23">
        <f t="shared" si="8"/>
        <v>970343.23708809284</v>
      </c>
    </row>
    <row r="147" spans="1:7" x14ac:dyDescent="0.2">
      <c r="A147">
        <v>2016</v>
      </c>
      <c r="B147" s="1" t="s">
        <v>567</v>
      </c>
      <c r="C147" s="1" t="s">
        <v>208</v>
      </c>
      <c r="D147" s="22">
        <v>38981</v>
      </c>
      <c r="E147" s="20">
        <f t="shared" si="6"/>
        <v>6.6053235712160326E-3</v>
      </c>
      <c r="F147">
        <f t="shared" si="7"/>
        <v>740818.40058819414</v>
      </c>
      <c r="G147" s="23">
        <f t="shared" si="8"/>
        <v>779799.40058819414</v>
      </c>
    </row>
    <row r="148" spans="1:7" x14ac:dyDescent="0.2">
      <c r="A148">
        <v>2016</v>
      </c>
      <c r="B148" s="1" t="s">
        <v>568</v>
      </c>
      <c r="C148" s="1" t="s">
        <v>569</v>
      </c>
      <c r="D148" s="22">
        <v>55819</v>
      </c>
      <c r="E148" s="20">
        <f t="shared" si="6"/>
        <v>9.4585196998975846E-3</v>
      </c>
      <c r="F148">
        <f t="shared" si="7"/>
        <v>1060817.8933950493</v>
      </c>
      <c r="G148" s="23">
        <f t="shared" si="8"/>
        <v>1116636.8933950493</v>
      </c>
    </row>
    <row r="149" spans="1:7" x14ac:dyDescent="0.2">
      <c r="A149">
        <v>2016</v>
      </c>
      <c r="B149" s="1" t="s">
        <v>570</v>
      </c>
      <c r="C149" s="1" t="s">
        <v>209</v>
      </c>
      <c r="D149" s="22">
        <v>64748</v>
      </c>
      <c r="E149" s="20">
        <f t="shared" si="6"/>
        <v>1.0971537174241187E-2</v>
      </c>
      <c r="F149">
        <f t="shared" si="7"/>
        <v>1230509.9869496524</v>
      </c>
      <c r="G149" s="23">
        <f t="shared" si="8"/>
        <v>1295257.9869496524</v>
      </c>
    </row>
    <row r="150" spans="1:7" x14ac:dyDescent="0.2">
      <c r="A150">
        <v>2016</v>
      </c>
      <c r="B150" s="1" t="s">
        <v>571</v>
      </c>
      <c r="C150" s="1" t="s">
        <v>210</v>
      </c>
      <c r="D150" s="22">
        <v>6282</v>
      </c>
      <c r="E150" s="20">
        <f t="shared" si="6"/>
        <v>1.0644837914465797E-3</v>
      </c>
      <c r="F150">
        <f t="shared" si="7"/>
        <v>119386.9113797757</v>
      </c>
      <c r="G150" s="23">
        <f t="shared" si="8"/>
        <v>125668.9113797757</v>
      </c>
    </row>
    <row r="151" spans="1:7" x14ac:dyDescent="0.2">
      <c r="A151">
        <v>2016</v>
      </c>
      <c r="B151" s="1" t="s">
        <v>572</v>
      </c>
      <c r="C151" s="1" t="s">
        <v>211</v>
      </c>
      <c r="D151" s="22"/>
      <c r="E151" s="20">
        <f t="shared" si="6"/>
        <v>0</v>
      </c>
      <c r="F151">
        <f t="shared" si="7"/>
        <v>0</v>
      </c>
      <c r="G151" s="23">
        <f t="shared" si="8"/>
        <v>0</v>
      </c>
    </row>
    <row r="152" spans="1:7" x14ac:dyDescent="0.2">
      <c r="A152">
        <v>2016</v>
      </c>
      <c r="B152" s="1" t="s">
        <v>573</v>
      </c>
      <c r="C152" s="1" t="s">
        <v>212</v>
      </c>
      <c r="D152" s="22"/>
      <c r="E152" s="20">
        <f t="shared" si="6"/>
        <v>0</v>
      </c>
      <c r="F152">
        <f t="shared" si="7"/>
        <v>0</v>
      </c>
      <c r="G152" s="23">
        <f t="shared" si="8"/>
        <v>0</v>
      </c>
    </row>
    <row r="153" spans="1:7" x14ac:dyDescent="0.2">
      <c r="A153">
        <v>2016</v>
      </c>
      <c r="B153" s="1" t="s">
        <v>574</v>
      </c>
      <c r="C153" s="1" t="s">
        <v>213</v>
      </c>
      <c r="D153" s="22"/>
      <c r="E153" s="20">
        <f t="shared" si="6"/>
        <v>0</v>
      </c>
      <c r="F153">
        <f t="shared" si="7"/>
        <v>0</v>
      </c>
      <c r="G153" s="23">
        <f t="shared" si="8"/>
        <v>0</v>
      </c>
    </row>
    <row r="154" spans="1:7" x14ac:dyDescent="0.2">
      <c r="A154">
        <v>2016</v>
      </c>
      <c r="B154" s="1" t="s">
        <v>575</v>
      </c>
      <c r="C154" s="1" t="s">
        <v>214</v>
      </c>
      <c r="D154" s="22"/>
      <c r="E154" s="20">
        <f t="shared" si="6"/>
        <v>0</v>
      </c>
      <c r="F154">
        <f t="shared" si="7"/>
        <v>0</v>
      </c>
      <c r="G154" s="23">
        <f t="shared" si="8"/>
        <v>0</v>
      </c>
    </row>
    <row r="155" spans="1:7" x14ac:dyDescent="0.2">
      <c r="A155">
        <v>2016</v>
      </c>
      <c r="B155" s="1" t="s">
        <v>576</v>
      </c>
      <c r="C155" s="1" t="s">
        <v>215</v>
      </c>
      <c r="D155" s="22">
        <v>23466</v>
      </c>
      <c r="E155" s="20">
        <f t="shared" si="6"/>
        <v>3.976309559071225E-3</v>
      </c>
      <c r="F155">
        <f t="shared" si="7"/>
        <v>445961.99656762433</v>
      </c>
      <c r="G155" s="23">
        <f t="shared" si="8"/>
        <v>469427.99656762433</v>
      </c>
    </row>
    <row r="156" spans="1:7" x14ac:dyDescent="0.2">
      <c r="A156">
        <v>2016</v>
      </c>
      <c r="B156" s="1" t="s">
        <v>216</v>
      </c>
      <c r="C156" s="1" t="s">
        <v>217</v>
      </c>
      <c r="D156" s="22">
        <v>27404</v>
      </c>
      <c r="E156" s="20">
        <f t="shared" si="6"/>
        <v>4.6436029641518731E-3</v>
      </c>
      <c r="F156">
        <f t="shared" si="7"/>
        <v>520802.12025650637</v>
      </c>
      <c r="G156" s="23">
        <f t="shared" si="8"/>
        <v>548206.12025650637</v>
      </c>
    </row>
    <row r="157" spans="1:7" x14ac:dyDescent="0.2">
      <c r="A157">
        <v>2016</v>
      </c>
      <c r="B157" s="1" t="s">
        <v>218</v>
      </c>
      <c r="C157" s="1" t="s">
        <v>219</v>
      </c>
      <c r="D157" s="22"/>
      <c r="E157" s="20">
        <f t="shared" si="6"/>
        <v>0</v>
      </c>
      <c r="F157">
        <f t="shared" si="7"/>
        <v>0</v>
      </c>
      <c r="G157" s="23">
        <f t="shared" si="8"/>
        <v>0</v>
      </c>
    </row>
    <row r="158" spans="1:7" x14ac:dyDescent="0.2">
      <c r="A158">
        <v>2016</v>
      </c>
      <c r="B158" s="1" t="s">
        <v>220</v>
      </c>
      <c r="C158" s="1" t="s">
        <v>221</v>
      </c>
      <c r="D158" s="22">
        <v>92</v>
      </c>
      <c r="E158" s="20">
        <f t="shared" si="6"/>
        <v>1.5589383765215748E-5</v>
      </c>
      <c r="F158">
        <f t="shared" si="7"/>
        <v>1748.4234076630635</v>
      </c>
      <c r="G158" s="23">
        <f t="shared" si="8"/>
        <v>1840.4234076630635</v>
      </c>
    </row>
    <row r="159" spans="1:7" x14ac:dyDescent="0.2">
      <c r="A159">
        <v>2016</v>
      </c>
      <c r="B159" s="1" t="s">
        <v>222</v>
      </c>
      <c r="C159" s="1" t="s">
        <v>223</v>
      </c>
      <c r="D159" s="22">
        <v>2943</v>
      </c>
      <c r="E159" s="20">
        <f t="shared" si="6"/>
        <v>4.9869083066336891E-4</v>
      </c>
      <c r="F159">
        <f t="shared" si="7"/>
        <v>55930.544442960811</v>
      </c>
      <c r="G159" s="23">
        <f t="shared" si="8"/>
        <v>58873.544442960811</v>
      </c>
    </row>
    <row r="160" spans="1:7" x14ac:dyDescent="0.2">
      <c r="A160">
        <v>2016</v>
      </c>
      <c r="B160" s="1" t="s">
        <v>224</v>
      </c>
      <c r="C160" s="1" t="s">
        <v>225</v>
      </c>
      <c r="D160" s="22"/>
      <c r="E160" s="20">
        <f t="shared" si="6"/>
        <v>0</v>
      </c>
      <c r="F160">
        <f t="shared" si="7"/>
        <v>0</v>
      </c>
      <c r="G160" s="23">
        <f t="shared" si="8"/>
        <v>0</v>
      </c>
    </row>
    <row r="161" spans="1:7" x14ac:dyDescent="0.2">
      <c r="A161">
        <v>2016</v>
      </c>
      <c r="B161" s="1" t="s">
        <v>577</v>
      </c>
      <c r="C161" s="1" t="s">
        <v>227</v>
      </c>
      <c r="D161" s="22">
        <v>36338</v>
      </c>
      <c r="E161" s="20">
        <f t="shared" si="6"/>
        <v>6.1574676876131502E-3</v>
      </c>
      <c r="F161">
        <f t="shared" si="7"/>
        <v>690589.23682239559</v>
      </c>
      <c r="G161" s="23">
        <f t="shared" si="8"/>
        <v>726927.23682239559</v>
      </c>
    </row>
    <row r="162" spans="1:7" x14ac:dyDescent="0.2">
      <c r="A162">
        <v>2016</v>
      </c>
      <c r="B162" s="1" t="s">
        <v>578</v>
      </c>
      <c r="C162" s="1" t="s">
        <v>228</v>
      </c>
      <c r="D162" s="22">
        <v>10952</v>
      </c>
      <c r="E162" s="20">
        <f t="shared" si="6"/>
        <v>1.8558144673548136E-3</v>
      </c>
      <c r="F162">
        <f t="shared" si="7"/>
        <v>208138.40392093334</v>
      </c>
      <c r="G162" s="23">
        <f t="shared" si="8"/>
        <v>219090.40392093334</v>
      </c>
    </row>
    <row r="163" spans="1:7" x14ac:dyDescent="0.2">
      <c r="A163">
        <v>2016</v>
      </c>
      <c r="B163" s="1" t="s">
        <v>229</v>
      </c>
      <c r="C163" s="1" t="s">
        <v>230</v>
      </c>
      <c r="D163" s="22"/>
      <c r="E163" s="20">
        <f t="shared" si="6"/>
        <v>0</v>
      </c>
      <c r="F163">
        <f t="shared" si="7"/>
        <v>0</v>
      </c>
      <c r="G163" s="23">
        <f t="shared" si="8"/>
        <v>0</v>
      </c>
    </row>
    <row r="164" spans="1:7" x14ac:dyDescent="0.2">
      <c r="A164">
        <v>2016</v>
      </c>
      <c r="B164" s="1" t="s">
        <v>231</v>
      </c>
      <c r="C164" s="1" t="s">
        <v>232</v>
      </c>
      <c r="D164" s="22"/>
      <c r="E164" s="20">
        <f t="shared" si="6"/>
        <v>0</v>
      </c>
      <c r="F164">
        <f t="shared" si="7"/>
        <v>0</v>
      </c>
      <c r="G164" s="23">
        <f t="shared" si="8"/>
        <v>0</v>
      </c>
    </row>
    <row r="165" spans="1:7" x14ac:dyDescent="0.2">
      <c r="A165">
        <v>2016</v>
      </c>
      <c r="B165" s="1" t="s">
        <v>579</v>
      </c>
      <c r="C165" s="1" t="s">
        <v>233</v>
      </c>
      <c r="D165" s="22"/>
      <c r="E165" s="20">
        <f t="shared" si="6"/>
        <v>0</v>
      </c>
      <c r="F165">
        <f t="shared" si="7"/>
        <v>0</v>
      </c>
      <c r="G165" s="23">
        <f t="shared" si="8"/>
        <v>0</v>
      </c>
    </row>
    <row r="166" spans="1:7" x14ac:dyDescent="0.2">
      <c r="A166">
        <v>2016</v>
      </c>
      <c r="B166" s="1" t="s">
        <v>580</v>
      </c>
      <c r="C166" s="1" t="s">
        <v>234</v>
      </c>
      <c r="D166" s="22">
        <v>11396</v>
      </c>
      <c r="E166" s="20">
        <f t="shared" si="6"/>
        <v>1.9310501890043331E-3</v>
      </c>
      <c r="F166">
        <f t="shared" si="7"/>
        <v>216576.44732313335</v>
      </c>
      <c r="G166" s="23">
        <f t="shared" si="8"/>
        <v>227972.44732313335</v>
      </c>
    </row>
    <row r="167" spans="1:7" x14ac:dyDescent="0.2">
      <c r="A167">
        <v>2016</v>
      </c>
      <c r="B167" s="1" t="s">
        <v>581</v>
      </c>
      <c r="C167" s="1" t="s">
        <v>235</v>
      </c>
      <c r="D167" s="22">
        <v>1707</v>
      </c>
      <c r="E167" s="20">
        <f t="shared" si="6"/>
        <v>2.8925084877416609E-4</v>
      </c>
      <c r="F167">
        <f t="shared" si="7"/>
        <v>32440.856053052707</v>
      </c>
      <c r="G167" s="23">
        <f t="shared" si="8"/>
        <v>34147.856053052703</v>
      </c>
    </row>
    <row r="168" spans="1:7" x14ac:dyDescent="0.2">
      <c r="A168">
        <v>2016</v>
      </c>
      <c r="B168" s="1" t="s">
        <v>582</v>
      </c>
      <c r="C168" s="1" t="s">
        <v>236</v>
      </c>
      <c r="D168" s="22">
        <v>9795</v>
      </c>
      <c r="E168" s="20">
        <f t="shared" si="6"/>
        <v>1.6597610215248722E-3</v>
      </c>
      <c r="F168">
        <f t="shared" si="7"/>
        <v>186150.07910934463</v>
      </c>
      <c r="G168" s="23">
        <f t="shared" si="8"/>
        <v>195945.07910934463</v>
      </c>
    </row>
    <row r="169" spans="1:7" x14ac:dyDescent="0.2">
      <c r="A169">
        <v>2016</v>
      </c>
      <c r="B169" s="1" t="s">
        <v>583</v>
      </c>
      <c r="C169" s="1" t="s">
        <v>237</v>
      </c>
      <c r="D169" s="22">
        <v>5871</v>
      </c>
      <c r="E169" s="20">
        <f t="shared" si="6"/>
        <v>9.9483991397371352E-4</v>
      </c>
      <c r="F169">
        <f t="shared" si="7"/>
        <v>111576.01985206352</v>
      </c>
      <c r="G169" s="23">
        <f t="shared" si="8"/>
        <v>117447.01985206352</v>
      </c>
    </row>
    <row r="170" spans="1:7" x14ac:dyDescent="0.2">
      <c r="A170">
        <v>2016</v>
      </c>
      <c r="B170" s="1" t="s">
        <v>238</v>
      </c>
      <c r="C170" s="1" t="s">
        <v>239</v>
      </c>
      <c r="D170" s="22">
        <v>3857</v>
      </c>
      <c r="E170" s="20">
        <f t="shared" si="6"/>
        <v>6.5356796937431668E-4</v>
      </c>
      <c r="F170">
        <f t="shared" si="7"/>
        <v>73300.750906048212</v>
      </c>
      <c r="G170" s="23">
        <f t="shared" si="8"/>
        <v>77157.750906048212</v>
      </c>
    </row>
    <row r="171" spans="1:7" x14ac:dyDescent="0.2">
      <c r="A171">
        <v>2016</v>
      </c>
      <c r="B171" s="1" t="s">
        <v>240</v>
      </c>
      <c r="C171" s="1" t="s">
        <v>241</v>
      </c>
      <c r="D171" s="22">
        <v>3789</v>
      </c>
      <c r="E171" s="20">
        <f t="shared" si="6"/>
        <v>6.4204538137393986E-4</v>
      </c>
      <c r="F171">
        <f t="shared" si="7"/>
        <v>72008.437952558117</v>
      </c>
      <c r="G171" s="23">
        <f t="shared" si="8"/>
        <v>75797.437952558117</v>
      </c>
    </row>
    <row r="172" spans="1:7" x14ac:dyDescent="0.2">
      <c r="A172">
        <v>2016</v>
      </c>
      <c r="B172" s="1" t="s">
        <v>242</v>
      </c>
      <c r="C172" s="1" t="s">
        <v>243</v>
      </c>
      <c r="D172" s="22"/>
      <c r="E172" s="20">
        <f t="shared" si="6"/>
        <v>0</v>
      </c>
      <c r="F172">
        <f t="shared" si="7"/>
        <v>0</v>
      </c>
      <c r="G172" s="23">
        <f t="shared" si="8"/>
        <v>0</v>
      </c>
    </row>
    <row r="173" spans="1:7" x14ac:dyDescent="0.2">
      <c r="A173">
        <v>2016</v>
      </c>
      <c r="B173" s="1" t="s">
        <v>244</v>
      </c>
      <c r="C173" s="1" t="s">
        <v>245</v>
      </c>
      <c r="D173" s="22"/>
      <c r="E173" s="20">
        <f t="shared" si="6"/>
        <v>0</v>
      </c>
      <c r="F173">
        <f t="shared" si="7"/>
        <v>0</v>
      </c>
      <c r="G173" s="23">
        <f t="shared" si="8"/>
        <v>0</v>
      </c>
    </row>
    <row r="174" spans="1:7" x14ac:dyDescent="0.2">
      <c r="A174">
        <v>2016</v>
      </c>
      <c r="B174" s="1" t="s">
        <v>246</v>
      </c>
      <c r="C174" s="1" t="s">
        <v>247</v>
      </c>
      <c r="D174" s="22"/>
      <c r="E174" s="20">
        <f t="shared" si="6"/>
        <v>0</v>
      </c>
      <c r="F174">
        <f t="shared" si="7"/>
        <v>0</v>
      </c>
      <c r="G174" s="23">
        <f t="shared" si="8"/>
        <v>0</v>
      </c>
    </row>
    <row r="175" spans="1:7" x14ac:dyDescent="0.2">
      <c r="A175">
        <v>2016</v>
      </c>
      <c r="B175" s="1" t="s">
        <v>248</v>
      </c>
      <c r="C175" s="1" t="s">
        <v>249</v>
      </c>
      <c r="D175" s="22">
        <v>20108</v>
      </c>
      <c r="E175" s="20">
        <f t="shared" si="6"/>
        <v>3.4072970516408506E-3</v>
      </c>
      <c r="F175">
        <f t="shared" si="7"/>
        <v>382144.54218792258</v>
      </c>
      <c r="G175" s="23">
        <f t="shared" si="8"/>
        <v>402252.54218792258</v>
      </c>
    </row>
    <row r="176" spans="1:7" x14ac:dyDescent="0.2">
      <c r="A176">
        <v>2016</v>
      </c>
      <c r="B176" s="1" t="s">
        <v>584</v>
      </c>
      <c r="C176" s="1" t="s">
        <v>251</v>
      </c>
      <c r="D176" s="22">
        <v>2499</v>
      </c>
      <c r="E176" s="20">
        <f t="shared" si="6"/>
        <v>4.2345510901384948E-4</v>
      </c>
      <c r="F176">
        <f t="shared" si="7"/>
        <v>47492.501040760813</v>
      </c>
      <c r="G176" s="23">
        <f t="shared" si="8"/>
        <v>49991.501040760813</v>
      </c>
    </row>
    <row r="177" spans="1:7" x14ac:dyDescent="0.2">
      <c r="A177">
        <v>2016</v>
      </c>
      <c r="B177" s="1" t="s">
        <v>585</v>
      </c>
      <c r="C177" s="1" t="s">
        <v>252</v>
      </c>
      <c r="D177" s="22"/>
      <c r="E177" s="20">
        <f t="shared" si="6"/>
        <v>0</v>
      </c>
      <c r="F177">
        <f t="shared" si="7"/>
        <v>0</v>
      </c>
      <c r="G177" s="23">
        <f t="shared" si="8"/>
        <v>0</v>
      </c>
    </row>
    <row r="178" spans="1:7" x14ac:dyDescent="0.2">
      <c r="A178">
        <v>2016</v>
      </c>
      <c r="B178" s="1" t="s">
        <v>586</v>
      </c>
      <c r="C178" s="1" t="s">
        <v>253</v>
      </c>
      <c r="D178" s="22">
        <v>10894</v>
      </c>
      <c r="E178" s="20">
        <f t="shared" si="6"/>
        <v>1.8459863775897865E-3</v>
      </c>
      <c r="F178">
        <f t="shared" si="7"/>
        <v>207036.13699001534</v>
      </c>
      <c r="G178" s="23">
        <f t="shared" si="8"/>
        <v>217930.13699001534</v>
      </c>
    </row>
    <row r="179" spans="1:7" x14ac:dyDescent="0.2">
      <c r="A179">
        <v>2016</v>
      </c>
      <c r="B179" s="1" t="s">
        <v>587</v>
      </c>
      <c r="C179" s="1" t="s">
        <v>254</v>
      </c>
      <c r="D179" s="22">
        <v>3113</v>
      </c>
      <c r="E179" s="20">
        <f t="shared" si="6"/>
        <v>5.2749730066431108E-4</v>
      </c>
      <c r="F179">
        <f t="shared" si="7"/>
        <v>59161.32682668604</v>
      </c>
      <c r="G179" s="23">
        <f t="shared" si="8"/>
        <v>62274.32682668604</v>
      </c>
    </row>
    <row r="180" spans="1:7" x14ac:dyDescent="0.2">
      <c r="A180">
        <v>2016</v>
      </c>
      <c r="B180" s="1" t="s">
        <v>588</v>
      </c>
      <c r="C180" s="1" t="s">
        <v>255</v>
      </c>
      <c r="D180" s="22">
        <v>12002</v>
      </c>
      <c r="E180" s="20">
        <f t="shared" si="6"/>
        <v>2.0337367820665152E-3</v>
      </c>
      <c r="F180">
        <f t="shared" si="7"/>
        <v>228093.23629100094</v>
      </c>
      <c r="G180" s="23">
        <f t="shared" si="8"/>
        <v>240095.23629100094</v>
      </c>
    </row>
    <row r="181" spans="1:7" x14ac:dyDescent="0.2">
      <c r="A181">
        <v>2016</v>
      </c>
      <c r="B181" s="1" t="s">
        <v>589</v>
      </c>
      <c r="C181" s="1" t="s">
        <v>256</v>
      </c>
      <c r="D181" s="22">
        <v>5506</v>
      </c>
      <c r="E181" s="20">
        <f t="shared" si="6"/>
        <v>9.3299072838345541E-4</v>
      </c>
      <c r="F181">
        <f t="shared" si="7"/>
        <v>104639.34002818289</v>
      </c>
      <c r="G181" s="23">
        <f t="shared" si="8"/>
        <v>110145.34002818289</v>
      </c>
    </row>
    <row r="182" spans="1:7" x14ac:dyDescent="0.2">
      <c r="A182">
        <v>2016</v>
      </c>
      <c r="B182" s="1" t="s">
        <v>257</v>
      </c>
      <c r="C182" s="1" t="s">
        <v>258</v>
      </c>
      <c r="D182" s="22">
        <v>101</v>
      </c>
      <c r="E182" s="20">
        <f t="shared" si="6"/>
        <v>1.7114432177030331E-5</v>
      </c>
      <c r="F182">
        <f t="shared" si="7"/>
        <v>1919.4648279779281</v>
      </c>
      <c r="G182" s="23">
        <f t="shared" si="8"/>
        <v>2020.4648279779281</v>
      </c>
    </row>
    <row r="183" spans="1:7" x14ac:dyDescent="0.2">
      <c r="A183">
        <v>2016</v>
      </c>
      <c r="B183" s="1" t="s">
        <v>259</v>
      </c>
      <c r="C183" s="1" t="s">
        <v>260</v>
      </c>
      <c r="D183" s="22">
        <v>11570</v>
      </c>
      <c r="E183" s="20">
        <f t="shared" si="6"/>
        <v>1.9605344582994152E-3</v>
      </c>
      <c r="F183">
        <f t="shared" si="7"/>
        <v>219883.24811588743</v>
      </c>
      <c r="G183" s="23">
        <f t="shared" si="8"/>
        <v>231453.24811588743</v>
      </c>
    </row>
    <row r="184" spans="1:7" x14ac:dyDescent="0.2">
      <c r="A184">
        <v>2016</v>
      </c>
      <c r="B184" s="1" t="s">
        <v>590</v>
      </c>
      <c r="C184" s="1" t="s">
        <v>261</v>
      </c>
      <c r="D184" s="22">
        <v>9242</v>
      </c>
      <c r="E184" s="20">
        <f t="shared" si="6"/>
        <v>1.5660552691100429E-3</v>
      </c>
      <c r="F184">
        <f t="shared" si="7"/>
        <v>175640.53406110904</v>
      </c>
      <c r="G184" s="23">
        <f t="shared" si="8"/>
        <v>184882.53406110904</v>
      </c>
    </row>
    <row r="185" spans="1:7" x14ac:dyDescent="0.2">
      <c r="A185">
        <v>2016</v>
      </c>
      <c r="B185" s="1" t="s">
        <v>591</v>
      </c>
      <c r="C185" s="1" t="s">
        <v>262</v>
      </c>
      <c r="D185" s="22">
        <v>390</v>
      </c>
      <c r="E185" s="20">
        <f t="shared" si="6"/>
        <v>6.6085431178631972E-5</v>
      </c>
      <c r="F185">
        <f t="shared" si="7"/>
        <v>7411.794880310812</v>
      </c>
      <c r="G185" s="23">
        <f t="shared" si="8"/>
        <v>7801.794880310812</v>
      </c>
    </row>
    <row r="186" spans="1:7" x14ac:dyDescent="0.2">
      <c r="A186">
        <v>2016</v>
      </c>
      <c r="B186" s="1" t="s">
        <v>592</v>
      </c>
      <c r="C186" s="1" t="s">
        <v>263</v>
      </c>
      <c r="D186" s="22">
        <v>563</v>
      </c>
      <c r="E186" s="20">
        <f t="shared" si="6"/>
        <v>9.5400250650178972E-5</v>
      </c>
      <c r="F186">
        <f t="shared" si="7"/>
        <v>10699.591070807659</v>
      </c>
      <c r="G186" s="23">
        <f t="shared" si="8"/>
        <v>11262.591070807659</v>
      </c>
    </row>
    <row r="187" spans="1:7" x14ac:dyDescent="0.2">
      <c r="A187">
        <v>2016</v>
      </c>
      <c r="B187" s="1" t="s">
        <v>593</v>
      </c>
      <c r="C187" s="1" t="s">
        <v>264</v>
      </c>
      <c r="D187" s="22">
        <v>4243</v>
      </c>
      <c r="E187" s="20">
        <f t="shared" si="6"/>
        <v>7.1897560125880886E-4</v>
      </c>
      <c r="F187">
        <f t="shared" si="7"/>
        <v>80636.527377330189</v>
      </c>
      <c r="G187" s="23">
        <f t="shared" si="8"/>
        <v>84879.527377330189</v>
      </c>
    </row>
    <row r="188" spans="1:7" x14ac:dyDescent="0.2">
      <c r="A188">
        <v>2016</v>
      </c>
      <c r="B188" s="1" t="s">
        <v>594</v>
      </c>
      <c r="C188" s="1" t="s">
        <v>265</v>
      </c>
      <c r="D188" s="22">
        <v>3394</v>
      </c>
      <c r="E188" s="20">
        <f t="shared" si="6"/>
        <v>5.7511270107763314E-4</v>
      </c>
      <c r="F188">
        <f t="shared" si="7"/>
        <v>64501.620060961272</v>
      </c>
      <c r="G188" s="23">
        <f t="shared" si="8"/>
        <v>67895.620060961272</v>
      </c>
    </row>
    <row r="189" spans="1:7" x14ac:dyDescent="0.2">
      <c r="A189">
        <v>2016</v>
      </c>
      <c r="B189" s="1" t="s">
        <v>595</v>
      </c>
      <c r="C189" s="1" t="s">
        <v>266</v>
      </c>
      <c r="D189" s="22">
        <v>5837</v>
      </c>
      <c r="E189" s="20">
        <f t="shared" si="6"/>
        <v>9.8907861997352521E-4</v>
      </c>
      <c r="F189">
        <f t="shared" si="7"/>
        <v>110929.86337531848</v>
      </c>
      <c r="G189" s="23">
        <f t="shared" si="8"/>
        <v>116766.86337531848</v>
      </c>
    </row>
    <row r="190" spans="1:7" x14ac:dyDescent="0.2">
      <c r="A190">
        <v>2016</v>
      </c>
      <c r="B190" s="1" t="s">
        <v>596</v>
      </c>
      <c r="C190" s="1" t="s">
        <v>267</v>
      </c>
      <c r="D190" s="22">
        <v>2140</v>
      </c>
      <c r="E190" s="20">
        <f t="shared" si="6"/>
        <v>3.6262262236480108E-4</v>
      </c>
      <c r="F190">
        <f t="shared" si="7"/>
        <v>40669.848830423427</v>
      </c>
      <c r="G190" s="23">
        <f t="shared" si="8"/>
        <v>42809.848830423427</v>
      </c>
    </row>
    <row r="191" spans="1:7" x14ac:dyDescent="0.2">
      <c r="A191">
        <v>2016</v>
      </c>
      <c r="B191" s="1" t="s">
        <v>597</v>
      </c>
      <c r="C191" s="1" t="s">
        <v>268</v>
      </c>
      <c r="D191" s="22">
        <v>5962</v>
      </c>
      <c r="E191" s="20">
        <f t="shared" si="6"/>
        <v>1.0102598479153945E-3</v>
      </c>
      <c r="F191">
        <f t="shared" si="7"/>
        <v>113305.43865746939</v>
      </c>
      <c r="G191" s="23">
        <f t="shared" si="8"/>
        <v>119267.43865746939</v>
      </c>
    </row>
    <row r="192" spans="1:7" x14ac:dyDescent="0.2">
      <c r="A192">
        <v>2016</v>
      </c>
      <c r="B192" s="1" t="s">
        <v>269</v>
      </c>
      <c r="C192" s="1" t="s">
        <v>270</v>
      </c>
      <c r="D192" s="22"/>
      <c r="E192" s="20">
        <f t="shared" si="6"/>
        <v>0</v>
      </c>
      <c r="F192">
        <f t="shared" si="7"/>
        <v>0</v>
      </c>
      <c r="G192" s="23">
        <f t="shared" si="8"/>
        <v>0</v>
      </c>
    </row>
    <row r="193" spans="1:7" x14ac:dyDescent="0.2">
      <c r="A193">
        <v>2016</v>
      </c>
      <c r="B193" s="1" t="s">
        <v>271</v>
      </c>
      <c r="C193" s="1" t="s">
        <v>272</v>
      </c>
      <c r="D193" s="22">
        <v>80602</v>
      </c>
      <c r="E193" s="20">
        <f t="shared" si="6"/>
        <v>1.3657994676564344E-2</v>
      </c>
      <c r="F193">
        <f t="shared" si="7"/>
        <v>1531808.9511354156</v>
      </c>
      <c r="G193" s="23">
        <f t="shared" si="8"/>
        <v>1612410.9511354156</v>
      </c>
    </row>
    <row r="194" spans="1:7" x14ac:dyDescent="0.2">
      <c r="A194">
        <v>2016</v>
      </c>
      <c r="B194" s="1" t="s">
        <v>598</v>
      </c>
      <c r="C194" s="1" t="s">
        <v>273</v>
      </c>
      <c r="D194" s="22">
        <v>18498</v>
      </c>
      <c r="E194" s="20">
        <f t="shared" si="6"/>
        <v>3.1344828357495746E-3</v>
      </c>
      <c r="F194">
        <f t="shared" si="7"/>
        <v>351547.13255381893</v>
      </c>
      <c r="G194" s="23">
        <f t="shared" si="8"/>
        <v>370045.13255381893</v>
      </c>
    </row>
    <row r="195" spans="1:7" x14ac:dyDescent="0.2">
      <c r="A195">
        <v>2016</v>
      </c>
      <c r="B195" s="1" t="s">
        <v>599</v>
      </c>
      <c r="C195" s="1" t="s">
        <v>274</v>
      </c>
      <c r="D195" s="22">
        <v>45755</v>
      </c>
      <c r="E195" s="20">
        <f t="shared" ref="E195:E246" si="9">D195/$D$248</f>
        <v>7.7531766758418101E-3</v>
      </c>
      <c r="F195">
        <f t="shared" ref="F195:F246" si="10">E195*$D$250</f>
        <v>869555.57627851586</v>
      </c>
      <c r="G195" s="23">
        <f t="shared" ref="G195:G246" si="11">SUM(D195,F195)</f>
        <v>915310.57627851586</v>
      </c>
    </row>
    <row r="196" spans="1:7" x14ac:dyDescent="0.2">
      <c r="A196">
        <v>2016</v>
      </c>
      <c r="B196" s="1" t="s">
        <v>600</v>
      </c>
      <c r="C196" s="1" t="s">
        <v>275</v>
      </c>
      <c r="D196" s="22">
        <v>6997</v>
      </c>
      <c r="E196" s="20">
        <f t="shared" si="9"/>
        <v>1.1856404152740716E-3</v>
      </c>
      <c r="F196">
        <f t="shared" si="10"/>
        <v>132975.20199367884</v>
      </c>
      <c r="G196" s="23">
        <f t="shared" si="11"/>
        <v>139972.20199367884</v>
      </c>
    </row>
    <row r="197" spans="1:7" x14ac:dyDescent="0.2">
      <c r="A197">
        <v>2016</v>
      </c>
      <c r="B197" s="1" t="s">
        <v>276</v>
      </c>
      <c r="C197" s="1" t="s">
        <v>277</v>
      </c>
      <c r="D197" s="22">
        <v>6294</v>
      </c>
      <c r="E197" s="20">
        <f t="shared" si="9"/>
        <v>1.066517189328999E-3</v>
      </c>
      <c r="F197">
        <f t="shared" si="10"/>
        <v>119614.96660686217</v>
      </c>
      <c r="G197" s="23">
        <f t="shared" si="11"/>
        <v>125908.96660686217</v>
      </c>
    </row>
    <row r="198" spans="1:7" x14ac:dyDescent="0.2">
      <c r="A198">
        <v>2016</v>
      </c>
      <c r="B198" s="1" t="s">
        <v>278</v>
      </c>
      <c r="C198" s="1" t="s">
        <v>279</v>
      </c>
      <c r="D198" s="22">
        <v>4640</v>
      </c>
      <c r="E198" s="20">
        <f t="shared" si="9"/>
        <v>7.8624718120218554E-4</v>
      </c>
      <c r="F198">
        <f t="shared" si="10"/>
        <v>88181.354473441461</v>
      </c>
      <c r="G198" s="23">
        <f t="shared" si="11"/>
        <v>92821.354473441461</v>
      </c>
    </row>
    <row r="199" spans="1:7" x14ac:dyDescent="0.2">
      <c r="A199">
        <v>2016</v>
      </c>
      <c r="B199" s="1" t="s">
        <v>280</v>
      </c>
      <c r="C199" s="1" t="s">
        <v>281</v>
      </c>
      <c r="D199" s="22">
        <v>3358</v>
      </c>
      <c r="E199" s="20">
        <f t="shared" si="9"/>
        <v>5.6901250743037477E-4</v>
      </c>
      <c r="F199">
        <f t="shared" si="10"/>
        <v>63817.454379701812</v>
      </c>
      <c r="G199" s="23">
        <f t="shared" si="11"/>
        <v>67175.454379701812</v>
      </c>
    </row>
    <row r="200" spans="1:7" x14ac:dyDescent="0.2">
      <c r="A200">
        <v>2016</v>
      </c>
      <c r="B200" s="1" t="s">
        <v>282</v>
      </c>
      <c r="C200" s="1" t="s">
        <v>283</v>
      </c>
      <c r="D200" s="22">
        <v>851</v>
      </c>
      <c r="E200" s="20">
        <f t="shared" si="9"/>
        <v>1.4420179982824565E-4</v>
      </c>
      <c r="F200">
        <f t="shared" si="10"/>
        <v>16172.916520883335</v>
      </c>
      <c r="G200" s="23">
        <f t="shared" si="11"/>
        <v>17023.916520883336</v>
      </c>
    </row>
    <row r="201" spans="1:7" x14ac:dyDescent="0.2">
      <c r="A201">
        <v>2016</v>
      </c>
      <c r="B201" s="1" t="s">
        <v>284</v>
      </c>
      <c r="C201" s="1" t="s">
        <v>285</v>
      </c>
      <c r="D201" s="22">
        <v>11323</v>
      </c>
      <c r="E201" s="20">
        <f t="shared" si="9"/>
        <v>1.9186803518862815E-3</v>
      </c>
      <c r="F201">
        <f t="shared" si="10"/>
        <v>215189.11135835722</v>
      </c>
      <c r="G201" s="23">
        <f t="shared" si="11"/>
        <v>226512.11135835722</v>
      </c>
    </row>
    <row r="202" spans="1:7" x14ac:dyDescent="0.2">
      <c r="A202">
        <v>2016</v>
      </c>
      <c r="B202" s="1" t="s">
        <v>286</v>
      </c>
      <c r="C202" s="1" t="s">
        <v>287</v>
      </c>
      <c r="D202" s="22"/>
      <c r="E202" s="20">
        <f t="shared" si="9"/>
        <v>0</v>
      </c>
      <c r="F202">
        <f t="shared" si="10"/>
        <v>0</v>
      </c>
      <c r="G202" s="23">
        <f t="shared" si="11"/>
        <v>0</v>
      </c>
    </row>
    <row r="203" spans="1:7" x14ac:dyDescent="0.2">
      <c r="A203">
        <v>2016</v>
      </c>
      <c r="B203" s="1" t="s">
        <v>601</v>
      </c>
      <c r="C203" s="1" t="s">
        <v>289</v>
      </c>
      <c r="D203" s="22">
        <v>53854</v>
      </c>
      <c r="E203" s="20">
        <f t="shared" si="9"/>
        <v>9.1255507966514007E-3</v>
      </c>
      <c r="F203">
        <f t="shared" si="10"/>
        <v>1023473.849959637</v>
      </c>
      <c r="G203" s="23">
        <f t="shared" si="11"/>
        <v>1077327.849959637</v>
      </c>
    </row>
    <row r="204" spans="1:7" x14ac:dyDescent="0.2">
      <c r="A204">
        <v>2016</v>
      </c>
      <c r="B204" s="1" t="s">
        <v>293</v>
      </c>
      <c r="C204" s="1" t="s">
        <v>290</v>
      </c>
      <c r="D204" s="22">
        <v>6900</v>
      </c>
      <c r="E204" s="20">
        <f t="shared" si="9"/>
        <v>1.1692037823911811E-3</v>
      </c>
      <c r="F204">
        <f t="shared" si="10"/>
        <v>131131.75557472976</v>
      </c>
      <c r="G204" s="23">
        <f t="shared" si="11"/>
        <v>138031.75557472976</v>
      </c>
    </row>
    <row r="205" spans="1:7" x14ac:dyDescent="0.2">
      <c r="A205">
        <v>2016</v>
      </c>
      <c r="B205" s="1" t="s">
        <v>291</v>
      </c>
      <c r="C205" s="1" t="s">
        <v>292</v>
      </c>
      <c r="D205" s="22"/>
      <c r="E205" s="20">
        <f t="shared" si="9"/>
        <v>0</v>
      </c>
      <c r="F205">
        <f t="shared" si="10"/>
        <v>0</v>
      </c>
      <c r="G205" s="23">
        <f t="shared" si="11"/>
        <v>0</v>
      </c>
    </row>
    <row r="206" spans="1:7" x14ac:dyDescent="0.2">
      <c r="A206">
        <v>2016</v>
      </c>
      <c r="B206" s="1" t="s">
        <v>602</v>
      </c>
      <c r="C206" s="1" t="s">
        <v>294</v>
      </c>
      <c r="D206" s="22"/>
      <c r="E206" s="20">
        <f t="shared" si="9"/>
        <v>0</v>
      </c>
      <c r="F206">
        <f t="shared" si="10"/>
        <v>0</v>
      </c>
      <c r="G206" s="23">
        <f t="shared" si="11"/>
        <v>0</v>
      </c>
    </row>
    <row r="207" spans="1:7" x14ac:dyDescent="0.2">
      <c r="A207">
        <v>2016</v>
      </c>
      <c r="B207" s="1" t="s">
        <v>603</v>
      </c>
      <c r="C207" s="1" t="s">
        <v>296</v>
      </c>
      <c r="D207" s="22"/>
      <c r="E207" s="20">
        <f t="shared" si="9"/>
        <v>0</v>
      </c>
      <c r="F207">
        <f t="shared" si="10"/>
        <v>0</v>
      </c>
      <c r="G207" s="23">
        <f t="shared" si="11"/>
        <v>0</v>
      </c>
    </row>
    <row r="208" spans="1:7" x14ac:dyDescent="0.2">
      <c r="A208">
        <v>2016</v>
      </c>
      <c r="B208" s="1" t="s">
        <v>297</v>
      </c>
      <c r="C208" s="1" t="s">
        <v>298</v>
      </c>
      <c r="D208" s="22"/>
      <c r="E208" s="20">
        <f t="shared" si="9"/>
        <v>0</v>
      </c>
      <c r="F208">
        <f t="shared" si="10"/>
        <v>0</v>
      </c>
      <c r="G208" s="23">
        <f t="shared" si="11"/>
        <v>0</v>
      </c>
    </row>
    <row r="209" spans="1:7" x14ac:dyDescent="0.2">
      <c r="A209">
        <v>2016</v>
      </c>
      <c r="B209" s="1" t="s">
        <v>299</v>
      </c>
      <c r="C209" s="1" t="s">
        <v>300</v>
      </c>
      <c r="D209" s="22">
        <v>8672</v>
      </c>
      <c r="E209" s="20">
        <f t="shared" si="9"/>
        <v>1.4694688696951191E-3</v>
      </c>
      <c r="F209">
        <f t="shared" si="10"/>
        <v>164807.91077450092</v>
      </c>
      <c r="G209" s="23">
        <f t="shared" si="11"/>
        <v>173479.91077450092</v>
      </c>
    </row>
    <row r="210" spans="1:7" x14ac:dyDescent="0.2">
      <c r="A210">
        <v>2016</v>
      </c>
      <c r="B210" s="1" t="s">
        <v>301</v>
      </c>
      <c r="C210" s="1" t="s">
        <v>302</v>
      </c>
      <c r="D210" s="22">
        <v>1854</v>
      </c>
      <c r="E210" s="20">
        <f t="shared" si="9"/>
        <v>3.1415997283380429E-4</v>
      </c>
      <c r="F210">
        <f t="shared" si="10"/>
        <v>35234.532584862165</v>
      </c>
      <c r="G210" s="23">
        <f t="shared" si="11"/>
        <v>37088.532584862165</v>
      </c>
    </row>
    <row r="211" spans="1:7" x14ac:dyDescent="0.2">
      <c r="A211">
        <v>2016</v>
      </c>
      <c r="B211" s="1" t="s">
        <v>303</v>
      </c>
      <c r="C211" s="1" t="s">
        <v>304</v>
      </c>
      <c r="D211" s="22">
        <v>16169</v>
      </c>
      <c r="E211" s="20">
        <f t="shared" si="9"/>
        <v>2.7398341967366673E-3</v>
      </c>
      <c r="F211">
        <f t="shared" si="10"/>
        <v>307285.41389678337</v>
      </c>
      <c r="G211" s="23">
        <f t="shared" si="11"/>
        <v>323454.41389678337</v>
      </c>
    </row>
    <row r="212" spans="1:7" x14ac:dyDescent="0.2">
      <c r="A212">
        <v>2016</v>
      </c>
      <c r="B212" s="1" t="s">
        <v>305</v>
      </c>
      <c r="C212" s="1" t="s">
        <v>604</v>
      </c>
      <c r="D212" s="22"/>
      <c r="E212" s="20">
        <f t="shared" si="9"/>
        <v>0</v>
      </c>
      <c r="F212">
        <f t="shared" si="10"/>
        <v>0</v>
      </c>
      <c r="G212" s="23">
        <f t="shared" si="11"/>
        <v>0</v>
      </c>
    </row>
    <row r="213" spans="1:7" x14ac:dyDescent="0.2">
      <c r="A213">
        <v>2016</v>
      </c>
      <c r="B213" s="1" t="s">
        <v>307</v>
      </c>
      <c r="C213" s="1" t="s">
        <v>308</v>
      </c>
      <c r="D213" s="22">
        <v>45</v>
      </c>
      <c r="E213" s="20">
        <f t="shared" si="9"/>
        <v>7.6252420590729199E-6</v>
      </c>
      <c r="F213">
        <f t="shared" si="10"/>
        <v>855.2071015743245</v>
      </c>
      <c r="G213" s="23">
        <f t="shared" si="11"/>
        <v>900.2071015743245</v>
      </c>
    </row>
    <row r="214" spans="1:7" x14ac:dyDescent="0.2">
      <c r="A214">
        <v>2016</v>
      </c>
      <c r="B214" s="1" t="s">
        <v>309</v>
      </c>
      <c r="C214" s="1" t="s">
        <v>310</v>
      </c>
      <c r="D214" s="22"/>
      <c r="E214" s="20">
        <f t="shared" si="9"/>
        <v>0</v>
      </c>
      <c r="F214">
        <f t="shared" si="10"/>
        <v>0</v>
      </c>
      <c r="G214" s="23">
        <f t="shared" si="11"/>
        <v>0</v>
      </c>
    </row>
    <row r="215" spans="1:7" x14ac:dyDescent="0.2">
      <c r="A215">
        <v>2016</v>
      </c>
      <c r="B215" s="1" t="s">
        <v>605</v>
      </c>
      <c r="C215" s="1" t="s">
        <v>311</v>
      </c>
      <c r="D215" s="22">
        <v>563</v>
      </c>
      <c r="E215" s="20">
        <f t="shared" si="9"/>
        <v>9.5400250650178972E-5</v>
      </c>
      <c r="F215">
        <f t="shared" si="10"/>
        <v>10699.591070807659</v>
      </c>
      <c r="G215" s="23">
        <f t="shared" si="11"/>
        <v>11262.591070807659</v>
      </c>
    </row>
    <row r="216" spans="1:7" x14ac:dyDescent="0.2">
      <c r="A216">
        <v>2016</v>
      </c>
      <c r="B216" s="1" t="s">
        <v>312</v>
      </c>
      <c r="C216" s="1" t="s">
        <v>606</v>
      </c>
      <c r="D216" s="22">
        <v>3185</v>
      </c>
      <c r="E216" s="20">
        <f t="shared" si="9"/>
        <v>5.3969768795882772E-4</v>
      </c>
      <c r="F216">
        <f t="shared" si="10"/>
        <v>60529.658189204958</v>
      </c>
      <c r="G216" s="23">
        <f t="shared" si="11"/>
        <v>63714.658189204958</v>
      </c>
    </row>
    <row r="217" spans="1:7" x14ac:dyDescent="0.2">
      <c r="A217">
        <v>2016</v>
      </c>
      <c r="B217" s="1" t="s">
        <v>607</v>
      </c>
      <c r="C217" s="1" t="s">
        <v>314</v>
      </c>
      <c r="D217" s="22">
        <v>5176</v>
      </c>
      <c r="E217" s="20">
        <f t="shared" si="9"/>
        <v>8.7707228661692074E-4</v>
      </c>
      <c r="F217">
        <f t="shared" si="10"/>
        <v>98367.821283304525</v>
      </c>
      <c r="G217" s="23">
        <f t="shared" si="11"/>
        <v>103543.82128330453</v>
      </c>
    </row>
    <row r="218" spans="1:7" x14ac:dyDescent="0.2">
      <c r="A218">
        <v>2016</v>
      </c>
      <c r="B218" s="1" t="s">
        <v>315</v>
      </c>
      <c r="C218" s="1" t="s">
        <v>316</v>
      </c>
      <c r="D218" s="22">
        <v>2279</v>
      </c>
      <c r="E218" s="20">
        <f t="shared" si="9"/>
        <v>3.8617614783615967E-4</v>
      </c>
      <c r="F218">
        <f t="shared" si="10"/>
        <v>43311.488544175234</v>
      </c>
      <c r="G218" s="23">
        <f t="shared" si="11"/>
        <v>45590.488544175234</v>
      </c>
    </row>
    <row r="219" spans="1:7" x14ac:dyDescent="0.2">
      <c r="A219">
        <v>2016</v>
      </c>
      <c r="B219" s="1" t="s">
        <v>317</v>
      </c>
      <c r="C219" s="1" t="s">
        <v>318</v>
      </c>
      <c r="D219" s="22"/>
      <c r="E219" s="20">
        <f t="shared" si="9"/>
        <v>0</v>
      </c>
      <c r="F219">
        <f t="shared" si="10"/>
        <v>0</v>
      </c>
      <c r="G219" s="23">
        <f t="shared" si="11"/>
        <v>0</v>
      </c>
    </row>
    <row r="220" spans="1:7" x14ac:dyDescent="0.2">
      <c r="A220">
        <v>2016</v>
      </c>
      <c r="B220" s="1" t="s">
        <v>608</v>
      </c>
      <c r="C220" s="1" t="s">
        <v>319</v>
      </c>
      <c r="D220" s="22"/>
      <c r="E220" s="20">
        <f t="shared" si="9"/>
        <v>0</v>
      </c>
      <c r="F220">
        <f t="shared" si="10"/>
        <v>0</v>
      </c>
      <c r="G220" s="23">
        <f t="shared" si="11"/>
        <v>0</v>
      </c>
    </row>
    <row r="221" spans="1:7" x14ac:dyDescent="0.2">
      <c r="A221">
        <v>2016</v>
      </c>
      <c r="B221" s="1" t="s">
        <v>609</v>
      </c>
      <c r="C221" s="1" t="s">
        <v>320</v>
      </c>
      <c r="D221" s="22"/>
      <c r="E221" s="20">
        <f t="shared" si="9"/>
        <v>0</v>
      </c>
      <c r="F221">
        <f t="shared" si="10"/>
        <v>0</v>
      </c>
      <c r="G221" s="23">
        <f t="shared" si="11"/>
        <v>0</v>
      </c>
    </row>
    <row r="222" spans="1:7" x14ac:dyDescent="0.2">
      <c r="A222">
        <v>2016</v>
      </c>
      <c r="B222" s="1" t="s">
        <v>321</v>
      </c>
      <c r="C222" s="1" t="s">
        <v>322</v>
      </c>
      <c r="D222" s="22"/>
      <c r="E222" s="20">
        <f t="shared" si="9"/>
        <v>0</v>
      </c>
      <c r="F222">
        <f t="shared" si="10"/>
        <v>0</v>
      </c>
      <c r="G222" s="23">
        <f t="shared" si="11"/>
        <v>0</v>
      </c>
    </row>
    <row r="223" spans="1:7" x14ac:dyDescent="0.2">
      <c r="A223">
        <v>2016</v>
      </c>
      <c r="B223" s="1" t="s">
        <v>610</v>
      </c>
      <c r="C223" s="1" t="s">
        <v>323</v>
      </c>
      <c r="D223" s="22">
        <v>15923</v>
      </c>
      <c r="E223" s="20">
        <f t="shared" si="9"/>
        <v>2.6981495401470689E-3</v>
      </c>
      <c r="F223">
        <f t="shared" si="10"/>
        <v>302610.28174151038</v>
      </c>
      <c r="G223" s="23">
        <f t="shared" si="11"/>
        <v>318533.28174151038</v>
      </c>
    </row>
    <row r="224" spans="1:7" x14ac:dyDescent="0.2">
      <c r="A224">
        <v>2016</v>
      </c>
      <c r="B224" s="1" t="s">
        <v>324</v>
      </c>
      <c r="C224" s="1" t="s">
        <v>325</v>
      </c>
      <c r="D224" s="22">
        <v>3404</v>
      </c>
      <c r="E224" s="20">
        <f t="shared" si="9"/>
        <v>5.768071993129826E-4</v>
      </c>
      <c r="F224">
        <f t="shared" si="10"/>
        <v>64691.666083533339</v>
      </c>
      <c r="G224" s="23">
        <f t="shared" si="11"/>
        <v>68095.666083533346</v>
      </c>
    </row>
    <row r="225" spans="1:7" x14ac:dyDescent="0.2">
      <c r="A225">
        <v>2016</v>
      </c>
      <c r="B225" s="1" t="s">
        <v>326</v>
      </c>
      <c r="C225" s="1" t="s">
        <v>327</v>
      </c>
      <c r="D225" s="22">
        <v>306</v>
      </c>
      <c r="E225" s="20">
        <f t="shared" si="9"/>
        <v>5.1851646001695851E-5</v>
      </c>
      <c r="F225">
        <f t="shared" si="10"/>
        <v>5815.4082907054053</v>
      </c>
      <c r="G225" s="23">
        <f t="shared" si="11"/>
        <v>6121.4082907054053</v>
      </c>
    </row>
    <row r="226" spans="1:7" x14ac:dyDescent="0.2">
      <c r="A226">
        <v>2016</v>
      </c>
      <c r="B226" s="1" t="s">
        <v>611</v>
      </c>
      <c r="C226" s="1" t="s">
        <v>328</v>
      </c>
      <c r="D226" s="22">
        <v>2309</v>
      </c>
      <c r="E226" s="20">
        <f t="shared" si="9"/>
        <v>3.9125964254220827E-4</v>
      </c>
      <c r="F226">
        <f t="shared" si="10"/>
        <v>43881.62661189145</v>
      </c>
      <c r="G226" s="23">
        <f t="shared" si="11"/>
        <v>46190.62661189145</v>
      </c>
    </row>
    <row r="227" spans="1:7" x14ac:dyDescent="0.2">
      <c r="A227">
        <v>2016</v>
      </c>
      <c r="B227" s="1" t="s">
        <v>329</v>
      </c>
      <c r="C227" s="1" t="s">
        <v>330</v>
      </c>
      <c r="D227" s="22">
        <v>4431</v>
      </c>
      <c r="E227" s="20">
        <f t="shared" si="9"/>
        <v>7.5083216808338011E-4</v>
      </c>
      <c r="F227">
        <f t="shared" si="10"/>
        <v>84209.392601685133</v>
      </c>
      <c r="G227" s="23">
        <f t="shared" si="11"/>
        <v>88640.392601685133</v>
      </c>
    </row>
    <row r="228" spans="1:7" x14ac:dyDescent="0.2">
      <c r="A228">
        <v>2016</v>
      </c>
      <c r="B228" s="1" t="s">
        <v>612</v>
      </c>
      <c r="C228" s="1" t="s">
        <v>331</v>
      </c>
      <c r="D228" s="22">
        <v>5485</v>
      </c>
      <c r="E228" s="20">
        <f t="shared" si="9"/>
        <v>9.2943228208922145E-4</v>
      </c>
      <c r="F228">
        <f t="shared" si="10"/>
        <v>104240.24338078154</v>
      </c>
      <c r="G228" s="23">
        <f t="shared" si="11"/>
        <v>109725.24338078154</v>
      </c>
    </row>
    <row r="229" spans="1:7" x14ac:dyDescent="0.2">
      <c r="A229">
        <v>2016</v>
      </c>
      <c r="B229" s="1" t="s">
        <v>332</v>
      </c>
      <c r="C229" s="1" t="s">
        <v>333</v>
      </c>
      <c r="D229" s="22">
        <v>4662</v>
      </c>
      <c r="E229" s="20">
        <f t="shared" si="9"/>
        <v>7.8997507731995453E-4</v>
      </c>
      <c r="F229">
        <f t="shared" si="10"/>
        <v>88599.455723100022</v>
      </c>
      <c r="G229" s="23">
        <f t="shared" si="11"/>
        <v>93261.455723100022</v>
      </c>
    </row>
    <row r="230" spans="1:7" x14ac:dyDescent="0.2">
      <c r="A230">
        <v>2016</v>
      </c>
      <c r="B230" s="1" t="s">
        <v>334</v>
      </c>
      <c r="C230" s="1" t="s">
        <v>335</v>
      </c>
      <c r="D230" s="22">
        <v>2139</v>
      </c>
      <c r="E230" s="20">
        <f t="shared" si="9"/>
        <v>3.624531725412661E-4</v>
      </c>
      <c r="F230">
        <f t="shared" si="10"/>
        <v>40650.844228166221</v>
      </c>
      <c r="G230" s="23">
        <f t="shared" si="11"/>
        <v>42789.844228166221</v>
      </c>
    </row>
    <row r="231" spans="1:7" x14ac:dyDescent="0.2">
      <c r="A231">
        <v>2016</v>
      </c>
      <c r="B231" s="1" t="s">
        <v>613</v>
      </c>
      <c r="C231" s="1" t="s">
        <v>336</v>
      </c>
      <c r="D231" s="22">
        <v>6387</v>
      </c>
      <c r="E231" s="20">
        <f t="shared" si="9"/>
        <v>1.0822760229177498E-3</v>
      </c>
      <c r="F231">
        <f t="shared" si="10"/>
        <v>121382.39461678245</v>
      </c>
      <c r="G231" s="23">
        <f t="shared" si="11"/>
        <v>127769.39461678245</v>
      </c>
    </row>
    <row r="232" spans="1:7" x14ac:dyDescent="0.2">
      <c r="A232">
        <v>2016</v>
      </c>
      <c r="B232" s="1" t="s">
        <v>614</v>
      </c>
      <c r="C232" s="1" t="s">
        <v>338</v>
      </c>
      <c r="D232" s="22">
        <v>5236</v>
      </c>
      <c r="E232" s="20">
        <f t="shared" si="9"/>
        <v>8.8723927602901796E-4</v>
      </c>
      <c r="F232">
        <f t="shared" si="10"/>
        <v>99508.097418736943</v>
      </c>
      <c r="G232" s="23">
        <f t="shared" si="11"/>
        <v>104744.09741873694</v>
      </c>
    </row>
    <row r="233" spans="1:7" x14ac:dyDescent="0.2">
      <c r="A233">
        <v>2016</v>
      </c>
      <c r="B233" s="1" t="s">
        <v>615</v>
      </c>
      <c r="C233" s="1" t="s">
        <v>340</v>
      </c>
      <c r="D233" s="22">
        <v>19937</v>
      </c>
      <c r="E233" s="20">
        <f t="shared" si="9"/>
        <v>3.3783211318163735E-3</v>
      </c>
      <c r="F233">
        <f t="shared" si="10"/>
        <v>378894.75520194013</v>
      </c>
      <c r="G233" s="23">
        <f t="shared" si="11"/>
        <v>398831.75520194013</v>
      </c>
    </row>
    <row r="234" spans="1:7" x14ac:dyDescent="0.2">
      <c r="A234">
        <v>2016</v>
      </c>
      <c r="B234" s="1" t="s">
        <v>616</v>
      </c>
      <c r="C234" s="1" t="s">
        <v>342</v>
      </c>
      <c r="D234" s="22">
        <v>1294</v>
      </c>
      <c r="E234" s="20">
        <f t="shared" si="9"/>
        <v>2.1926807165423019E-4</v>
      </c>
      <c r="F234">
        <f t="shared" si="10"/>
        <v>24591.955320826131</v>
      </c>
      <c r="G234" s="23">
        <f t="shared" si="11"/>
        <v>25885.955320826131</v>
      </c>
    </row>
    <row r="235" spans="1:7" x14ac:dyDescent="0.2">
      <c r="A235">
        <v>2016</v>
      </c>
      <c r="B235" s="1" t="s">
        <v>343</v>
      </c>
      <c r="C235" s="1" t="s">
        <v>344</v>
      </c>
      <c r="D235" s="22">
        <v>178</v>
      </c>
      <c r="E235" s="20">
        <f t="shared" si="9"/>
        <v>3.0162068589221773E-5</v>
      </c>
      <c r="F235">
        <f t="shared" si="10"/>
        <v>3382.8192017828833</v>
      </c>
      <c r="G235" s="23">
        <f t="shared" si="11"/>
        <v>3560.8192017828833</v>
      </c>
    </row>
    <row r="236" spans="1:7" x14ac:dyDescent="0.2">
      <c r="A236">
        <v>2016</v>
      </c>
      <c r="B236" s="1" t="s">
        <v>345</v>
      </c>
      <c r="C236" s="1" t="s">
        <v>346</v>
      </c>
      <c r="D236" s="22">
        <v>501</v>
      </c>
      <c r="E236" s="20">
        <f t="shared" si="9"/>
        <v>8.4894361591011843E-5</v>
      </c>
      <c r="F236">
        <f t="shared" si="10"/>
        <v>9521.3057308608131</v>
      </c>
      <c r="G236" s="23">
        <f t="shared" si="11"/>
        <v>10022.305730860813</v>
      </c>
    </row>
    <row r="237" spans="1:7" x14ac:dyDescent="0.2">
      <c r="A237">
        <v>2016</v>
      </c>
      <c r="B237" s="1" t="s">
        <v>347</v>
      </c>
      <c r="C237" s="1" t="s">
        <v>348</v>
      </c>
      <c r="D237" s="22">
        <v>255</v>
      </c>
      <c r="E237" s="20">
        <f t="shared" si="9"/>
        <v>4.3209705001413211E-5</v>
      </c>
      <c r="F237">
        <f t="shared" si="10"/>
        <v>4846.1735755878381</v>
      </c>
      <c r="G237" s="23">
        <f t="shared" si="11"/>
        <v>5101.1735755878381</v>
      </c>
    </row>
    <row r="238" spans="1:7" x14ac:dyDescent="0.2">
      <c r="A238">
        <v>2016</v>
      </c>
      <c r="B238" s="1" t="s">
        <v>349</v>
      </c>
      <c r="C238" s="1" t="s">
        <v>350</v>
      </c>
      <c r="D238" s="22">
        <v>1286</v>
      </c>
      <c r="E238" s="20">
        <f t="shared" si="9"/>
        <v>2.1791247306595054E-4</v>
      </c>
      <c r="F238">
        <f t="shared" si="10"/>
        <v>24439.918502768473</v>
      </c>
      <c r="G238" s="23">
        <f t="shared" si="11"/>
        <v>25725.918502768473</v>
      </c>
    </row>
    <row r="239" spans="1:7" x14ac:dyDescent="0.2">
      <c r="A239">
        <v>2016</v>
      </c>
      <c r="B239" s="1" t="s">
        <v>617</v>
      </c>
      <c r="C239" s="1" t="s">
        <v>618</v>
      </c>
      <c r="D239" s="22"/>
      <c r="E239" s="20">
        <f t="shared" si="9"/>
        <v>0</v>
      </c>
      <c r="F239">
        <f t="shared" si="10"/>
        <v>0</v>
      </c>
      <c r="G239" s="23">
        <f t="shared" si="11"/>
        <v>0</v>
      </c>
    </row>
    <row r="240" spans="1:7" x14ac:dyDescent="0.2">
      <c r="A240">
        <v>2016</v>
      </c>
      <c r="B240" s="1" t="s">
        <v>351</v>
      </c>
      <c r="C240" s="1" t="s">
        <v>352</v>
      </c>
      <c r="D240" s="22">
        <v>3894</v>
      </c>
      <c r="E240" s="20">
        <f t="shared" si="9"/>
        <v>6.5983761284510998E-4</v>
      </c>
      <c r="F240">
        <f t="shared" si="10"/>
        <v>74003.921189564877</v>
      </c>
      <c r="G240" s="23">
        <f t="shared" si="11"/>
        <v>77897.921189564877</v>
      </c>
    </row>
    <row r="241" spans="1:7" x14ac:dyDescent="0.2">
      <c r="A241">
        <v>2016</v>
      </c>
      <c r="B241" s="1" t="s">
        <v>353</v>
      </c>
      <c r="C241" s="1" t="s">
        <v>354</v>
      </c>
      <c r="D241" s="22">
        <v>8074</v>
      </c>
      <c r="E241" s="20">
        <f t="shared" si="9"/>
        <v>1.3681378752212166E-3</v>
      </c>
      <c r="F241">
        <f t="shared" si="10"/>
        <v>153443.15862469099</v>
      </c>
      <c r="G241" s="23">
        <f t="shared" si="11"/>
        <v>161517.15862469099</v>
      </c>
    </row>
    <row r="242" spans="1:7" x14ac:dyDescent="0.2">
      <c r="A242">
        <v>2016</v>
      </c>
      <c r="B242" s="1" t="s">
        <v>355</v>
      </c>
      <c r="C242" s="1" t="s">
        <v>356</v>
      </c>
      <c r="D242" s="22"/>
      <c r="E242" s="20">
        <f t="shared" si="9"/>
        <v>0</v>
      </c>
      <c r="F242">
        <f t="shared" si="10"/>
        <v>0</v>
      </c>
      <c r="G242" s="23">
        <f t="shared" si="11"/>
        <v>0</v>
      </c>
    </row>
    <row r="243" spans="1:7" x14ac:dyDescent="0.2">
      <c r="A243">
        <v>2016</v>
      </c>
      <c r="B243" s="1" t="s">
        <v>619</v>
      </c>
      <c r="C243" s="1" t="s">
        <v>357</v>
      </c>
      <c r="D243" s="22"/>
      <c r="E243" s="20">
        <f t="shared" si="9"/>
        <v>0</v>
      </c>
      <c r="F243">
        <f t="shared" si="10"/>
        <v>0</v>
      </c>
      <c r="G243" s="23">
        <f t="shared" si="11"/>
        <v>0</v>
      </c>
    </row>
    <row r="244" spans="1:7" x14ac:dyDescent="0.2">
      <c r="A244">
        <v>2016</v>
      </c>
      <c r="B244" s="1" t="s">
        <v>620</v>
      </c>
      <c r="C244" s="1" t="s">
        <v>358</v>
      </c>
      <c r="D244" s="22">
        <v>2167</v>
      </c>
      <c r="E244" s="20">
        <f t="shared" si="9"/>
        <v>3.671977676002448E-4</v>
      </c>
      <c r="F244">
        <f t="shared" si="10"/>
        <v>41182.973091368018</v>
      </c>
      <c r="G244" s="23">
        <f t="shared" si="11"/>
        <v>43349.973091368018</v>
      </c>
    </row>
    <row r="245" spans="1:7" x14ac:dyDescent="0.2">
      <c r="A245">
        <v>2016</v>
      </c>
      <c r="B245" s="1" t="s">
        <v>359</v>
      </c>
      <c r="C245" s="1" t="s">
        <v>360</v>
      </c>
      <c r="D245" s="22"/>
      <c r="E245" s="20">
        <f t="shared" si="9"/>
        <v>0</v>
      </c>
      <c r="F245">
        <f t="shared" si="10"/>
        <v>0</v>
      </c>
      <c r="G245" s="23">
        <f t="shared" si="11"/>
        <v>0</v>
      </c>
    </row>
    <row r="246" spans="1:7" x14ac:dyDescent="0.2">
      <c r="A246">
        <v>2016</v>
      </c>
      <c r="B246" s="1" t="s">
        <v>361</v>
      </c>
      <c r="C246" s="1" t="s">
        <v>362</v>
      </c>
      <c r="D246" s="22">
        <v>5095</v>
      </c>
      <c r="E246" s="20">
        <f t="shared" si="9"/>
        <v>8.6334685091058946E-4</v>
      </c>
      <c r="F246">
        <f t="shared" si="10"/>
        <v>96828.448500470739</v>
      </c>
      <c r="G246" s="23">
        <f t="shared" si="11"/>
        <v>101923.44850047074</v>
      </c>
    </row>
    <row r="248" spans="1:7" x14ac:dyDescent="0.2">
      <c r="D248" s="17">
        <f>SUM(D2:D246)</f>
        <v>5901452</v>
      </c>
    </row>
    <row r="250" spans="1:7" x14ac:dyDescent="0.2">
      <c r="B250" s="1" t="s">
        <v>482</v>
      </c>
      <c r="C250" s="1" t="s">
        <v>1</v>
      </c>
      <c r="D250" s="10">
        <v>112154748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0CE5-37CF-4247-8807-73244CF4C0AD}">
  <sheetPr>
    <tabColor rgb="FFFFFF00"/>
  </sheetPr>
  <dimension ref="A1:G251"/>
  <sheetViews>
    <sheetView workbookViewId="0">
      <selection activeCell="F2" sqref="F2:G253"/>
    </sheetView>
  </sheetViews>
  <sheetFormatPr baseColWidth="10" defaultRowHeight="16" x14ac:dyDescent="0.2"/>
  <cols>
    <col min="2" max="2" width="38.6640625" style="1" bestFit="1" customWidth="1"/>
    <col min="3" max="3" width="13.5" style="1" bestFit="1" customWidth="1"/>
    <col min="4" max="4" width="18.83203125" style="22" bestFit="1" customWidth="1"/>
    <col min="6" max="6" width="17.1640625" bestFit="1" customWidth="1"/>
    <col min="7" max="7" width="16.83203125" bestFit="1" customWidth="1"/>
  </cols>
  <sheetData>
    <row r="1" spans="1:7" x14ac:dyDescent="0.2">
      <c r="A1" t="s">
        <v>639</v>
      </c>
      <c r="B1" s="1" t="s">
        <v>634</v>
      </c>
      <c r="C1" s="1" t="s">
        <v>364</v>
      </c>
      <c r="D1" s="22" t="s">
        <v>363</v>
      </c>
      <c r="F1" t="s">
        <v>637</v>
      </c>
      <c r="G1" t="s">
        <v>638</v>
      </c>
    </row>
    <row r="2" spans="1:7" x14ac:dyDescent="0.2">
      <c r="A2">
        <v>2017</v>
      </c>
      <c r="B2" s="1" t="s">
        <v>2</v>
      </c>
      <c r="C2" s="1" t="s">
        <v>3</v>
      </c>
      <c r="E2" s="20">
        <f>D2/$D$249</f>
        <v>0</v>
      </c>
      <c r="F2">
        <f>E2*$D$251</f>
        <v>0</v>
      </c>
      <c r="G2" s="23">
        <f>SUM(F2,D2)</f>
        <v>0</v>
      </c>
    </row>
    <row r="3" spans="1:7" x14ac:dyDescent="0.2">
      <c r="A3">
        <v>2017</v>
      </c>
      <c r="B3" s="1" t="s">
        <v>4</v>
      </c>
      <c r="C3" s="1" t="s">
        <v>5</v>
      </c>
      <c r="E3" s="20">
        <f t="shared" ref="E3:E66" si="0">D3/$D$249</f>
        <v>0</v>
      </c>
      <c r="F3">
        <f t="shared" ref="F3:F66" si="1">E3*$D$251</f>
        <v>0</v>
      </c>
      <c r="G3" s="23">
        <f t="shared" ref="G3:G66" si="2">SUM(F3,D3)</f>
        <v>0</v>
      </c>
    </row>
    <row r="4" spans="1:7" x14ac:dyDescent="0.2">
      <c r="A4">
        <v>2017</v>
      </c>
      <c r="B4" s="1" t="s">
        <v>6</v>
      </c>
      <c r="C4" s="1" t="s">
        <v>7</v>
      </c>
      <c r="D4" s="22">
        <v>9195</v>
      </c>
      <c r="E4" s="20">
        <f t="shared" si="0"/>
        <v>1.5103762602689571E-3</v>
      </c>
      <c r="F4">
        <f t="shared" si="1"/>
        <v>175324.72399372724</v>
      </c>
      <c r="G4" s="23">
        <f t="shared" si="2"/>
        <v>184519.72399372724</v>
      </c>
    </row>
    <row r="5" spans="1:7" x14ac:dyDescent="0.2">
      <c r="A5">
        <v>2017</v>
      </c>
      <c r="B5" s="1" t="s">
        <v>8</v>
      </c>
      <c r="C5" s="1" t="s">
        <v>9</v>
      </c>
      <c r="D5" s="22">
        <v>1028</v>
      </c>
      <c r="E5" s="20">
        <f t="shared" si="0"/>
        <v>1.6885990163746469E-4</v>
      </c>
      <c r="F5">
        <f t="shared" si="1"/>
        <v>19601.285075100768</v>
      </c>
      <c r="G5" s="23">
        <f t="shared" si="2"/>
        <v>20629.285075100768</v>
      </c>
    </row>
    <row r="6" spans="1:7" x14ac:dyDescent="0.2">
      <c r="A6">
        <v>2017</v>
      </c>
      <c r="B6" s="1" t="s">
        <v>483</v>
      </c>
      <c r="C6" s="1" t="s">
        <v>10</v>
      </c>
      <c r="D6" s="22">
        <v>17994</v>
      </c>
      <c r="E6" s="20">
        <f t="shared" si="0"/>
        <v>2.9557053210744551E-3</v>
      </c>
      <c r="F6">
        <f t="shared" si="1"/>
        <v>343098.75840599538</v>
      </c>
      <c r="G6" s="23">
        <f t="shared" si="2"/>
        <v>361092.75840599538</v>
      </c>
    </row>
    <row r="7" spans="1:7" x14ac:dyDescent="0.2">
      <c r="A7">
        <v>2017</v>
      </c>
      <c r="B7" s="1" t="s">
        <v>484</v>
      </c>
      <c r="C7" s="1" t="s">
        <v>11</v>
      </c>
      <c r="D7" s="22">
        <v>6281</v>
      </c>
      <c r="E7" s="20">
        <f t="shared" si="0"/>
        <v>1.0317208581565329E-3</v>
      </c>
      <c r="F7">
        <f t="shared" si="1"/>
        <v>119762.32641703107</v>
      </c>
      <c r="G7" s="23">
        <f t="shared" si="2"/>
        <v>126043.32641703107</v>
      </c>
    </row>
    <row r="8" spans="1:7" x14ac:dyDescent="0.2">
      <c r="A8">
        <v>2017</v>
      </c>
      <c r="B8" s="1" t="s">
        <v>12</v>
      </c>
      <c r="C8" s="1" t="s">
        <v>13</v>
      </c>
      <c r="E8" s="20">
        <f t="shared" si="0"/>
        <v>0</v>
      </c>
      <c r="F8">
        <f t="shared" si="1"/>
        <v>0</v>
      </c>
      <c r="G8" s="23">
        <f t="shared" si="2"/>
        <v>0</v>
      </c>
    </row>
    <row r="9" spans="1:7" x14ac:dyDescent="0.2">
      <c r="A9">
        <v>2017</v>
      </c>
      <c r="B9" s="1" t="s">
        <v>14</v>
      </c>
      <c r="C9" s="1" t="s">
        <v>15</v>
      </c>
      <c r="E9" s="20">
        <f t="shared" si="0"/>
        <v>0</v>
      </c>
      <c r="F9">
        <f t="shared" si="1"/>
        <v>0</v>
      </c>
      <c r="G9" s="23">
        <f t="shared" si="2"/>
        <v>0</v>
      </c>
    </row>
    <row r="10" spans="1:7" x14ac:dyDescent="0.2">
      <c r="A10">
        <v>2017</v>
      </c>
      <c r="B10" s="1" t="s">
        <v>16</v>
      </c>
      <c r="C10" s="1" t="s">
        <v>17</v>
      </c>
      <c r="E10" s="20">
        <f t="shared" si="0"/>
        <v>0</v>
      </c>
      <c r="F10">
        <f t="shared" si="1"/>
        <v>0</v>
      </c>
      <c r="G10" s="23">
        <f t="shared" si="2"/>
        <v>0</v>
      </c>
    </row>
    <row r="11" spans="1:7" x14ac:dyDescent="0.2">
      <c r="A11">
        <v>2017</v>
      </c>
      <c r="B11" s="1" t="s">
        <v>18</v>
      </c>
      <c r="C11" s="1" t="s">
        <v>19</v>
      </c>
      <c r="E11" s="20">
        <f t="shared" si="0"/>
        <v>0</v>
      </c>
      <c r="F11">
        <f t="shared" si="1"/>
        <v>0</v>
      </c>
      <c r="G11" s="23">
        <f t="shared" si="2"/>
        <v>0</v>
      </c>
    </row>
    <row r="12" spans="1:7" x14ac:dyDescent="0.2">
      <c r="A12">
        <v>2017</v>
      </c>
      <c r="B12" s="1" t="s">
        <v>20</v>
      </c>
      <c r="C12" s="1" t="s">
        <v>21</v>
      </c>
      <c r="E12" s="20">
        <f t="shared" si="0"/>
        <v>0</v>
      </c>
      <c r="F12">
        <f t="shared" si="1"/>
        <v>0</v>
      </c>
      <c r="G12" s="23">
        <f t="shared" si="2"/>
        <v>0</v>
      </c>
    </row>
    <row r="13" spans="1:7" x14ac:dyDescent="0.2">
      <c r="A13">
        <v>2017</v>
      </c>
      <c r="B13" s="1" t="s">
        <v>22</v>
      </c>
      <c r="C13" s="1" t="s">
        <v>23</v>
      </c>
      <c r="E13" s="20">
        <f t="shared" si="0"/>
        <v>0</v>
      </c>
      <c r="F13">
        <f t="shared" si="1"/>
        <v>0</v>
      </c>
      <c r="G13" s="23">
        <f t="shared" si="2"/>
        <v>0</v>
      </c>
    </row>
    <row r="14" spans="1:7" x14ac:dyDescent="0.2">
      <c r="A14">
        <v>2017</v>
      </c>
      <c r="B14" s="1" t="s">
        <v>24</v>
      </c>
      <c r="C14" s="1" t="s">
        <v>25</v>
      </c>
      <c r="E14" s="20">
        <f t="shared" si="0"/>
        <v>0</v>
      </c>
      <c r="F14">
        <f t="shared" si="1"/>
        <v>0</v>
      </c>
      <c r="G14" s="23">
        <f t="shared" si="2"/>
        <v>0</v>
      </c>
    </row>
    <row r="15" spans="1:7" x14ac:dyDescent="0.2">
      <c r="A15">
        <v>2017</v>
      </c>
      <c r="B15" s="1" t="s">
        <v>26</v>
      </c>
      <c r="C15" s="1" t="s">
        <v>27</v>
      </c>
      <c r="E15" s="20">
        <f t="shared" si="0"/>
        <v>0</v>
      </c>
      <c r="F15">
        <f t="shared" si="1"/>
        <v>0</v>
      </c>
      <c r="G15" s="23">
        <f t="shared" si="2"/>
        <v>0</v>
      </c>
    </row>
    <row r="16" spans="1:7" x14ac:dyDescent="0.2">
      <c r="A16">
        <v>2017</v>
      </c>
      <c r="B16" s="1" t="s">
        <v>28</v>
      </c>
      <c r="C16" s="1" t="s">
        <v>29</v>
      </c>
      <c r="E16" s="20">
        <f t="shared" si="0"/>
        <v>0</v>
      </c>
      <c r="F16">
        <f t="shared" si="1"/>
        <v>0</v>
      </c>
      <c r="G16" s="23">
        <f t="shared" si="2"/>
        <v>0</v>
      </c>
    </row>
    <row r="17" spans="1:7" x14ac:dyDescent="0.2">
      <c r="A17">
        <v>2017</v>
      </c>
      <c r="B17" s="1" t="s">
        <v>30</v>
      </c>
      <c r="C17" s="1" t="s">
        <v>31</v>
      </c>
      <c r="E17" s="20">
        <f t="shared" si="0"/>
        <v>0</v>
      </c>
      <c r="F17">
        <f t="shared" si="1"/>
        <v>0</v>
      </c>
      <c r="G17" s="23">
        <f t="shared" si="2"/>
        <v>0</v>
      </c>
    </row>
    <row r="18" spans="1:7" x14ac:dyDescent="0.2">
      <c r="A18">
        <v>2017</v>
      </c>
      <c r="B18" s="1" t="s">
        <v>32</v>
      </c>
      <c r="C18" s="1" t="s">
        <v>33</v>
      </c>
      <c r="D18" s="22">
        <v>7571</v>
      </c>
      <c r="E18" s="20">
        <f t="shared" si="0"/>
        <v>1.2436170382268922E-3</v>
      </c>
      <c r="F18">
        <f t="shared" si="1"/>
        <v>144359.26975057193</v>
      </c>
      <c r="G18" s="23">
        <f t="shared" si="2"/>
        <v>151930.26975057193</v>
      </c>
    </row>
    <row r="19" spans="1:7" x14ac:dyDescent="0.2">
      <c r="A19">
        <v>2017</v>
      </c>
      <c r="B19" s="1" t="s">
        <v>485</v>
      </c>
      <c r="C19" s="1" t="s">
        <v>486</v>
      </c>
      <c r="D19" s="22">
        <v>501</v>
      </c>
      <c r="E19" s="20">
        <f t="shared" si="0"/>
        <v>8.2294562957558183E-5</v>
      </c>
      <c r="F19">
        <f t="shared" si="1"/>
        <v>9552.7663644216791</v>
      </c>
      <c r="G19" s="23">
        <f t="shared" si="2"/>
        <v>10053.766364421679</v>
      </c>
    </row>
    <row r="20" spans="1:7" x14ac:dyDescent="0.2">
      <c r="A20">
        <v>2017</v>
      </c>
      <c r="B20" s="1" t="s">
        <v>34</v>
      </c>
      <c r="C20" s="1" t="s">
        <v>35</v>
      </c>
      <c r="D20" s="22">
        <v>6864</v>
      </c>
      <c r="E20" s="20">
        <f t="shared" si="0"/>
        <v>1.1274847906999588E-3</v>
      </c>
      <c r="F20">
        <f t="shared" si="1"/>
        <v>130878.6194119569</v>
      </c>
      <c r="G20" s="23">
        <f t="shared" si="2"/>
        <v>137742.6194119569</v>
      </c>
    </row>
    <row r="21" spans="1:7" x14ac:dyDescent="0.2">
      <c r="A21">
        <v>2017</v>
      </c>
      <c r="B21" s="1" t="s">
        <v>36</v>
      </c>
      <c r="C21" s="1" t="s">
        <v>37</v>
      </c>
      <c r="D21" s="22">
        <v>172871</v>
      </c>
      <c r="E21" s="20">
        <f t="shared" si="0"/>
        <v>2.8395894996079921E-2</v>
      </c>
      <c r="F21">
        <f t="shared" si="1"/>
        <v>3296200.1480717366</v>
      </c>
      <c r="G21" s="23">
        <f t="shared" si="2"/>
        <v>3469071.1480717366</v>
      </c>
    </row>
    <row r="22" spans="1:7" x14ac:dyDescent="0.2">
      <c r="A22">
        <v>2017</v>
      </c>
      <c r="B22" s="1" t="s">
        <v>38</v>
      </c>
      <c r="C22" s="1" t="s">
        <v>39</v>
      </c>
      <c r="D22" s="22">
        <v>118907</v>
      </c>
      <c r="E22" s="20">
        <f t="shared" si="0"/>
        <v>1.9531735723741259E-2</v>
      </c>
      <c r="F22">
        <f t="shared" si="1"/>
        <v>2267247.0860165441</v>
      </c>
      <c r="G22" s="23">
        <f t="shared" si="2"/>
        <v>2386154.0860165441</v>
      </c>
    </row>
    <row r="23" spans="1:7" x14ac:dyDescent="0.2">
      <c r="A23">
        <v>2017</v>
      </c>
      <c r="B23" s="1" t="s">
        <v>40</v>
      </c>
      <c r="C23" s="1" t="s">
        <v>41</v>
      </c>
      <c r="D23" s="22">
        <v>160631</v>
      </c>
      <c r="E23" s="20">
        <f t="shared" si="0"/>
        <v>2.6385345194482091E-2</v>
      </c>
      <c r="F23">
        <f t="shared" si="1"/>
        <v>3062815.1973720929</v>
      </c>
      <c r="G23" s="23">
        <f t="shared" si="2"/>
        <v>3223446.1973720929</v>
      </c>
    </row>
    <row r="24" spans="1:7" x14ac:dyDescent="0.2">
      <c r="A24">
        <v>2017</v>
      </c>
      <c r="B24" s="1" t="s">
        <v>42</v>
      </c>
      <c r="C24" s="1" t="s">
        <v>43</v>
      </c>
      <c r="D24" s="22">
        <v>77698</v>
      </c>
      <c r="E24" s="20">
        <f t="shared" si="0"/>
        <v>1.2762720464423864E-2</v>
      </c>
      <c r="F24">
        <f t="shared" si="1"/>
        <v>1481498.6845964782</v>
      </c>
      <c r="G24" s="23">
        <f t="shared" si="2"/>
        <v>1559196.6845964782</v>
      </c>
    </row>
    <row r="25" spans="1:7" x14ac:dyDescent="0.2">
      <c r="A25">
        <v>2017</v>
      </c>
      <c r="B25" s="1" t="s">
        <v>44</v>
      </c>
      <c r="C25" s="1" t="s">
        <v>45</v>
      </c>
      <c r="D25" s="22">
        <v>18591</v>
      </c>
      <c r="E25" s="20">
        <f t="shared" si="0"/>
        <v>3.0537689020837607E-3</v>
      </c>
      <c r="F25">
        <f t="shared" si="1"/>
        <v>354481.9949719829</v>
      </c>
      <c r="G25" s="23">
        <f t="shared" si="2"/>
        <v>373072.9949719829</v>
      </c>
    </row>
    <row r="26" spans="1:7" x14ac:dyDescent="0.2">
      <c r="A26">
        <v>2017</v>
      </c>
      <c r="B26" s="1" t="s">
        <v>46</v>
      </c>
      <c r="C26" s="1" t="s">
        <v>47</v>
      </c>
      <c r="D26" s="22">
        <v>38866</v>
      </c>
      <c r="E26" s="20">
        <f t="shared" si="0"/>
        <v>6.3841526624919282E-3</v>
      </c>
      <c r="F26">
        <f t="shared" si="1"/>
        <v>741073.48806309968</v>
      </c>
      <c r="G26" s="23">
        <f t="shared" si="2"/>
        <v>779939.48806309968</v>
      </c>
    </row>
    <row r="27" spans="1:7" x14ac:dyDescent="0.2">
      <c r="A27">
        <v>2017</v>
      </c>
      <c r="B27" s="1" t="s">
        <v>48</v>
      </c>
      <c r="C27" s="1" t="s">
        <v>49</v>
      </c>
      <c r="D27" s="22">
        <v>17406</v>
      </c>
      <c r="E27" s="20">
        <f t="shared" si="0"/>
        <v>2.8591200855075005E-3</v>
      </c>
      <c r="F27">
        <f t="shared" si="1"/>
        <v>331887.12842140469</v>
      </c>
      <c r="G27" s="23">
        <f t="shared" si="2"/>
        <v>349293.12842140469</v>
      </c>
    </row>
    <row r="28" spans="1:7" x14ac:dyDescent="0.2">
      <c r="A28">
        <v>2017</v>
      </c>
      <c r="B28" s="1" t="s">
        <v>50</v>
      </c>
      <c r="C28" s="1" t="s">
        <v>51</v>
      </c>
      <c r="E28" s="20">
        <f t="shared" si="0"/>
        <v>0</v>
      </c>
      <c r="F28">
        <f t="shared" si="1"/>
        <v>0</v>
      </c>
      <c r="G28" s="23">
        <f t="shared" si="2"/>
        <v>0</v>
      </c>
    </row>
    <row r="29" spans="1:7" x14ac:dyDescent="0.2">
      <c r="A29">
        <v>2017</v>
      </c>
      <c r="B29" s="1" t="s">
        <v>52</v>
      </c>
      <c r="C29" s="1" t="s">
        <v>53</v>
      </c>
      <c r="D29" s="22">
        <v>17389</v>
      </c>
      <c r="E29" s="20">
        <f t="shared" si="0"/>
        <v>2.8563276552275034E-3</v>
      </c>
      <c r="F29">
        <f t="shared" si="1"/>
        <v>331562.98265654407</v>
      </c>
      <c r="G29" s="23">
        <f t="shared" si="2"/>
        <v>348951.98265654407</v>
      </c>
    </row>
    <row r="30" spans="1:7" x14ac:dyDescent="0.2">
      <c r="A30">
        <v>2017</v>
      </c>
      <c r="B30" s="1" t="s">
        <v>54</v>
      </c>
      <c r="C30" s="1" t="s">
        <v>55</v>
      </c>
      <c r="E30" s="20">
        <f t="shared" si="0"/>
        <v>0</v>
      </c>
      <c r="F30">
        <f t="shared" si="1"/>
        <v>0</v>
      </c>
      <c r="G30" s="23">
        <f t="shared" si="2"/>
        <v>0</v>
      </c>
    </row>
    <row r="31" spans="1:7" x14ac:dyDescent="0.2">
      <c r="A31">
        <v>2017</v>
      </c>
      <c r="B31" s="1" t="s">
        <v>56</v>
      </c>
      <c r="C31" s="1" t="s">
        <v>57</v>
      </c>
      <c r="D31" s="22">
        <v>3666</v>
      </c>
      <c r="E31" s="20">
        <f t="shared" si="0"/>
        <v>6.0217937685111433E-4</v>
      </c>
      <c r="F31">
        <f t="shared" si="1"/>
        <v>69901.08082229516</v>
      </c>
      <c r="G31" s="23">
        <f t="shared" si="2"/>
        <v>73567.08082229516</v>
      </c>
    </row>
    <row r="32" spans="1:7" x14ac:dyDescent="0.2">
      <c r="A32">
        <v>2017</v>
      </c>
      <c r="B32" s="1" t="s">
        <v>58</v>
      </c>
      <c r="C32" s="1" t="s">
        <v>59</v>
      </c>
      <c r="D32" s="22">
        <v>6105</v>
      </c>
      <c r="E32" s="20">
        <f t="shared" si="0"/>
        <v>1.0028109917283288E-3</v>
      </c>
      <c r="F32">
        <f t="shared" si="1"/>
        <v>116406.46438082705</v>
      </c>
      <c r="G32" s="23">
        <f t="shared" si="2"/>
        <v>122511.46438082705</v>
      </c>
    </row>
    <row r="33" spans="1:7" x14ac:dyDescent="0.2">
      <c r="A33">
        <v>2017</v>
      </c>
      <c r="B33" s="1" t="s">
        <v>60</v>
      </c>
      <c r="C33" s="1" t="s">
        <v>61</v>
      </c>
      <c r="E33" s="20">
        <f t="shared" si="0"/>
        <v>0</v>
      </c>
      <c r="F33">
        <f t="shared" si="1"/>
        <v>0</v>
      </c>
      <c r="G33" s="23">
        <f t="shared" si="2"/>
        <v>0</v>
      </c>
    </row>
    <row r="34" spans="1:7" x14ac:dyDescent="0.2">
      <c r="A34">
        <v>2017</v>
      </c>
      <c r="B34" s="1" t="s">
        <v>62</v>
      </c>
      <c r="C34" s="1" t="s">
        <v>63</v>
      </c>
      <c r="D34" s="22">
        <v>30143</v>
      </c>
      <c r="E34" s="20">
        <f t="shared" si="0"/>
        <v>4.9513074076440646E-3</v>
      </c>
      <c r="F34">
        <f t="shared" si="1"/>
        <v>574748.57589373784</v>
      </c>
      <c r="G34" s="23">
        <f t="shared" si="2"/>
        <v>604891.57589373784</v>
      </c>
    </row>
    <row r="35" spans="1:7" x14ac:dyDescent="0.2">
      <c r="A35">
        <v>2017</v>
      </c>
      <c r="B35" s="1" t="s">
        <v>64</v>
      </c>
      <c r="C35" s="1" t="s">
        <v>65</v>
      </c>
      <c r="D35" s="22">
        <v>10111</v>
      </c>
      <c r="E35" s="20">
        <f t="shared" si="0"/>
        <v>1.6608389741793828E-3</v>
      </c>
      <c r="F35">
        <f t="shared" si="1"/>
        <v>192790.46050033451</v>
      </c>
      <c r="G35" s="23">
        <f t="shared" si="2"/>
        <v>202901.46050033451</v>
      </c>
    </row>
    <row r="36" spans="1:7" x14ac:dyDescent="0.2">
      <c r="A36">
        <v>2017</v>
      </c>
      <c r="B36" s="1" t="s">
        <v>66</v>
      </c>
      <c r="C36" s="1" t="s">
        <v>67</v>
      </c>
      <c r="D36" s="22">
        <v>2739</v>
      </c>
      <c r="E36" s="20">
        <f t="shared" si="0"/>
        <v>4.4990979628892587E-4</v>
      </c>
      <c r="F36">
        <f t="shared" si="1"/>
        <v>52225.602938425109</v>
      </c>
      <c r="G36" s="23">
        <f t="shared" si="2"/>
        <v>54964.602938425109</v>
      </c>
    </row>
    <row r="37" spans="1:7" x14ac:dyDescent="0.2">
      <c r="A37">
        <v>2017</v>
      </c>
      <c r="B37" s="1" t="s">
        <v>68</v>
      </c>
      <c r="C37" s="1" t="s">
        <v>69</v>
      </c>
      <c r="D37" s="22">
        <v>10653</v>
      </c>
      <c r="E37" s="20">
        <f t="shared" si="0"/>
        <v>1.7498682219298748E-3</v>
      </c>
      <c r="F37">
        <f t="shared" si="1"/>
        <v>203124.99018000826</v>
      </c>
      <c r="G37" s="23">
        <f t="shared" si="2"/>
        <v>213777.99018000826</v>
      </c>
    </row>
    <row r="38" spans="1:7" x14ac:dyDescent="0.2">
      <c r="A38">
        <v>2017</v>
      </c>
      <c r="B38" s="1" t="s">
        <v>70</v>
      </c>
      <c r="C38" s="1" t="s">
        <v>71</v>
      </c>
      <c r="D38" s="22">
        <v>2535</v>
      </c>
      <c r="E38" s="20">
        <f t="shared" si="0"/>
        <v>4.1640063292896205E-4</v>
      </c>
      <c r="F38">
        <f t="shared" si="1"/>
        <v>48335.853760097714</v>
      </c>
      <c r="G38" s="23">
        <f t="shared" si="2"/>
        <v>50870.853760097714</v>
      </c>
    </row>
    <row r="39" spans="1:7" x14ac:dyDescent="0.2">
      <c r="A39">
        <v>2017</v>
      </c>
      <c r="B39" s="1" t="s">
        <v>72</v>
      </c>
      <c r="C39" s="1" t="s">
        <v>73</v>
      </c>
      <c r="D39" s="22">
        <v>6933</v>
      </c>
      <c r="E39" s="20">
        <f t="shared" si="0"/>
        <v>1.1388187724246524E-3</v>
      </c>
      <c r="F39">
        <f t="shared" si="1"/>
        <v>132194.26986933235</v>
      </c>
      <c r="G39" s="23">
        <f t="shared" si="2"/>
        <v>139127.26986933235</v>
      </c>
    </row>
    <row r="40" spans="1:7" x14ac:dyDescent="0.2">
      <c r="A40">
        <v>2017</v>
      </c>
      <c r="B40" s="1" t="s">
        <v>74</v>
      </c>
      <c r="C40" s="1" t="s">
        <v>75</v>
      </c>
      <c r="D40" s="22">
        <v>41590</v>
      </c>
      <c r="E40" s="20">
        <f t="shared" si="0"/>
        <v>6.831598549710269E-3</v>
      </c>
      <c r="F40">
        <f t="shared" si="1"/>
        <v>793013.08003253012</v>
      </c>
      <c r="G40" s="23">
        <f t="shared" si="2"/>
        <v>834603.08003253012</v>
      </c>
    </row>
    <row r="41" spans="1:7" x14ac:dyDescent="0.2">
      <c r="A41">
        <v>2017</v>
      </c>
      <c r="B41" s="1" t="s">
        <v>76</v>
      </c>
      <c r="C41" s="1" t="s">
        <v>77</v>
      </c>
      <c r="D41" s="22">
        <v>6212</v>
      </c>
      <c r="E41" s="20">
        <f t="shared" si="0"/>
        <v>1.0203868764318391E-3</v>
      </c>
      <c r="F41">
        <f t="shared" si="1"/>
        <v>118446.67595965561</v>
      </c>
      <c r="G41" s="23">
        <f t="shared" si="2"/>
        <v>124658.67595965561</v>
      </c>
    </row>
    <row r="42" spans="1:7" x14ac:dyDescent="0.2">
      <c r="A42">
        <v>2017</v>
      </c>
      <c r="B42" s="1" t="s">
        <v>78</v>
      </c>
      <c r="C42" s="1" t="s">
        <v>79</v>
      </c>
      <c r="D42" s="22">
        <v>18347</v>
      </c>
      <c r="E42" s="20">
        <f t="shared" si="0"/>
        <v>3.0136893145355685E-3</v>
      </c>
      <c r="F42">
        <f t="shared" si="1"/>
        <v>349829.54987633636</v>
      </c>
      <c r="G42" s="23">
        <f t="shared" si="2"/>
        <v>368176.54987633636</v>
      </c>
    </row>
    <row r="43" spans="1:7" x14ac:dyDescent="0.2">
      <c r="A43">
        <v>2017</v>
      </c>
      <c r="B43" s="1" t="s">
        <v>80</v>
      </c>
      <c r="C43" s="1" t="s">
        <v>81</v>
      </c>
      <c r="D43" s="22">
        <v>2465</v>
      </c>
      <c r="E43" s="20">
        <f t="shared" si="0"/>
        <v>4.0490239059956268E-4</v>
      </c>
      <c r="F43">
        <f t="shared" si="1"/>
        <v>47001.135904789291</v>
      </c>
      <c r="G43" s="23">
        <f t="shared" si="2"/>
        <v>49466.135904789291</v>
      </c>
    </row>
    <row r="44" spans="1:7" x14ac:dyDescent="0.2">
      <c r="A44">
        <v>2017</v>
      </c>
      <c r="B44" s="1" t="s">
        <v>82</v>
      </c>
      <c r="C44" s="1" t="s">
        <v>83</v>
      </c>
      <c r="D44" s="22">
        <v>26706</v>
      </c>
      <c r="E44" s="20">
        <f t="shared" si="0"/>
        <v>4.3867437092705566E-3</v>
      </c>
      <c r="F44">
        <f t="shared" si="1"/>
        <v>509213.92919809453</v>
      </c>
      <c r="G44" s="23">
        <f t="shared" si="2"/>
        <v>535919.92919809453</v>
      </c>
    </row>
    <row r="45" spans="1:7" x14ac:dyDescent="0.2">
      <c r="A45">
        <v>2017</v>
      </c>
      <c r="B45" s="1" t="s">
        <v>84</v>
      </c>
      <c r="C45" s="1" t="s">
        <v>85</v>
      </c>
      <c r="D45" s="22">
        <v>6695</v>
      </c>
      <c r="E45" s="20">
        <f t="shared" si="0"/>
        <v>1.0997247485046947E-3</v>
      </c>
      <c r="F45">
        <f t="shared" si="1"/>
        <v>127656.22916128371</v>
      </c>
      <c r="G45" s="23">
        <f t="shared" si="2"/>
        <v>134351.2291612837</v>
      </c>
    </row>
    <row r="46" spans="1:7" x14ac:dyDescent="0.2">
      <c r="A46">
        <v>2017</v>
      </c>
      <c r="B46" s="1" t="s">
        <v>86</v>
      </c>
      <c r="C46" s="1" t="s">
        <v>87</v>
      </c>
      <c r="D46" s="22">
        <v>478152</v>
      </c>
      <c r="E46" s="20">
        <f t="shared" si="0"/>
        <v>7.8541536661242237E-2</v>
      </c>
      <c r="F46">
        <f t="shared" si="1"/>
        <v>9117114.4564490113</v>
      </c>
      <c r="G46" s="23">
        <f t="shared" si="2"/>
        <v>9595266.4564490113</v>
      </c>
    </row>
    <row r="47" spans="1:7" x14ac:dyDescent="0.2">
      <c r="A47">
        <v>2017</v>
      </c>
      <c r="B47" s="1" t="s">
        <v>88</v>
      </c>
      <c r="C47" s="1" t="s">
        <v>89</v>
      </c>
      <c r="D47" s="22">
        <v>4895</v>
      </c>
      <c r="E47" s="20">
        <f t="shared" si="0"/>
        <v>8.0405566003442569E-4</v>
      </c>
      <c r="F47">
        <f t="shared" si="1"/>
        <v>93334.912881924378</v>
      </c>
      <c r="G47" s="23">
        <f t="shared" si="2"/>
        <v>98229.912881924378</v>
      </c>
    </row>
    <row r="48" spans="1:7" x14ac:dyDescent="0.2">
      <c r="A48">
        <v>2017</v>
      </c>
      <c r="B48" s="1" t="s">
        <v>90</v>
      </c>
      <c r="C48" s="1" t="s">
        <v>91</v>
      </c>
      <c r="D48" s="22">
        <v>39930</v>
      </c>
      <c r="E48" s="20">
        <f t="shared" si="0"/>
        <v>6.5589259458987987E-3</v>
      </c>
      <c r="F48">
        <f t="shared" si="1"/>
        <v>761361.19946378772</v>
      </c>
      <c r="G48" s="23">
        <f t="shared" si="2"/>
        <v>801291.19946378772</v>
      </c>
    </row>
    <row r="49" spans="1:7" x14ac:dyDescent="0.2">
      <c r="A49">
        <v>2017</v>
      </c>
      <c r="B49" s="1" t="s">
        <v>92</v>
      </c>
      <c r="C49" s="1" t="s">
        <v>93</v>
      </c>
      <c r="D49" s="22">
        <v>6</v>
      </c>
      <c r="E49" s="20">
        <f t="shared" si="0"/>
        <v>9.8556362823422973E-7</v>
      </c>
      <c r="F49">
        <f t="shared" si="1"/>
        <v>114.40438759786441</v>
      </c>
      <c r="G49" s="23">
        <f t="shared" si="2"/>
        <v>120.40438759786441</v>
      </c>
    </row>
    <row r="50" spans="1:7" x14ac:dyDescent="0.2">
      <c r="A50">
        <v>2017</v>
      </c>
      <c r="B50" s="1" t="s">
        <v>94</v>
      </c>
      <c r="C50" s="1" t="s">
        <v>95</v>
      </c>
      <c r="D50" s="22">
        <v>18785</v>
      </c>
      <c r="E50" s="20">
        <f t="shared" si="0"/>
        <v>3.0856354593966676E-3</v>
      </c>
      <c r="F50">
        <f t="shared" si="1"/>
        <v>358181.07017098053</v>
      </c>
      <c r="G50" s="23">
        <f t="shared" si="2"/>
        <v>376966.07017098053</v>
      </c>
    </row>
    <row r="51" spans="1:7" x14ac:dyDescent="0.2">
      <c r="A51">
        <v>2017</v>
      </c>
      <c r="B51" s="1" t="s">
        <v>96</v>
      </c>
      <c r="C51" s="1" t="s">
        <v>97</v>
      </c>
      <c r="D51" s="22">
        <v>600</v>
      </c>
      <c r="E51" s="20">
        <f t="shared" si="0"/>
        <v>9.8556362823422968E-5</v>
      </c>
      <c r="F51">
        <f t="shared" si="1"/>
        <v>11440.438759786441</v>
      </c>
      <c r="G51" s="23">
        <f t="shared" si="2"/>
        <v>12040.438759786441</v>
      </c>
    </row>
    <row r="52" spans="1:7" x14ac:dyDescent="0.2">
      <c r="A52">
        <v>2017</v>
      </c>
      <c r="B52" s="1" t="s">
        <v>487</v>
      </c>
      <c r="C52" s="1" t="s">
        <v>98</v>
      </c>
      <c r="D52" s="22">
        <v>3765</v>
      </c>
      <c r="E52" s="20">
        <f t="shared" si="0"/>
        <v>6.1844117671697911E-4</v>
      </c>
      <c r="F52">
        <f t="shared" si="1"/>
        <v>71788.75321765992</v>
      </c>
      <c r="G52" s="23">
        <f t="shared" si="2"/>
        <v>75553.75321765992</v>
      </c>
    </row>
    <row r="53" spans="1:7" x14ac:dyDescent="0.2">
      <c r="A53">
        <v>2017</v>
      </c>
      <c r="B53" s="1" t="s">
        <v>488</v>
      </c>
      <c r="C53" s="1" t="s">
        <v>99</v>
      </c>
      <c r="D53" s="22">
        <v>52612</v>
      </c>
      <c r="E53" s="20">
        <f t="shared" si="0"/>
        <v>8.6420789347765488E-3</v>
      </c>
      <c r="F53">
        <f t="shared" si="1"/>
        <v>1003173.9400498071</v>
      </c>
      <c r="G53" s="23">
        <f t="shared" si="2"/>
        <v>1055785.9400498071</v>
      </c>
    </row>
    <row r="54" spans="1:7" x14ac:dyDescent="0.2">
      <c r="A54">
        <v>2017</v>
      </c>
      <c r="B54" s="1" t="s">
        <v>489</v>
      </c>
      <c r="C54" s="1" t="s">
        <v>100</v>
      </c>
      <c r="E54" s="20">
        <f t="shared" si="0"/>
        <v>0</v>
      </c>
      <c r="F54">
        <f t="shared" si="1"/>
        <v>0</v>
      </c>
      <c r="G54" s="23">
        <f t="shared" si="2"/>
        <v>0</v>
      </c>
    </row>
    <row r="55" spans="1:7" x14ac:dyDescent="0.2">
      <c r="A55">
        <v>2017</v>
      </c>
      <c r="B55" s="1" t="s">
        <v>490</v>
      </c>
      <c r="C55" s="1" t="s">
        <v>491</v>
      </c>
      <c r="D55" s="22">
        <v>2714</v>
      </c>
      <c r="E55" s="20">
        <f t="shared" si="0"/>
        <v>4.4580328117128324E-4</v>
      </c>
      <c r="F55">
        <f t="shared" si="1"/>
        <v>51748.917990100672</v>
      </c>
      <c r="G55" s="23">
        <f t="shared" si="2"/>
        <v>54462.917990100672</v>
      </c>
    </row>
    <row r="56" spans="1:7" x14ac:dyDescent="0.2">
      <c r="A56">
        <v>2017</v>
      </c>
      <c r="B56" s="1" t="s">
        <v>492</v>
      </c>
      <c r="C56" s="1" t="s">
        <v>101</v>
      </c>
      <c r="D56" s="22">
        <v>1068</v>
      </c>
      <c r="E56" s="20">
        <f t="shared" si="0"/>
        <v>1.7543032582569289E-4</v>
      </c>
      <c r="F56">
        <f t="shared" si="1"/>
        <v>20363.980992419867</v>
      </c>
      <c r="G56" s="23">
        <f t="shared" si="2"/>
        <v>21431.980992419867</v>
      </c>
    </row>
    <row r="57" spans="1:7" x14ac:dyDescent="0.2">
      <c r="A57">
        <v>2017</v>
      </c>
      <c r="B57" s="1" t="s">
        <v>493</v>
      </c>
      <c r="C57" s="1" t="s">
        <v>102</v>
      </c>
      <c r="D57" s="22">
        <v>313846</v>
      </c>
      <c r="E57" s="20">
        <f t="shared" si="0"/>
        <v>5.1552533744466673E-2</v>
      </c>
      <c r="F57">
        <f t="shared" si="1"/>
        <v>5984226.5716732256</v>
      </c>
      <c r="G57" s="23">
        <f t="shared" si="2"/>
        <v>6298072.5716732256</v>
      </c>
    </row>
    <row r="58" spans="1:7" x14ac:dyDescent="0.2">
      <c r="A58">
        <v>2017</v>
      </c>
      <c r="B58" s="1" t="s">
        <v>494</v>
      </c>
      <c r="C58" s="1" t="s">
        <v>103</v>
      </c>
      <c r="D58" s="22">
        <v>51933</v>
      </c>
      <c r="E58" s="20">
        <f t="shared" si="0"/>
        <v>8.5305459841813758E-3</v>
      </c>
      <c r="F58">
        <f t="shared" si="1"/>
        <v>990227.17685331556</v>
      </c>
      <c r="G58" s="23">
        <f t="shared" si="2"/>
        <v>1042160.1768533156</v>
      </c>
    </row>
    <row r="59" spans="1:7" x14ac:dyDescent="0.2">
      <c r="A59">
        <v>2017</v>
      </c>
      <c r="B59" s="1" t="s">
        <v>495</v>
      </c>
      <c r="C59" s="1" t="s">
        <v>104</v>
      </c>
      <c r="D59" s="22">
        <v>123155</v>
      </c>
      <c r="E59" s="20">
        <f t="shared" si="0"/>
        <v>2.0229514772531092E-2</v>
      </c>
      <c r="F59">
        <f t="shared" si="1"/>
        <v>2348245.3924358319</v>
      </c>
      <c r="G59" s="23">
        <f t="shared" si="2"/>
        <v>2471400.3924358319</v>
      </c>
    </row>
    <row r="60" spans="1:7" x14ac:dyDescent="0.2">
      <c r="A60">
        <v>2017</v>
      </c>
      <c r="B60" s="1" t="s">
        <v>496</v>
      </c>
      <c r="C60" s="1" t="s">
        <v>105</v>
      </c>
      <c r="D60" s="22">
        <v>46493</v>
      </c>
      <c r="E60" s="20">
        <f t="shared" si="0"/>
        <v>7.6369682945823403E-3</v>
      </c>
      <c r="F60">
        <f t="shared" si="1"/>
        <v>886500.53209791833</v>
      </c>
      <c r="G60" s="23">
        <f t="shared" si="2"/>
        <v>932993.53209791833</v>
      </c>
    </row>
    <row r="61" spans="1:7" x14ac:dyDescent="0.2">
      <c r="A61">
        <v>2017</v>
      </c>
      <c r="B61" s="1" t="s">
        <v>497</v>
      </c>
      <c r="C61" s="1" t="s">
        <v>106</v>
      </c>
      <c r="D61" s="22">
        <v>129099</v>
      </c>
      <c r="E61" s="20">
        <f t="shared" si="0"/>
        <v>2.1205879806901803E-2</v>
      </c>
      <c r="F61">
        <f t="shared" si="1"/>
        <v>2461582.0057494496</v>
      </c>
      <c r="G61" s="23">
        <f t="shared" si="2"/>
        <v>2590681.0057494496</v>
      </c>
    </row>
    <row r="62" spans="1:7" x14ac:dyDescent="0.2">
      <c r="A62">
        <v>2017</v>
      </c>
      <c r="B62" s="1" t="s">
        <v>498</v>
      </c>
      <c r="C62" s="1" t="s">
        <v>499</v>
      </c>
      <c r="D62" s="22">
        <v>4633</v>
      </c>
      <c r="E62" s="20">
        <f t="shared" si="0"/>
        <v>7.6101938160153101E-4</v>
      </c>
      <c r="F62">
        <f t="shared" si="1"/>
        <v>88339.254623484303</v>
      </c>
      <c r="G62" s="23">
        <f t="shared" si="2"/>
        <v>92972.254623484303</v>
      </c>
    </row>
    <row r="63" spans="1:7" x14ac:dyDescent="0.2">
      <c r="A63">
        <v>2017</v>
      </c>
      <c r="B63" s="1" t="s">
        <v>107</v>
      </c>
      <c r="C63" s="1" t="s">
        <v>108</v>
      </c>
      <c r="D63" s="22">
        <v>2601</v>
      </c>
      <c r="E63" s="20">
        <f t="shared" si="0"/>
        <v>4.2724183283953857E-4</v>
      </c>
      <c r="F63">
        <f t="shared" si="1"/>
        <v>49594.302023674223</v>
      </c>
      <c r="G63" s="23">
        <f t="shared" si="2"/>
        <v>52195.302023674223</v>
      </c>
    </row>
    <row r="64" spans="1:7" x14ac:dyDescent="0.2">
      <c r="A64">
        <v>2017</v>
      </c>
      <c r="B64" s="1" t="s">
        <v>500</v>
      </c>
      <c r="C64" s="1" t="s">
        <v>501</v>
      </c>
      <c r="D64" s="22">
        <v>2354</v>
      </c>
      <c r="E64" s="20">
        <f t="shared" si="0"/>
        <v>3.8666946347722944E-4</v>
      </c>
      <c r="F64">
        <f t="shared" si="1"/>
        <v>44884.654734228803</v>
      </c>
      <c r="G64" s="23">
        <f t="shared" si="2"/>
        <v>47238.654734228803</v>
      </c>
    </row>
    <row r="65" spans="1:7" x14ac:dyDescent="0.2">
      <c r="A65">
        <v>2017</v>
      </c>
      <c r="B65" s="1" t="s">
        <v>109</v>
      </c>
      <c r="C65" s="1" t="s">
        <v>110</v>
      </c>
      <c r="D65" s="22">
        <v>135882</v>
      </c>
      <c r="E65" s="20">
        <f t="shared" si="0"/>
        <v>2.2320059488620599E-2</v>
      </c>
      <c r="F65">
        <f t="shared" si="1"/>
        <v>2590916.165928835</v>
      </c>
      <c r="G65" s="23">
        <f t="shared" si="2"/>
        <v>2726798.165928835</v>
      </c>
    </row>
    <row r="66" spans="1:7" x14ac:dyDescent="0.2">
      <c r="A66">
        <v>2017</v>
      </c>
      <c r="B66" s="1" t="s">
        <v>502</v>
      </c>
      <c r="C66" s="1" t="s">
        <v>111</v>
      </c>
      <c r="D66" s="22">
        <v>19780</v>
      </c>
      <c r="E66" s="20">
        <f t="shared" si="0"/>
        <v>3.2490747610788438E-3</v>
      </c>
      <c r="F66">
        <f t="shared" si="1"/>
        <v>377153.13111429301</v>
      </c>
      <c r="G66" s="23">
        <f t="shared" si="2"/>
        <v>396933.13111429301</v>
      </c>
    </row>
    <row r="67" spans="1:7" x14ac:dyDescent="0.2">
      <c r="A67">
        <v>2017</v>
      </c>
      <c r="B67" s="1" t="s">
        <v>503</v>
      </c>
      <c r="C67" s="1" t="s">
        <v>112</v>
      </c>
      <c r="D67" s="22">
        <v>19062</v>
      </c>
      <c r="E67" s="20">
        <f t="shared" ref="E67:E130" si="3">D67/$D$249</f>
        <v>3.1311356469001478E-3</v>
      </c>
      <c r="F67">
        <f t="shared" ref="F67:F130" si="4">E67*$D$251</f>
        <v>363462.73939841526</v>
      </c>
      <c r="G67" s="23">
        <f t="shared" ref="G67:G130" si="5">SUM(F67,D67)</f>
        <v>382524.73939841526</v>
      </c>
    </row>
    <row r="68" spans="1:7" x14ac:dyDescent="0.2">
      <c r="A68">
        <v>2017</v>
      </c>
      <c r="B68" s="1" t="s">
        <v>504</v>
      </c>
      <c r="C68" s="1" t="s">
        <v>113</v>
      </c>
      <c r="D68" s="22">
        <v>9483</v>
      </c>
      <c r="E68" s="20">
        <f t="shared" si="3"/>
        <v>1.5576833144242E-3</v>
      </c>
      <c r="F68">
        <f t="shared" si="4"/>
        <v>180816.13459842472</v>
      </c>
      <c r="G68" s="23">
        <f t="shared" si="5"/>
        <v>190299.13459842472</v>
      </c>
    </row>
    <row r="69" spans="1:7" x14ac:dyDescent="0.2">
      <c r="A69">
        <v>2017</v>
      </c>
      <c r="B69" s="1" t="s">
        <v>114</v>
      </c>
      <c r="C69" s="1" t="s">
        <v>115</v>
      </c>
      <c r="D69" s="22">
        <v>17315</v>
      </c>
      <c r="E69" s="20">
        <f t="shared" si="3"/>
        <v>2.8441723704792812E-3</v>
      </c>
      <c r="F69">
        <f t="shared" si="4"/>
        <v>330151.99520950374</v>
      </c>
      <c r="G69" s="23">
        <f t="shared" si="5"/>
        <v>347466.99520950374</v>
      </c>
    </row>
    <row r="70" spans="1:7" x14ac:dyDescent="0.2">
      <c r="A70">
        <v>2017</v>
      </c>
      <c r="B70" s="1" t="s">
        <v>505</v>
      </c>
      <c r="C70" s="1" t="s">
        <v>116</v>
      </c>
      <c r="D70" s="22">
        <v>41141</v>
      </c>
      <c r="E70" s="20">
        <f t="shared" si="3"/>
        <v>6.7578455381974078E-3</v>
      </c>
      <c r="F70">
        <f t="shared" si="4"/>
        <v>784451.81836062332</v>
      </c>
      <c r="G70" s="23">
        <f t="shared" si="5"/>
        <v>825592.81836062332</v>
      </c>
    </row>
    <row r="71" spans="1:7" x14ac:dyDescent="0.2">
      <c r="A71">
        <v>2017</v>
      </c>
      <c r="B71" s="1" t="s">
        <v>506</v>
      </c>
      <c r="C71" s="1" t="s">
        <v>117</v>
      </c>
      <c r="D71" s="22">
        <v>68052</v>
      </c>
      <c r="E71" s="20">
        <f t="shared" si="3"/>
        <v>1.1178262671432633E-2</v>
      </c>
      <c r="F71">
        <f t="shared" si="4"/>
        <v>1297574.5641349782</v>
      </c>
      <c r="G71" s="23">
        <f t="shared" si="5"/>
        <v>1365626.5641349782</v>
      </c>
    </row>
    <row r="72" spans="1:7" x14ac:dyDescent="0.2">
      <c r="A72">
        <v>2017</v>
      </c>
      <c r="B72" s="1" t="s">
        <v>118</v>
      </c>
      <c r="C72" s="1" t="s">
        <v>119</v>
      </c>
      <c r="D72" s="22">
        <v>20157</v>
      </c>
      <c r="E72" s="20">
        <f t="shared" si="3"/>
        <v>3.3110010090528948E-3</v>
      </c>
      <c r="F72">
        <f t="shared" si="4"/>
        <v>384341.54013502551</v>
      </c>
      <c r="G72" s="23">
        <f t="shared" si="5"/>
        <v>404498.54013502551</v>
      </c>
    </row>
    <row r="73" spans="1:7" x14ac:dyDescent="0.2">
      <c r="A73">
        <v>2017</v>
      </c>
      <c r="B73" s="1" t="s">
        <v>507</v>
      </c>
      <c r="C73" s="1" t="s">
        <v>120</v>
      </c>
      <c r="D73" s="22">
        <v>41593</v>
      </c>
      <c r="E73" s="20">
        <f t="shared" si="3"/>
        <v>6.8320913315243863E-3</v>
      </c>
      <c r="F73">
        <f t="shared" si="4"/>
        <v>793070.28222632909</v>
      </c>
      <c r="G73" s="23">
        <f t="shared" si="5"/>
        <v>834663.28222632909</v>
      </c>
    </row>
    <row r="74" spans="1:7" x14ac:dyDescent="0.2">
      <c r="A74">
        <v>2017</v>
      </c>
      <c r="B74" s="1" t="s">
        <v>121</v>
      </c>
      <c r="C74" s="1" t="s">
        <v>122</v>
      </c>
      <c r="D74" s="22">
        <v>3618</v>
      </c>
      <c r="E74" s="20">
        <f t="shared" si="3"/>
        <v>5.9429486782524047E-4</v>
      </c>
      <c r="F74">
        <f t="shared" si="4"/>
        <v>68985.845721512233</v>
      </c>
      <c r="G74" s="23">
        <f t="shared" si="5"/>
        <v>72603.845721512233</v>
      </c>
    </row>
    <row r="75" spans="1:7" x14ac:dyDescent="0.2">
      <c r="A75">
        <v>2017</v>
      </c>
      <c r="B75" s="1" t="s">
        <v>123</v>
      </c>
      <c r="C75" s="1" t="s">
        <v>124</v>
      </c>
      <c r="D75" s="22">
        <v>4659</v>
      </c>
      <c r="E75" s="20">
        <f t="shared" si="3"/>
        <v>7.6529015732387936E-4</v>
      </c>
      <c r="F75">
        <f t="shared" si="4"/>
        <v>88835.00696974172</v>
      </c>
      <c r="G75" s="23">
        <f t="shared" si="5"/>
        <v>93494.00696974172</v>
      </c>
    </row>
    <row r="76" spans="1:7" x14ac:dyDescent="0.2">
      <c r="A76">
        <v>2017</v>
      </c>
      <c r="B76" s="1" t="s">
        <v>508</v>
      </c>
      <c r="C76" s="1" t="s">
        <v>125</v>
      </c>
      <c r="D76" s="22">
        <v>88243</v>
      </c>
      <c r="E76" s="20">
        <f t="shared" si="3"/>
        <v>1.4494848541045522E-2</v>
      </c>
      <c r="F76">
        <f t="shared" si="4"/>
        <v>1682564.3957997249</v>
      </c>
      <c r="G76" s="23">
        <f t="shared" si="5"/>
        <v>1770807.3957997249</v>
      </c>
    </row>
    <row r="77" spans="1:7" x14ac:dyDescent="0.2">
      <c r="A77">
        <v>2017</v>
      </c>
      <c r="B77" s="1" t="s">
        <v>509</v>
      </c>
      <c r="C77" s="1" t="s">
        <v>126</v>
      </c>
      <c r="D77" s="22">
        <v>123707</v>
      </c>
      <c r="E77" s="20">
        <f t="shared" si="3"/>
        <v>2.0320186626328642E-2</v>
      </c>
      <c r="F77">
        <f t="shared" si="4"/>
        <v>2358770.5960948355</v>
      </c>
      <c r="G77" s="23">
        <f t="shared" si="5"/>
        <v>2482477.5960948355</v>
      </c>
    </row>
    <row r="78" spans="1:7" x14ac:dyDescent="0.2">
      <c r="A78">
        <v>2017</v>
      </c>
      <c r="B78" s="1" t="s">
        <v>127</v>
      </c>
      <c r="C78" s="1" t="s">
        <v>128</v>
      </c>
      <c r="D78" s="22">
        <v>8306</v>
      </c>
      <c r="E78" s="20">
        <f t="shared" si="3"/>
        <v>1.3643485826855854E-3</v>
      </c>
      <c r="F78">
        <f t="shared" si="4"/>
        <v>158373.80723131032</v>
      </c>
      <c r="G78" s="23">
        <f t="shared" si="5"/>
        <v>166679.80723131032</v>
      </c>
    </row>
    <row r="79" spans="1:7" x14ac:dyDescent="0.2">
      <c r="A79">
        <v>2017</v>
      </c>
      <c r="B79" s="1" t="s">
        <v>129</v>
      </c>
      <c r="C79" s="1" t="s">
        <v>130</v>
      </c>
      <c r="D79" s="22">
        <v>12068</v>
      </c>
      <c r="E79" s="20">
        <f t="shared" si="3"/>
        <v>1.9822969775884474E-3</v>
      </c>
      <c r="F79">
        <f t="shared" si="4"/>
        <v>230105.3582551713</v>
      </c>
      <c r="G79" s="23">
        <f t="shared" si="5"/>
        <v>242173.3582551713</v>
      </c>
    </row>
    <row r="80" spans="1:7" x14ac:dyDescent="0.2">
      <c r="A80">
        <v>2017</v>
      </c>
      <c r="B80" s="1" t="s">
        <v>510</v>
      </c>
      <c r="C80" s="1" t="s">
        <v>131</v>
      </c>
      <c r="D80" s="22">
        <v>37120</v>
      </c>
      <c r="E80" s="20">
        <f t="shared" si="3"/>
        <v>6.0973536466757674E-3</v>
      </c>
      <c r="F80">
        <f t="shared" si="4"/>
        <v>707781.81127212115</v>
      </c>
      <c r="G80" s="23">
        <f t="shared" si="5"/>
        <v>744901.81127212115</v>
      </c>
    </row>
    <row r="81" spans="1:7" x14ac:dyDescent="0.2">
      <c r="A81">
        <v>2017</v>
      </c>
      <c r="B81" s="1" t="s">
        <v>511</v>
      </c>
      <c r="C81" s="1" t="s">
        <v>132</v>
      </c>
      <c r="D81" s="22">
        <v>90382</v>
      </c>
      <c r="E81" s="20">
        <f t="shared" si="3"/>
        <v>1.4846201974511026E-2</v>
      </c>
      <c r="F81">
        <f t="shared" si="4"/>
        <v>1723349.5599783636</v>
      </c>
      <c r="G81" s="23">
        <f t="shared" si="5"/>
        <v>1813731.5599783636</v>
      </c>
    </row>
    <row r="82" spans="1:7" x14ac:dyDescent="0.2">
      <c r="A82">
        <v>2017</v>
      </c>
      <c r="B82" s="1" t="s">
        <v>133</v>
      </c>
      <c r="C82" s="1" t="s">
        <v>134</v>
      </c>
      <c r="D82" s="22">
        <v>20997</v>
      </c>
      <c r="E82" s="20">
        <f t="shared" si="3"/>
        <v>3.4489799170056867E-3</v>
      </c>
      <c r="F82">
        <f t="shared" si="4"/>
        <v>400358.15439872647</v>
      </c>
      <c r="G82" s="23">
        <f t="shared" si="5"/>
        <v>421355.15439872647</v>
      </c>
    </row>
    <row r="83" spans="1:7" x14ac:dyDescent="0.2">
      <c r="A83">
        <v>2017</v>
      </c>
      <c r="B83" s="1" t="s">
        <v>512</v>
      </c>
      <c r="C83" s="1" t="s">
        <v>135</v>
      </c>
      <c r="D83" s="22">
        <v>39244</v>
      </c>
      <c r="E83" s="20">
        <f t="shared" si="3"/>
        <v>6.4462431710706853E-3</v>
      </c>
      <c r="F83">
        <f t="shared" si="4"/>
        <v>748280.96448176517</v>
      </c>
      <c r="G83" s="23">
        <f t="shared" si="5"/>
        <v>787524.96448176517</v>
      </c>
    </row>
    <row r="84" spans="1:7" x14ac:dyDescent="0.2">
      <c r="A84">
        <v>2017</v>
      </c>
      <c r="B84" s="1" t="s">
        <v>136</v>
      </c>
      <c r="C84" s="1" t="s">
        <v>137</v>
      </c>
      <c r="D84" s="22">
        <v>23631</v>
      </c>
      <c r="E84" s="20">
        <f t="shared" si="3"/>
        <v>3.8816423498005139E-3</v>
      </c>
      <c r="F84">
        <f t="shared" si="4"/>
        <v>450581.68055418902</v>
      </c>
      <c r="G84" s="23">
        <f t="shared" si="5"/>
        <v>474212.68055418902</v>
      </c>
    </row>
    <row r="85" spans="1:7" x14ac:dyDescent="0.2">
      <c r="A85">
        <v>2017</v>
      </c>
      <c r="B85" s="1" t="s">
        <v>513</v>
      </c>
      <c r="C85" s="1" t="s">
        <v>138</v>
      </c>
      <c r="D85" s="22">
        <v>12294</v>
      </c>
      <c r="E85" s="20">
        <f t="shared" si="3"/>
        <v>2.0194198742519366E-3</v>
      </c>
      <c r="F85">
        <f t="shared" si="4"/>
        <v>234414.59018802419</v>
      </c>
      <c r="G85" s="23">
        <f t="shared" si="5"/>
        <v>246708.59018802419</v>
      </c>
    </row>
    <row r="86" spans="1:7" x14ac:dyDescent="0.2">
      <c r="A86">
        <v>2017</v>
      </c>
      <c r="B86" s="1" t="s">
        <v>514</v>
      </c>
      <c r="C86" s="1" t="s">
        <v>139</v>
      </c>
      <c r="D86" s="22">
        <v>47574</v>
      </c>
      <c r="E86" s="20">
        <f t="shared" si="3"/>
        <v>7.814534008269208E-3</v>
      </c>
      <c r="F86">
        <f t="shared" si="4"/>
        <v>907112.38926346705</v>
      </c>
      <c r="G86" s="23">
        <f t="shared" si="5"/>
        <v>954686.38926346705</v>
      </c>
    </row>
    <row r="87" spans="1:7" x14ac:dyDescent="0.2">
      <c r="A87">
        <v>2017</v>
      </c>
      <c r="B87" s="1" t="s">
        <v>140</v>
      </c>
      <c r="C87" s="1" t="s">
        <v>141</v>
      </c>
      <c r="D87" s="22">
        <v>13849</v>
      </c>
      <c r="E87" s="20">
        <f t="shared" si="3"/>
        <v>2.2748451145693078E-3</v>
      </c>
      <c r="F87">
        <f t="shared" si="4"/>
        <v>264064.39397380402</v>
      </c>
      <c r="G87" s="23">
        <f t="shared" si="5"/>
        <v>277913.39397380402</v>
      </c>
    </row>
    <row r="88" spans="1:7" x14ac:dyDescent="0.2">
      <c r="A88">
        <v>2017</v>
      </c>
      <c r="B88" s="1" t="s">
        <v>515</v>
      </c>
      <c r="C88" s="1" t="s">
        <v>142</v>
      </c>
      <c r="D88" s="22">
        <v>49452</v>
      </c>
      <c r="E88" s="20">
        <f t="shared" si="3"/>
        <v>8.1230154239065218E-3</v>
      </c>
      <c r="F88">
        <f t="shared" si="4"/>
        <v>942920.96258159855</v>
      </c>
      <c r="G88" s="23">
        <f t="shared" si="5"/>
        <v>992372.96258159855</v>
      </c>
    </row>
    <row r="89" spans="1:7" x14ac:dyDescent="0.2">
      <c r="A89">
        <v>2017</v>
      </c>
      <c r="B89" s="1" t="s">
        <v>516</v>
      </c>
      <c r="C89" s="1" t="s">
        <v>143</v>
      </c>
      <c r="E89" s="20">
        <f t="shared" si="3"/>
        <v>0</v>
      </c>
      <c r="F89">
        <f t="shared" si="4"/>
        <v>0</v>
      </c>
      <c r="G89" s="23">
        <f t="shared" si="5"/>
        <v>0</v>
      </c>
    </row>
    <row r="90" spans="1:7" x14ac:dyDescent="0.2">
      <c r="A90">
        <v>2017</v>
      </c>
      <c r="B90" s="1" t="s">
        <v>517</v>
      </c>
      <c r="C90" s="1" t="s">
        <v>144</v>
      </c>
      <c r="D90" s="22">
        <v>6654</v>
      </c>
      <c r="E90" s="20">
        <f t="shared" si="3"/>
        <v>1.0929900637117608E-3</v>
      </c>
      <c r="F90">
        <f t="shared" si="4"/>
        <v>126874.46584603164</v>
      </c>
      <c r="G90" s="23">
        <f t="shared" si="5"/>
        <v>133528.46584603164</v>
      </c>
    </row>
    <row r="91" spans="1:7" x14ac:dyDescent="0.2">
      <c r="A91">
        <v>2017</v>
      </c>
      <c r="B91" s="1" t="s">
        <v>518</v>
      </c>
      <c r="C91" s="1" t="s">
        <v>145</v>
      </c>
      <c r="D91" s="22">
        <v>16492</v>
      </c>
      <c r="E91" s="20">
        <f t="shared" si="3"/>
        <v>2.708985892806486E-3</v>
      </c>
      <c r="F91">
        <f t="shared" si="4"/>
        <v>314459.52671066334</v>
      </c>
      <c r="G91" s="23">
        <f t="shared" si="5"/>
        <v>330951.52671066334</v>
      </c>
    </row>
    <row r="92" spans="1:7" x14ac:dyDescent="0.2">
      <c r="A92">
        <v>2017</v>
      </c>
      <c r="B92" s="1" t="s">
        <v>146</v>
      </c>
      <c r="C92" s="1" t="s">
        <v>147</v>
      </c>
      <c r="D92" s="22">
        <v>45855</v>
      </c>
      <c r="E92" s="20">
        <f t="shared" si="3"/>
        <v>7.5321700287801002E-3</v>
      </c>
      <c r="F92">
        <f t="shared" si="4"/>
        <v>874335.53221667872</v>
      </c>
      <c r="G92" s="23">
        <f t="shared" si="5"/>
        <v>920190.53221667872</v>
      </c>
    </row>
    <row r="93" spans="1:7" x14ac:dyDescent="0.2">
      <c r="A93">
        <v>2017</v>
      </c>
      <c r="B93" s="1" t="s">
        <v>519</v>
      </c>
      <c r="C93" s="1" t="s">
        <v>148</v>
      </c>
      <c r="D93" s="22">
        <v>68383</v>
      </c>
      <c r="E93" s="20">
        <f t="shared" si="3"/>
        <v>1.1232632931590221E-2</v>
      </c>
      <c r="F93">
        <f t="shared" si="4"/>
        <v>1303885.8728507936</v>
      </c>
      <c r="G93" s="23">
        <f t="shared" si="5"/>
        <v>1372268.8728507936</v>
      </c>
    </row>
    <row r="94" spans="1:7" x14ac:dyDescent="0.2">
      <c r="A94">
        <v>2017</v>
      </c>
      <c r="B94" s="1" t="s">
        <v>520</v>
      </c>
      <c r="C94" s="1" t="s">
        <v>149</v>
      </c>
      <c r="D94" s="22">
        <v>6809</v>
      </c>
      <c r="E94" s="20">
        <f t="shared" si="3"/>
        <v>1.1184504574411451E-3</v>
      </c>
      <c r="F94">
        <f t="shared" si="4"/>
        <v>129829.91252564314</v>
      </c>
      <c r="G94" s="23">
        <f t="shared" si="5"/>
        <v>136638.91252564313</v>
      </c>
    </row>
    <row r="95" spans="1:7" x14ac:dyDescent="0.2">
      <c r="A95">
        <v>2017</v>
      </c>
      <c r="B95" s="1" t="s">
        <v>521</v>
      </c>
      <c r="C95" s="1" t="s">
        <v>150</v>
      </c>
      <c r="D95" s="22">
        <v>60269</v>
      </c>
      <c r="E95" s="20">
        <f t="shared" si="3"/>
        <v>9.8998223850081321E-3</v>
      </c>
      <c r="F95">
        <f t="shared" si="4"/>
        <v>1149173.0060226151</v>
      </c>
      <c r="G95" s="23">
        <f t="shared" si="5"/>
        <v>1209442.0060226151</v>
      </c>
    </row>
    <row r="96" spans="1:7" x14ac:dyDescent="0.2">
      <c r="A96">
        <v>2017</v>
      </c>
      <c r="B96" s="1" t="s">
        <v>151</v>
      </c>
      <c r="C96" s="1" t="s">
        <v>152</v>
      </c>
      <c r="D96" s="22">
        <v>11612</v>
      </c>
      <c r="E96" s="20">
        <f t="shared" si="3"/>
        <v>1.9073941418426459E-3</v>
      </c>
      <c r="F96">
        <f t="shared" si="4"/>
        <v>221410.62479773359</v>
      </c>
      <c r="G96" s="23">
        <f t="shared" si="5"/>
        <v>233022.62479773359</v>
      </c>
    </row>
    <row r="97" spans="1:7" x14ac:dyDescent="0.2">
      <c r="A97">
        <v>2017</v>
      </c>
      <c r="B97" s="1" t="s">
        <v>522</v>
      </c>
      <c r="C97" s="1" t="s">
        <v>153</v>
      </c>
      <c r="D97" s="22">
        <v>75801</v>
      </c>
      <c r="E97" s="20">
        <f t="shared" si="3"/>
        <v>1.2451118097297141E-2</v>
      </c>
      <c r="F97">
        <f t="shared" si="4"/>
        <v>1445327.8307176202</v>
      </c>
      <c r="G97" s="23">
        <f t="shared" si="5"/>
        <v>1521128.8307176202</v>
      </c>
    </row>
    <row r="98" spans="1:7" x14ac:dyDescent="0.2">
      <c r="A98">
        <v>2017</v>
      </c>
      <c r="B98" s="1" t="s">
        <v>523</v>
      </c>
      <c r="C98" s="1" t="s">
        <v>154</v>
      </c>
      <c r="D98" s="22">
        <v>34140</v>
      </c>
      <c r="E98" s="20">
        <f t="shared" si="3"/>
        <v>5.6078570446527667E-3</v>
      </c>
      <c r="F98">
        <f t="shared" si="4"/>
        <v>650960.96543184842</v>
      </c>
      <c r="G98" s="23">
        <f t="shared" si="5"/>
        <v>685100.96543184842</v>
      </c>
    </row>
    <row r="99" spans="1:7" x14ac:dyDescent="0.2">
      <c r="A99">
        <v>2017</v>
      </c>
      <c r="B99" s="1" t="s">
        <v>524</v>
      </c>
      <c r="C99" s="1" t="s">
        <v>155</v>
      </c>
      <c r="D99" s="22">
        <v>28066</v>
      </c>
      <c r="E99" s="20">
        <f t="shared" si="3"/>
        <v>4.610138131670315E-3</v>
      </c>
      <c r="F99">
        <f t="shared" si="4"/>
        <v>535145.59038694378</v>
      </c>
      <c r="G99" s="23">
        <f t="shared" si="5"/>
        <v>563211.59038694378</v>
      </c>
    </row>
    <row r="100" spans="1:7" x14ac:dyDescent="0.2">
      <c r="A100">
        <v>2017</v>
      </c>
      <c r="B100" s="1" t="s">
        <v>525</v>
      </c>
      <c r="C100" s="1" t="s">
        <v>156</v>
      </c>
      <c r="D100" s="22">
        <v>35437</v>
      </c>
      <c r="E100" s="20">
        <f t="shared" si="3"/>
        <v>5.8209030489560663E-3</v>
      </c>
      <c r="F100">
        <f t="shared" si="4"/>
        <v>675691.38055092015</v>
      </c>
      <c r="G100" s="23">
        <f t="shared" si="5"/>
        <v>711128.38055092015</v>
      </c>
    </row>
    <row r="101" spans="1:7" x14ac:dyDescent="0.2">
      <c r="A101">
        <v>2017</v>
      </c>
      <c r="B101" s="1" t="s">
        <v>526</v>
      </c>
      <c r="C101" s="1" t="s">
        <v>157</v>
      </c>
      <c r="D101" s="22">
        <v>125314</v>
      </c>
      <c r="E101" s="20">
        <f t="shared" si="3"/>
        <v>2.0584153418090709E-2</v>
      </c>
      <c r="F101">
        <f t="shared" si="4"/>
        <v>2389411.90457313</v>
      </c>
      <c r="G101" s="23">
        <f t="shared" si="5"/>
        <v>2514725.90457313</v>
      </c>
    </row>
    <row r="102" spans="1:7" x14ac:dyDescent="0.2">
      <c r="A102">
        <v>2017</v>
      </c>
      <c r="B102" s="1" t="s">
        <v>527</v>
      </c>
      <c r="C102" s="1" t="s">
        <v>158</v>
      </c>
      <c r="D102" s="22">
        <v>77268</v>
      </c>
      <c r="E102" s="20">
        <f t="shared" si="3"/>
        <v>1.269208840440041E-2</v>
      </c>
      <c r="F102">
        <f t="shared" si="4"/>
        <v>1473299.703485298</v>
      </c>
      <c r="G102" s="23">
        <f t="shared" si="5"/>
        <v>1550567.703485298</v>
      </c>
    </row>
    <row r="103" spans="1:7" x14ac:dyDescent="0.2">
      <c r="A103">
        <v>2017</v>
      </c>
      <c r="B103" s="1" t="s">
        <v>528</v>
      </c>
      <c r="C103" s="1" t="s">
        <v>159</v>
      </c>
      <c r="D103" s="22">
        <v>39093</v>
      </c>
      <c r="E103" s="20">
        <f t="shared" si="3"/>
        <v>6.4214398197601236E-3</v>
      </c>
      <c r="F103">
        <f t="shared" si="4"/>
        <v>745401.78739388555</v>
      </c>
      <c r="G103" s="23">
        <f t="shared" si="5"/>
        <v>784494.78739388555</v>
      </c>
    </row>
    <row r="104" spans="1:7" x14ac:dyDescent="0.2">
      <c r="A104">
        <v>2017</v>
      </c>
      <c r="B104" s="1" t="s">
        <v>160</v>
      </c>
      <c r="C104" s="1" t="s">
        <v>161</v>
      </c>
      <c r="D104" s="22">
        <v>19082</v>
      </c>
      <c r="E104" s="20">
        <f t="shared" si="3"/>
        <v>3.1344208589942617E-3</v>
      </c>
      <c r="F104">
        <f t="shared" si="4"/>
        <v>363844.08735707478</v>
      </c>
      <c r="G104" s="23">
        <f t="shared" si="5"/>
        <v>382926.08735707478</v>
      </c>
    </row>
    <row r="105" spans="1:7" x14ac:dyDescent="0.2">
      <c r="A105">
        <v>2017</v>
      </c>
      <c r="B105" s="1" t="s">
        <v>162</v>
      </c>
      <c r="C105" s="1" t="s">
        <v>163</v>
      </c>
      <c r="D105" s="22">
        <v>32798</v>
      </c>
      <c r="E105" s="20">
        <f t="shared" si="3"/>
        <v>5.3874193131377111E-3</v>
      </c>
      <c r="F105">
        <f t="shared" si="4"/>
        <v>625372.51740579284</v>
      </c>
      <c r="G105" s="23">
        <f t="shared" si="5"/>
        <v>658170.51740579284</v>
      </c>
    </row>
    <row r="106" spans="1:7" x14ac:dyDescent="0.2">
      <c r="A106">
        <v>2017</v>
      </c>
      <c r="B106" s="1" t="s">
        <v>529</v>
      </c>
      <c r="C106" s="1" t="s">
        <v>164</v>
      </c>
      <c r="D106" s="22">
        <v>64099</v>
      </c>
      <c r="E106" s="20">
        <f t="shared" si="3"/>
        <v>1.0528940501030981E-2</v>
      </c>
      <c r="F106">
        <f t="shared" si="4"/>
        <v>1222201.1401059185</v>
      </c>
      <c r="G106" s="23">
        <f t="shared" si="5"/>
        <v>1286300.1401059185</v>
      </c>
    </row>
    <row r="107" spans="1:7" x14ac:dyDescent="0.2">
      <c r="A107">
        <v>2017</v>
      </c>
      <c r="B107" s="1" t="s">
        <v>530</v>
      </c>
      <c r="C107" s="1" t="s">
        <v>165</v>
      </c>
      <c r="D107" s="22">
        <v>90443</v>
      </c>
      <c r="E107" s="20">
        <f t="shared" si="3"/>
        <v>1.4856221871398073E-2</v>
      </c>
      <c r="F107">
        <f t="shared" si="4"/>
        <v>1724512.6712522751</v>
      </c>
      <c r="G107" s="23">
        <f t="shared" si="5"/>
        <v>1814955.6712522751</v>
      </c>
    </row>
    <row r="108" spans="1:7" x14ac:dyDescent="0.2">
      <c r="A108">
        <v>2017</v>
      </c>
      <c r="B108" s="1" t="s">
        <v>531</v>
      </c>
      <c r="C108" s="1" t="s">
        <v>166</v>
      </c>
      <c r="D108" s="22">
        <v>29690</v>
      </c>
      <c r="E108" s="20">
        <f t="shared" si="3"/>
        <v>4.8768973537123804E-3</v>
      </c>
      <c r="F108">
        <f t="shared" si="4"/>
        <v>566111.04463009909</v>
      </c>
      <c r="G108" s="23">
        <f t="shared" si="5"/>
        <v>595801.04463009909</v>
      </c>
    </row>
    <row r="109" spans="1:7" x14ac:dyDescent="0.2">
      <c r="A109">
        <v>2017</v>
      </c>
      <c r="B109" s="1" t="s">
        <v>167</v>
      </c>
      <c r="C109" s="1" t="s">
        <v>168</v>
      </c>
      <c r="E109" s="20">
        <f t="shared" si="3"/>
        <v>0</v>
      </c>
      <c r="F109">
        <f t="shared" si="4"/>
        <v>0</v>
      </c>
      <c r="G109" s="23">
        <f t="shared" si="5"/>
        <v>0</v>
      </c>
    </row>
    <row r="110" spans="1:7" x14ac:dyDescent="0.2">
      <c r="A110">
        <v>2017</v>
      </c>
      <c r="B110" s="1" t="s">
        <v>532</v>
      </c>
      <c r="C110" s="1" t="s">
        <v>169</v>
      </c>
      <c r="D110" s="22">
        <v>27812</v>
      </c>
      <c r="E110" s="20">
        <f t="shared" si="3"/>
        <v>4.5684159380750657E-3</v>
      </c>
      <c r="F110">
        <f t="shared" si="4"/>
        <v>530302.47131196747</v>
      </c>
      <c r="G110" s="23">
        <f t="shared" si="5"/>
        <v>558114.47131196747</v>
      </c>
    </row>
    <row r="111" spans="1:7" x14ac:dyDescent="0.2">
      <c r="A111">
        <v>2017</v>
      </c>
      <c r="B111" s="1" t="s">
        <v>533</v>
      </c>
      <c r="C111" s="1" t="s">
        <v>170</v>
      </c>
      <c r="D111" s="22">
        <v>35871</v>
      </c>
      <c r="E111" s="20">
        <f t="shared" si="3"/>
        <v>5.8921921513983427E-3</v>
      </c>
      <c r="F111">
        <f t="shared" si="4"/>
        <v>683966.63125383249</v>
      </c>
      <c r="G111" s="23">
        <f t="shared" si="5"/>
        <v>719837.63125383249</v>
      </c>
    </row>
    <row r="112" spans="1:7" x14ac:dyDescent="0.2">
      <c r="A112">
        <v>2017</v>
      </c>
      <c r="B112" s="1" t="s">
        <v>534</v>
      </c>
      <c r="C112" s="1" t="s">
        <v>171</v>
      </c>
      <c r="D112" s="22">
        <v>17454</v>
      </c>
      <c r="E112" s="20">
        <f t="shared" si="3"/>
        <v>2.8670045945333742E-3</v>
      </c>
      <c r="F112">
        <f t="shared" si="4"/>
        <v>332802.36352218757</v>
      </c>
      <c r="G112" s="23">
        <f t="shared" si="5"/>
        <v>350256.36352218757</v>
      </c>
    </row>
    <row r="113" spans="1:7" x14ac:dyDescent="0.2">
      <c r="A113">
        <v>2017</v>
      </c>
      <c r="B113" s="1" t="s">
        <v>535</v>
      </c>
      <c r="C113" s="1" t="s">
        <v>172</v>
      </c>
      <c r="D113" s="22">
        <v>34030</v>
      </c>
      <c r="E113" s="20">
        <f t="shared" si="3"/>
        <v>5.5897883781351396E-3</v>
      </c>
      <c r="F113">
        <f t="shared" si="4"/>
        <v>648863.55165922106</v>
      </c>
      <c r="G113" s="23">
        <f t="shared" si="5"/>
        <v>682893.55165922106</v>
      </c>
    </row>
    <row r="114" spans="1:7" x14ac:dyDescent="0.2">
      <c r="A114">
        <v>2017</v>
      </c>
      <c r="B114" s="1" t="s">
        <v>536</v>
      </c>
      <c r="C114" s="1" t="s">
        <v>173</v>
      </c>
      <c r="D114" s="22">
        <v>85347</v>
      </c>
      <c r="E114" s="20">
        <f t="shared" si="3"/>
        <v>1.4019149829817801E-2</v>
      </c>
      <c r="F114">
        <f t="shared" si="4"/>
        <v>1627345.2113858224</v>
      </c>
      <c r="G114" s="23">
        <f t="shared" si="5"/>
        <v>1712692.2113858224</v>
      </c>
    </row>
    <row r="115" spans="1:7" x14ac:dyDescent="0.2">
      <c r="A115">
        <v>2017</v>
      </c>
      <c r="B115" s="1" t="s">
        <v>537</v>
      </c>
      <c r="C115" s="1" t="s">
        <v>174</v>
      </c>
      <c r="D115" s="22">
        <v>44364</v>
      </c>
      <c r="E115" s="20">
        <f t="shared" si="3"/>
        <v>7.2872574671638945E-3</v>
      </c>
      <c r="F115">
        <f t="shared" si="4"/>
        <v>845906.04189860949</v>
      </c>
      <c r="G115" s="23">
        <f t="shared" si="5"/>
        <v>890270.04189860949</v>
      </c>
    </row>
    <row r="116" spans="1:7" x14ac:dyDescent="0.2">
      <c r="A116">
        <v>2017</v>
      </c>
      <c r="B116" s="1" t="s">
        <v>175</v>
      </c>
      <c r="C116" s="1" t="s">
        <v>176</v>
      </c>
      <c r="D116" s="22">
        <v>22098</v>
      </c>
      <c r="E116" s="20">
        <f t="shared" si="3"/>
        <v>3.6298308427866678E-3</v>
      </c>
      <c r="F116">
        <f t="shared" si="4"/>
        <v>421351.3595229346</v>
      </c>
      <c r="G116" s="23">
        <f t="shared" si="5"/>
        <v>443449.3595229346</v>
      </c>
    </row>
    <row r="117" spans="1:7" x14ac:dyDescent="0.2">
      <c r="A117">
        <v>2017</v>
      </c>
      <c r="B117" s="1" t="s">
        <v>538</v>
      </c>
      <c r="C117" s="1" t="s">
        <v>177</v>
      </c>
      <c r="D117" s="22">
        <v>25388</v>
      </c>
      <c r="E117" s="20">
        <f t="shared" si="3"/>
        <v>4.1702482322684377E-3</v>
      </c>
      <c r="F117">
        <f t="shared" si="4"/>
        <v>484083.09872243035</v>
      </c>
      <c r="G117" s="23">
        <f t="shared" si="5"/>
        <v>509471.09872243035</v>
      </c>
    </row>
    <row r="118" spans="1:7" x14ac:dyDescent="0.2">
      <c r="A118">
        <v>2017</v>
      </c>
      <c r="B118" s="1" t="s">
        <v>539</v>
      </c>
      <c r="C118" s="1" t="s">
        <v>178</v>
      </c>
      <c r="D118" s="22">
        <v>8543</v>
      </c>
      <c r="E118" s="20">
        <f t="shared" si="3"/>
        <v>1.4032783460008373E-3</v>
      </c>
      <c r="F118">
        <f t="shared" si="4"/>
        <v>162892.78054142595</v>
      </c>
      <c r="G118" s="23">
        <f t="shared" si="5"/>
        <v>171435.78054142595</v>
      </c>
    </row>
    <row r="119" spans="1:7" x14ac:dyDescent="0.2">
      <c r="A119">
        <v>2017</v>
      </c>
      <c r="B119" s="1" t="s">
        <v>540</v>
      </c>
      <c r="C119" s="1" t="s">
        <v>179</v>
      </c>
      <c r="E119" s="20">
        <f t="shared" si="3"/>
        <v>0</v>
      </c>
      <c r="F119">
        <f t="shared" si="4"/>
        <v>0</v>
      </c>
      <c r="G119" s="23">
        <f t="shared" si="5"/>
        <v>0</v>
      </c>
    </row>
    <row r="120" spans="1:7" x14ac:dyDescent="0.2">
      <c r="A120">
        <v>2017</v>
      </c>
      <c r="B120" s="1" t="s">
        <v>180</v>
      </c>
      <c r="C120" s="1" t="s">
        <v>181</v>
      </c>
      <c r="E120" s="20">
        <f t="shared" si="3"/>
        <v>0</v>
      </c>
      <c r="F120">
        <f t="shared" si="4"/>
        <v>0</v>
      </c>
      <c r="G120" s="23">
        <f t="shared" si="5"/>
        <v>0</v>
      </c>
    </row>
    <row r="121" spans="1:7" x14ac:dyDescent="0.2">
      <c r="A121">
        <v>2017</v>
      </c>
      <c r="B121" s="1" t="s">
        <v>541</v>
      </c>
      <c r="C121" s="1" t="s">
        <v>182</v>
      </c>
      <c r="D121" s="22">
        <v>8729</v>
      </c>
      <c r="E121" s="20">
        <f t="shared" si="3"/>
        <v>1.4338308184760986E-3</v>
      </c>
      <c r="F121">
        <f t="shared" si="4"/>
        <v>166439.31655695976</v>
      </c>
      <c r="G121" s="23">
        <f t="shared" si="5"/>
        <v>175168.31655695976</v>
      </c>
    </row>
    <row r="122" spans="1:7" x14ac:dyDescent="0.2">
      <c r="A122">
        <v>2017</v>
      </c>
      <c r="B122" s="1" t="s">
        <v>542</v>
      </c>
      <c r="C122" s="1" t="s">
        <v>183</v>
      </c>
      <c r="D122" s="22">
        <v>1099</v>
      </c>
      <c r="E122" s="20">
        <f t="shared" si="3"/>
        <v>1.8052240457156973E-4</v>
      </c>
      <c r="F122">
        <f t="shared" si="4"/>
        <v>20955.070328342164</v>
      </c>
      <c r="G122" s="23">
        <f t="shared" si="5"/>
        <v>22054.070328342164</v>
      </c>
    </row>
    <row r="123" spans="1:7" x14ac:dyDescent="0.2">
      <c r="A123">
        <v>2017</v>
      </c>
      <c r="B123" s="1" t="s">
        <v>543</v>
      </c>
      <c r="C123" s="1" t="s">
        <v>184</v>
      </c>
      <c r="D123" s="22">
        <v>150</v>
      </c>
      <c r="E123" s="20">
        <f t="shared" si="3"/>
        <v>2.4639090705855742E-5</v>
      </c>
      <c r="F123">
        <f t="shared" si="4"/>
        <v>2860.1096899466102</v>
      </c>
      <c r="G123" s="23">
        <f t="shared" si="5"/>
        <v>3010.1096899466102</v>
      </c>
    </row>
    <row r="124" spans="1:7" x14ac:dyDescent="0.2">
      <c r="A124">
        <v>2017</v>
      </c>
      <c r="B124" s="1" t="s">
        <v>544</v>
      </c>
      <c r="C124" s="1" t="s">
        <v>185</v>
      </c>
      <c r="D124" s="22">
        <v>401</v>
      </c>
      <c r="E124" s="20">
        <f t="shared" si="3"/>
        <v>6.5868502486987688E-5</v>
      </c>
      <c r="F124">
        <f t="shared" si="4"/>
        <v>7646.026571123939</v>
      </c>
      <c r="G124" s="23">
        <f t="shared" si="5"/>
        <v>8047.026571123939</v>
      </c>
    </row>
    <row r="125" spans="1:7" x14ac:dyDescent="0.2">
      <c r="A125">
        <v>2017</v>
      </c>
      <c r="B125" s="1" t="s">
        <v>545</v>
      </c>
      <c r="C125" s="1" t="s">
        <v>186</v>
      </c>
      <c r="E125" s="20">
        <f t="shared" si="3"/>
        <v>0</v>
      </c>
      <c r="F125">
        <f t="shared" si="4"/>
        <v>0</v>
      </c>
      <c r="G125" s="23">
        <f t="shared" si="5"/>
        <v>0</v>
      </c>
    </row>
    <row r="126" spans="1:7" x14ac:dyDescent="0.2">
      <c r="A126">
        <v>2017</v>
      </c>
      <c r="B126" s="1" t="s">
        <v>546</v>
      </c>
      <c r="C126" s="1" t="s">
        <v>187</v>
      </c>
      <c r="D126" s="22">
        <v>104</v>
      </c>
      <c r="E126" s="20">
        <f t="shared" si="3"/>
        <v>1.7083102889393314E-5</v>
      </c>
      <c r="F126">
        <f t="shared" si="4"/>
        <v>1983.0093850296496</v>
      </c>
      <c r="G126" s="23">
        <f t="shared" si="5"/>
        <v>2087.0093850296498</v>
      </c>
    </row>
    <row r="127" spans="1:7" x14ac:dyDescent="0.2">
      <c r="A127">
        <v>2017</v>
      </c>
      <c r="B127" s="1" t="s">
        <v>547</v>
      </c>
      <c r="C127" s="1" t="s">
        <v>188</v>
      </c>
      <c r="D127" s="22">
        <v>52106</v>
      </c>
      <c r="E127" s="20">
        <f t="shared" si="3"/>
        <v>8.5589630687954617E-3</v>
      </c>
      <c r="F127">
        <f t="shared" si="4"/>
        <v>993525.83669572044</v>
      </c>
      <c r="G127" s="23">
        <f t="shared" si="5"/>
        <v>1045631.8366957204</v>
      </c>
    </row>
    <row r="128" spans="1:7" x14ac:dyDescent="0.2">
      <c r="A128">
        <v>2017</v>
      </c>
      <c r="B128" s="1" t="s">
        <v>548</v>
      </c>
      <c r="C128" s="1" t="s">
        <v>189</v>
      </c>
      <c r="D128" s="22">
        <v>44572</v>
      </c>
      <c r="E128" s="20">
        <f t="shared" si="3"/>
        <v>7.3214236729426813E-3</v>
      </c>
      <c r="F128">
        <f t="shared" si="4"/>
        <v>849872.06066866883</v>
      </c>
      <c r="G128" s="23">
        <f t="shared" si="5"/>
        <v>894444.06066866883</v>
      </c>
    </row>
    <row r="129" spans="1:7" x14ac:dyDescent="0.2">
      <c r="A129">
        <v>2017</v>
      </c>
      <c r="B129" s="1" t="s">
        <v>549</v>
      </c>
      <c r="C129" s="1" t="s">
        <v>190</v>
      </c>
      <c r="D129" s="22">
        <v>39300</v>
      </c>
      <c r="E129" s="20">
        <f t="shared" si="3"/>
        <v>6.4554417649342047E-3</v>
      </c>
      <c r="F129">
        <f t="shared" si="4"/>
        <v>749348.7387660119</v>
      </c>
      <c r="G129" s="23">
        <f t="shared" si="5"/>
        <v>788648.7387660119</v>
      </c>
    </row>
    <row r="130" spans="1:7" x14ac:dyDescent="0.2">
      <c r="A130">
        <v>2017</v>
      </c>
      <c r="B130" s="1" t="s">
        <v>550</v>
      </c>
      <c r="C130" s="1" t="s">
        <v>191</v>
      </c>
      <c r="D130" s="22">
        <v>11727</v>
      </c>
      <c r="E130" s="20">
        <f t="shared" si="3"/>
        <v>1.926284111383802E-3</v>
      </c>
      <c r="F130">
        <f t="shared" si="4"/>
        <v>223603.375560026</v>
      </c>
      <c r="G130" s="23">
        <f t="shared" si="5"/>
        <v>235330.375560026</v>
      </c>
    </row>
    <row r="131" spans="1:7" x14ac:dyDescent="0.2">
      <c r="A131">
        <v>2017</v>
      </c>
      <c r="B131" s="1" t="s">
        <v>551</v>
      </c>
      <c r="C131" s="1" t="s">
        <v>192</v>
      </c>
      <c r="D131" s="22">
        <v>138674</v>
      </c>
      <c r="E131" s="20">
        <f t="shared" ref="E131:E194" si="6">D131/$D$249</f>
        <v>2.2778675096958929E-2</v>
      </c>
      <c r="F131">
        <f t="shared" ref="F131:F194" si="7">E131*$D$251</f>
        <v>2644152.3409577082</v>
      </c>
      <c r="G131" s="23">
        <f t="shared" ref="G131:G194" si="8">SUM(F131,D131)</f>
        <v>2782826.3409577082</v>
      </c>
    </row>
    <row r="132" spans="1:7" x14ac:dyDescent="0.2">
      <c r="A132">
        <v>2017</v>
      </c>
      <c r="B132" s="1" t="s">
        <v>552</v>
      </c>
      <c r="C132" s="1" t="s">
        <v>193</v>
      </c>
      <c r="D132" s="22">
        <v>71190</v>
      </c>
      <c r="E132" s="20">
        <f t="shared" si="6"/>
        <v>1.1693712448999135E-2</v>
      </c>
      <c r="F132">
        <f t="shared" si="7"/>
        <v>1357408.0588486611</v>
      </c>
      <c r="G132" s="23">
        <f t="shared" si="8"/>
        <v>1428598.0588486611</v>
      </c>
    </row>
    <row r="133" spans="1:7" x14ac:dyDescent="0.2">
      <c r="A133">
        <v>2017</v>
      </c>
      <c r="B133" s="1" t="s">
        <v>553</v>
      </c>
      <c r="C133" s="1" t="s">
        <v>194</v>
      </c>
      <c r="D133" s="22">
        <v>73584</v>
      </c>
      <c r="E133" s="20">
        <f t="shared" si="6"/>
        <v>1.2086952336664594E-2</v>
      </c>
      <c r="F133">
        <f t="shared" si="7"/>
        <v>1403055.4095002091</v>
      </c>
      <c r="G133" s="23">
        <f t="shared" si="8"/>
        <v>1476639.4095002091</v>
      </c>
    </row>
    <row r="134" spans="1:7" x14ac:dyDescent="0.2">
      <c r="A134">
        <v>2017</v>
      </c>
      <c r="B134" s="1" t="s">
        <v>554</v>
      </c>
      <c r="C134" s="1" t="s">
        <v>195</v>
      </c>
      <c r="D134" s="22">
        <v>72129</v>
      </c>
      <c r="E134" s="20">
        <f t="shared" si="6"/>
        <v>1.1847953156817793E-2</v>
      </c>
      <c r="F134">
        <f t="shared" si="7"/>
        <v>1375312.345507727</v>
      </c>
      <c r="G134" s="23">
        <f t="shared" si="8"/>
        <v>1447441.345507727</v>
      </c>
    </row>
    <row r="135" spans="1:7" x14ac:dyDescent="0.2">
      <c r="A135">
        <v>2017</v>
      </c>
      <c r="B135" s="1" t="s">
        <v>555</v>
      </c>
      <c r="C135" s="1" t="s">
        <v>196</v>
      </c>
      <c r="D135" s="22">
        <v>58127</v>
      </c>
      <c r="E135" s="20">
        <f t="shared" si="6"/>
        <v>9.5479761697285122E-3</v>
      </c>
      <c r="F135">
        <f t="shared" si="7"/>
        <v>1108330.6396501774</v>
      </c>
      <c r="G135" s="23">
        <f t="shared" si="8"/>
        <v>1166457.6396501774</v>
      </c>
    </row>
    <row r="136" spans="1:7" x14ac:dyDescent="0.2">
      <c r="A136">
        <v>2017</v>
      </c>
      <c r="B136" s="1" t="s">
        <v>556</v>
      </c>
      <c r="C136" s="1" t="s">
        <v>197</v>
      </c>
      <c r="D136" s="22">
        <v>50351</v>
      </c>
      <c r="E136" s="20">
        <f t="shared" si="6"/>
        <v>8.2706857075369507E-3</v>
      </c>
      <c r="F136">
        <f t="shared" si="7"/>
        <v>960062.55332334526</v>
      </c>
      <c r="G136" s="23">
        <f t="shared" si="8"/>
        <v>1010413.5533233453</v>
      </c>
    </row>
    <row r="137" spans="1:7" x14ac:dyDescent="0.2">
      <c r="A137">
        <v>2017</v>
      </c>
      <c r="B137" s="1" t="s">
        <v>557</v>
      </c>
      <c r="C137" s="1" t="s">
        <v>198</v>
      </c>
      <c r="D137" s="22">
        <v>111650</v>
      </c>
      <c r="E137" s="20">
        <f t="shared" si="6"/>
        <v>1.8339696515391957E-2</v>
      </c>
      <c r="F137">
        <f t="shared" si="7"/>
        <v>2128874.9792169267</v>
      </c>
      <c r="G137" s="23">
        <f t="shared" si="8"/>
        <v>2240524.9792169267</v>
      </c>
    </row>
    <row r="138" spans="1:7" x14ac:dyDescent="0.2">
      <c r="A138">
        <v>2017</v>
      </c>
      <c r="B138" s="1" t="s">
        <v>558</v>
      </c>
      <c r="C138" s="1" t="s">
        <v>199</v>
      </c>
      <c r="D138" s="22">
        <v>29056</v>
      </c>
      <c r="E138" s="20">
        <f t="shared" si="6"/>
        <v>4.7727561303289633E-3</v>
      </c>
      <c r="F138">
        <f t="shared" si="7"/>
        <v>554022.31434059143</v>
      </c>
      <c r="G138" s="23">
        <f t="shared" si="8"/>
        <v>583078.31434059143</v>
      </c>
    </row>
    <row r="139" spans="1:7" x14ac:dyDescent="0.2">
      <c r="A139">
        <v>2017</v>
      </c>
      <c r="B139" s="1" t="s">
        <v>559</v>
      </c>
      <c r="C139" s="1" t="s">
        <v>200</v>
      </c>
      <c r="D139" s="22">
        <v>58136</v>
      </c>
      <c r="E139" s="20">
        <f t="shared" si="6"/>
        <v>9.5494545151708632E-3</v>
      </c>
      <c r="F139">
        <f t="shared" si="7"/>
        <v>1108502.2462315743</v>
      </c>
      <c r="G139" s="23">
        <f t="shared" si="8"/>
        <v>1166638.2462315743</v>
      </c>
    </row>
    <row r="140" spans="1:7" x14ac:dyDescent="0.2">
      <c r="A140">
        <v>2017</v>
      </c>
      <c r="B140" s="1" t="s">
        <v>560</v>
      </c>
      <c r="C140" s="1" t="s">
        <v>201</v>
      </c>
      <c r="D140" s="22">
        <v>40249</v>
      </c>
      <c r="E140" s="20">
        <f t="shared" si="6"/>
        <v>6.6113250787999183E-3</v>
      </c>
      <c r="F140">
        <f t="shared" si="7"/>
        <v>767443.69940440741</v>
      </c>
      <c r="G140" s="23">
        <f t="shared" si="8"/>
        <v>807692.69940440741</v>
      </c>
    </row>
    <row r="141" spans="1:7" x14ac:dyDescent="0.2">
      <c r="A141">
        <v>2017</v>
      </c>
      <c r="B141" s="1" t="s">
        <v>561</v>
      </c>
      <c r="C141" s="1" t="s">
        <v>202</v>
      </c>
      <c r="D141" s="22">
        <v>62772</v>
      </c>
      <c r="E141" s="20">
        <f t="shared" si="6"/>
        <v>1.0310966678586511E-2</v>
      </c>
      <c r="F141">
        <f t="shared" si="7"/>
        <v>1196898.7030488574</v>
      </c>
      <c r="G141" s="23">
        <f t="shared" si="8"/>
        <v>1259670.7030488574</v>
      </c>
    </row>
    <row r="142" spans="1:7" x14ac:dyDescent="0.2">
      <c r="A142">
        <v>2017</v>
      </c>
      <c r="B142" s="1" t="s">
        <v>562</v>
      </c>
      <c r="C142" s="1" t="s">
        <v>203</v>
      </c>
      <c r="D142" s="22">
        <v>30982</v>
      </c>
      <c r="E142" s="20">
        <f t="shared" si="6"/>
        <v>5.0891220549921512E-3</v>
      </c>
      <c r="F142">
        <f t="shared" si="7"/>
        <v>590746.12275950587</v>
      </c>
      <c r="G142" s="23">
        <f t="shared" si="8"/>
        <v>621728.12275950587</v>
      </c>
    </row>
    <row r="143" spans="1:7" x14ac:dyDescent="0.2">
      <c r="A143">
        <v>2017</v>
      </c>
      <c r="B143" s="1" t="s">
        <v>563</v>
      </c>
      <c r="C143" s="1" t="s">
        <v>204</v>
      </c>
      <c r="D143" s="22">
        <v>8178</v>
      </c>
      <c r="E143" s="20">
        <f t="shared" si="6"/>
        <v>1.3433232252832552E-3</v>
      </c>
      <c r="F143">
        <f t="shared" si="7"/>
        <v>155933.18029588921</v>
      </c>
      <c r="G143" s="23">
        <f t="shared" si="8"/>
        <v>164111.18029588921</v>
      </c>
    </row>
    <row r="144" spans="1:7" x14ac:dyDescent="0.2">
      <c r="A144">
        <v>2017</v>
      </c>
      <c r="B144" s="1" t="s">
        <v>564</v>
      </c>
      <c r="C144" s="1" t="s">
        <v>205</v>
      </c>
      <c r="D144" s="22">
        <v>29857</v>
      </c>
      <c r="E144" s="20">
        <f t="shared" si="6"/>
        <v>4.9043288746982326E-3</v>
      </c>
      <c r="F144">
        <f t="shared" si="7"/>
        <v>569295.30008490628</v>
      </c>
      <c r="G144" s="23">
        <f t="shared" si="8"/>
        <v>599152.30008490628</v>
      </c>
    </row>
    <row r="145" spans="1:7" x14ac:dyDescent="0.2">
      <c r="A145">
        <v>2017</v>
      </c>
      <c r="B145" s="1" t="s">
        <v>565</v>
      </c>
      <c r="C145" s="1" t="s">
        <v>206</v>
      </c>
      <c r="D145" s="22">
        <v>43185</v>
      </c>
      <c r="E145" s="20">
        <f t="shared" si="6"/>
        <v>7.0935942142158681E-3</v>
      </c>
      <c r="F145">
        <f t="shared" si="7"/>
        <v>823425.57973562914</v>
      </c>
      <c r="G145" s="23">
        <f t="shared" si="8"/>
        <v>866610.57973562914</v>
      </c>
    </row>
    <row r="146" spans="1:7" x14ac:dyDescent="0.2">
      <c r="A146">
        <v>2017</v>
      </c>
      <c r="B146" s="1" t="s">
        <v>566</v>
      </c>
      <c r="C146" s="1" t="s">
        <v>207</v>
      </c>
      <c r="D146" s="22">
        <v>50565</v>
      </c>
      <c r="E146" s="20">
        <f t="shared" si="6"/>
        <v>8.3058374769439704E-3</v>
      </c>
      <c r="F146">
        <f t="shared" si="7"/>
        <v>964142.97648100229</v>
      </c>
      <c r="G146" s="23">
        <f t="shared" si="8"/>
        <v>1014707.9764810023</v>
      </c>
    </row>
    <row r="147" spans="1:7" x14ac:dyDescent="0.2">
      <c r="A147">
        <v>2017</v>
      </c>
      <c r="B147" s="1" t="s">
        <v>567</v>
      </c>
      <c r="C147" s="1" t="s">
        <v>208</v>
      </c>
      <c r="D147" s="22">
        <v>39837</v>
      </c>
      <c r="E147" s="20">
        <f t="shared" si="6"/>
        <v>6.5436497096611678E-3</v>
      </c>
      <c r="F147">
        <f t="shared" si="7"/>
        <v>759587.9314560208</v>
      </c>
      <c r="G147" s="23">
        <f t="shared" si="8"/>
        <v>799424.9314560208</v>
      </c>
    </row>
    <row r="148" spans="1:7" x14ac:dyDescent="0.2">
      <c r="A148">
        <v>2017</v>
      </c>
      <c r="B148" s="1" t="s">
        <v>568</v>
      </c>
      <c r="C148" s="1" t="s">
        <v>569</v>
      </c>
      <c r="D148" s="22">
        <v>61466</v>
      </c>
      <c r="E148" s="20">
        <f t="shared" si="6"/>
        <v>1.0096442328840861E-2</v>
      </c>
      <c r="F148">
        <f t="shared" si="7"/>
        <v>1171996.681348389</v>
      </c>
      <c r="G148" s="23">
        <f t="shared" si="8"/>
        <v>1233462.681348389</v>
      </c>
    </row>
    <row r="149" spans="1:7" x14ac:dyDescent="0.2">
      <c r="A149">
        <v>2017</v>
      </c>
      <c r="B149" s="1" t="s">
        <v>570</v>
      </c>
      <c r="C149" s="1" t="s">
        <v>209</v>
      </c>
      <c r="D149" s="22">
        <v>58837</v>
      </c>
      <c r="E149" s="20">
        <f t="shared" si="6"/>
        <v>9.664601199069563E-3</v>
      </c>
      <c r="F149">
        <f t="shared" si="7"/>
        <v>1121868.4921825915</v>
      </c>
      <c r="G149" s="23">
        <f t="shared" si="8"/>
        <v>1180705.4921825915</v>
      </c>
    </row>
    <row r="150" spans="1:7" x14ac:dyDescent="0.2">
      <c r="A150">
        <v>2017</v>
      </c>
      <c r="B150" s="1" t="s">
        <v>571</v>
      </c>
      <c r="C150" s="1" t="s">
        <v>210</v>
      </c>
      <c r="D150" s="22">
        <v>7615</v>
      </c>
      <c r="E150" s="20">
        <f t="shared" si="6"/>
        <v>1.2508445048339432E-3</v>
      </c>
      <c r="F150">
        <f t="shared" si="7"/>
        <v>145198.23525962292</v>
      </c>
      <c r="G150" s="23">
        <f t="shared" si="8"/>
        <v>152813.23525962292</v>
      </c>
    </row>
    <row r="151" spans="1:7" x14ac:dyDescent="0.2">
      <c r="A151">
        <v>2017</v>
      </c>
      <c r="B151" s="1" t="s">
        <v>621</v>
      </c>
      <c r="C151" s="1" t="s">
        <v>211</v>
      </c>
      <c r="E151" s="20">
        <f t="shared" si="6"/>
        <v>0</v>
      </c>
      <c r="F151">
        <f t="shared" si="7"/>
        <v>0</v>
      </c>
      <c r="G151" s="23">
        <f t="shared" si="8"/>
        <v>0</v>
      </c>
    </row>
    <row r="152" spans="1:7" x14ac:dyDescent="0.2">
      <c r="A152">
        <v>2017</v>
      </c>
      <c r="B152" s="1" t="s">
        <v>573</v>
      </c>
      <c r="C152" s="1" t="s">
        <v>212</v>
      </c>
      <c r="E152" s="20">
        <f t="shared" si="6"/>
        <v>0</v>
      </c>
      <c r="F152">
        <f t="shared" si="7"/>
        <v>0</v>
      </c>
      <c r="G152" s="23">
        <f t="shared" si="8"/>
        <v>0</v>
      </c>
    </row>
    <row r="153" spans="1:7" x14ac:dyDescent="0.2">
      <c r="A153">
        <v>2017</v>
      </c>
      <c r="B153" s="1" t="s">
        <v>574</v>
      </c>
      <c r="C153" s="1" t="s">
        <v>213</v>
      </c>
      <c r="E153" s="20">
        <f t="shared" si="6"/>
        <v>0</v>
      </c>
      <c r="F153">
        <f t="shared" si="7"/>
        <v>0</v>
      </c>
      <c r="G153" s="23">
        <f t="shared" si="8"/>
        <v>0</v>
      </c>
    </row>
    <row r="154" spans="1:7" x14ac:dyDescent="0.2">
      <c r="A154">
        <v>2017</v>
      </c>
      <c r="B154" s="1" t="s">
        <v>575</v>
      </c>
      <c r="C154" s="1" t="s">
        <v>214</v>
      </c>
      <c r="E154" s="20">
        <f t="shared" si="6"/>
        <v>0</v>
      </c>
      <c r="F154">
        <f t="shared" si="7"/>
        <v>0</v>
      </c>
      <c r="G154" s="23">
        <f t="shared" si="8"/>
        <v>0</v>
      </c>
    </row>
    <row r="155" spans="1:7" x14ac:dyDescent="0.2">
      <c r="A155">
        <v>2017</v>
      </c>
      <c r="B155" s="1" t="s">
        <v>576</v>
      </c>
      <c r="C155" s="1" t="s">
        <v>215</v>
      </c>
      <c r="D155" s="22">
        <v>21296</v>
      </c>
      <c r="E155" s="20">
        <f t="shared" si="6"/>
        <v>3.4980938378126928E-3</v>
      </c>
      <c r="F155">
        <f t="shared" si="7"/>
        <v>406059.30638068676</v>
      </c>
      <c r="G155" s="23">
        <f t="shared" si="8"/>
        <v>427355.30638068676</v>
      </c>
    </row>
    <row r="156" spans="1:7" x14ac:dyDescent="0.2">
      <c r="A156">
        <v>2017</v>
      </c>
      <c r="B156" s="1" t="s">
        <v>216</v>
      </c>
      <c r="C156" s="1" t="s">
        <v>217</v>
      </c>
      <c r="D156" s="22">
        <v>28152</v>
      </c>
      <c r="E156" s="20">
        <f t="shared" si="6"/>
        <v>4.6242645436750055E-3</v>
      </c>
      <c r="F156">
        <f t="shared" si="7"/>
        <v>536785.38660917978</v>
      </c>
      <c r="G156" s="23">
        <f t="shared" si="8"/>
        <v>564937.38660917978</v>
      </c>
    </row>
    <row r="157" spans="1:7" x14ac:dyDescent="0.2">
      <c r="A157">
        <v>2017</v>
      </c>
      <c r="B157" s="1" t="s">
        <v>218</v>
      </c>
      <c r="C157" s="1" t="s">
        <v>219</v>
      </c>
      <c r="E157" s="20">
        <f t="shared" si="6"/>
        <v>0</v>
      </c>
      <c r="F157">
        <f t="shared" si="7"/>
        <v>0</v>
      </c>
      <c r="G157" s="23">
        <f t="shared" si="8"/>
        <v>0</v>
      </c>
    </row>
    <row r="158" spans="1:7" x14ac:dyDescent="0.2">
      <c r="A158">
        <v>2017</v>
      </c>
      <c r="B158" s="1" t="s">
        <v>220</v>
      </c>
      <c r="C158" s="1" t="s">
        <v>221</v>
      </c>
      <c r="E158" s="20">
        <f t="shared" si="6"/>
        <v>0</v>
      </c>
      <c r="F158">
        <f t="shared" si="7"/>
        <v>0</v>
      </c>
      <c r="G158" s="23">
        <f t="shared" si="8"/>
        <v>0</v>
      </c>
    </row>
    <row r="159" spans="1:7" x14ac:dyDescent="0.2">
      <c r="A159">
        <v>2017</v>
      </c>
      <c r="B159" s="1" t="s">
        <v>222</v>
      </c>
      <c r="C159" s="1" t="s">
        <v>223</v>
      </c>
      <c r="D159" s="22">
        <v>2594</v>
      </c>
      <c r="E159" s="20">
        <f t="shared" si="6"/>
        <v>4.2609200860659865E-4</v>
      </c>
      <c r="F159">
        <f t="shared" si="7"/>
        <v>49460.830238143382</v>
      </c>
      <c r="G159" s="23">
        <f t="shared" si="8"/>
        <v>52054.830238143382</v>
      </c>
    </row>
    <row r="160" spans="1:7" x14ac:dyDescent="0.2">
      <c r="A160">
        <v>2017</v>
      </c>
      <c r="B160" s="1" t="s">
        <v>224</v>
      </c>
      <c r="C160" s="1" t="s">
        <v>225</v>
      </c>
      <c r="E160" s="20">
        <f t="shared" si="6"/>
        <v>0</v>
      </c>
      <c r="F160">
        <f t="shared" si="7"/>
        <v>0</v>
      </c>
      <c r="G160" s="23">
        <f t="shared" si="8"/>
        <v>0</v>
      </c>
    </row>
    <row r="161" spans="1:7" x14ac:dyDescent="0.2">
      <c r="A161">
        <v>2017</v>
      </c>
      <c r="B161" s="1" t="s">
        <v>577</v>
      </c>
      <c r="C161" s="1" t="s">
        <v>227</v>
      </c>
      <c r="D161" s="22">
        <v>34745</v>
      </c>
      <c r="E161" s="20">
        <f t="shared" si="6"/>
        <v>5.7072347104997184E-3</v>
      </c>
      <c r="F161">
        <f t="shared" si="7"/>
        <v>662496.74118129979</v>
      </c>
      <c r="G161" s="23">
        <f t="shared" si="8"/>
        <v>697241.74118129979</v>
      </c>
    </row>
    <row r="162" spans="1:7" x14ac:dyDescent="0.2">
      <c r="A162">
        <v>2017</v>
      </c>
      <c r="B162" s="1" t="s">
        <v>578</v>
      </c>
      <c r="C162" s="1" t="s">
        <v>228</v>
      </c>
      <c r="D162" s="22">
        <v>14805</v>
      </c>
      <c r="E162" s="20">
        <f t="shared" si="6"/>
        <v>2.4318782526679618E-3</v>
      </c>
      <c r="F162">
        <f t="shared" si="7"/>
        <v>282292.82639773045</v>
      </c>
      <c r="G162" s="23">
        <f t="shared" si="8"/>
        <v>297097.82639773045</v>
      </c>
    </row>
    <row r="163" spans="1:7" x14ac:dyDescent="0.2">
      <c r="A163">
        <v>2017</v>
      </c>
      <c r="B163" s="1" t="s">
        <v>229</v>
      </c>
      <c r="C163" s="1" t="s">
        <v>230</v>
      </c>
      <c r="E163" s="20">
        <f t="shared" si="6"/>
        <v>0</v>
      </c>
      <c r="F163">
        <f t="shared" si="7"/>
        <v>0</v>
      </c>
      <c r="G163" s="23">
        <f t="shared" si="8"/>
        <v>0</v>
      </c>
    </row>
    <row r="164" spans="1:7" x14ac:dyDescent="0.2">
      <c r="A164">
        <v>2017</v>
      </c>
      <c r="B164" s="1" t="s">
        <v>231</v>
      </c>
      <c r="C164" s="1" t="s">
        <v>232</v>
      </c>
      <c r="E164" s="20">
        <f t="shared" si="6"/>
        <v>0</v>
      </c>
      <c r="F164">
        <f t="shared" si="7"/>
        <v>0</v>
      </c>
      <c r="G164" s="23">
        <f t="shared" si="8"/>
        <v>0</v>
      </c>
    </row>
    <row r="165" spans="1:7" x14ac:dyDescent="0.2">
      <c r="A165">
        <v>2017</v>
      </c>
      <c r="B165" s="1" t="s">
        <v>579</v>
      </c>
      <c r="C165" s="1" t="s">
        <v>233</v>
      </c>
      <c r="E165" s="20">
        <f t="shared" si="6"/>
        <v>0</v>
      </c>
      <c r="F165">
        <f t="shared" si="7"/>
        <v>0</v>
      </c>
      <c r="G165" s="23">
        <f t="shared" si="8"/>
        <v>0</v>
      </c>
    </row>
    <row r="166" spans="1:7" x14ac:dyDescent="0.2">
      <c r="A166">
        <v>2017</v>
      </c>
      <c r="B166" s="1" t="s">
        <v>580</v>
      </c>
      <c r="C166" s="1" t="s">
        <v>234</v>
      </c>
      <c r="D166" s="22">
        <v>10370</v>
      </c>
      <c r="E166" s="20">
        <f t="shared" si="6"/>
        <v>1.7033824707981603E-3</v>
      </c>
      <c r="F166">
        <f t="shared" si="7"/>
        <v>197728.91656497566</v>
      </c>
      <c r="G166" s="23">
        <f t="shared" si="8"/>
        <v>208098.91656497566</v>
      </c>
    </row>
    <row r="167" spans="1:7" x14ac:dyDescent="0.2">
      <c r="A167">
        <v>2017</v>
      </c>
      <c r="B167" s="1" t="s">
        <v>581</v>
      </c>
      <c r="C167" s="1" t="s">
        <v>235</v>
      </c>
      <c r="D167" s="22">
        <v>2269</v>
      </c>
      <c r="E167" s="20">
        <f t="shared" si="6"/>
        <v>3.7270731207724453E-4</v>
      </c>
      <c r="F167">
        <f t="shared" si="7"/>
        <v>43263.925909925725</v>
      </c>
      <c r="G167" s="23">
        <f t="shared" si="8"/>
        <v>45532.925909925725</v>
      </c>
    </row>
    <row r="168" spans="1:7" x14ac:dyDescent="0.2">
      <c r="A168">
        <v>2017</v>
      </c>
      <c r="B168" s="1" t="s">
        <v>582</v>
      </c>
      <c r="C168" s="1" t="s">
        <v>236</v>
      </c>
      <c r="D168" s="22">
        <v>9150</v>
      </c>
      <c r="E168" s="20">
        <f t="shared" si="6"/>
        <v>1.5029845330572003E-3</v>
      </c>
      <c r="F168">
        <f t="shared" si="7"/>
        <v>174466.69108674323</v>
      </c>
      <c r="G168" s="23">
        <f t="shared" si="8"/>
        <v>183616.69108674323</v>
      </c>
    </row>
    <row r="169" spans="1:7" x14ac:dyDescent="0.2">
      <c r="A169">
        <v>2017</v>
      </c>
      <c r="B169" s="1" t="s">
        <v>583</v>
      </c>
      <c r="C169" s="1" t="s">
        <v>237</v>
      </c>
      <c r="D169" s="22">
        <v>7201</v>
      </c>
      <c r="E169" s="20">
        <f t="shared" si="6"/>
        <v>1.1828406144857814E-3</v>
      </c>
      <c r="F169">
        <f t="shared" si="7"/>
        <v>137304.33251537028</v>
      </c>
      <c r="G169" s="23">
        <f t="shared" si="8"/>
        <v>144505.33251537028</v>
      </c>
    </row>
    <row r="170" spans="1:7" x14ac:dyDescent="0.2">
      <c r="A170">
        <v>2017</v>
      </c>
      <c r="B170" s="1" t="s">
        <v>238</v>
      </c>
      <c r="C170" s="1" t="s">
        <v>239</v>
      </c>
      <c r="D170" s="22">
        <v>3363</v>
      </c>
      <c r="E170" s="20">
        <f t="shared" si="6"/>
        <v>5.5240841362528572E-4</v>
      </c>
      <c r="F170">
        <f t="shared" si="7"/>
        <v>64123.659248602999</v>
      </c>
      <c r="G170" s="23">
        <f t="shared" si="8"/>
        <v>67486.659248602999</v>
      </c>
    </row>
    <row r="171" spans="1:7" x14ac:dyDescent="0.2">
      <c r="A171">
        <v>2017</v>
      </c>
      <c r="B171" s="1" t="s">
        <v>240</v>
      </c>
      <c r="C171" s="1" t="s">
        <v>241</v>
      </c>
      <c r="D171" s="22">
        <v>4709</v>
      </c>
      <c r="E171" s="20">
        <f t="shared" si="6"/>
        <v>7.7350318755916463E-4</v>
      </c>
      <c r="F171">
        <f t="shared" si="7"/>
        <v>89788.376866390594</v>
      </c>
      <c r="G171" s="23">
        <f t="shared" si="8"/>
        <v>94497.376866390594</v>
      </c>
    </row>
    <row r="172" spans="1:7" x14ac:dyDescent="0.2">
      <c r="A172">
        <v>2017</v>
      </c>
      <c r="B172" s="1" t="s">
        <v>242</v>
      </c>
      <c r="C172" s="1" t="s">
        <v>243</v>
      </c>
      <c r="E172" s="20">
        <f t="shared" si="6"/>
        <v>0</v>
      </c>
      <c r="F172">
        <f t="shared" si="7"/>
        <v>0</v>
      </c>
      <c r="G172" s="23">
        <f t="shared" si="8"/>
        <v>0</v>
      </c>
    </row>
    <row r="173" spans="1:7" x14ac:dyDescent="0.2">
      <c r="A173">
        <v>2017</v>
      </c>
      <c r="B173" s="1" t="s">
        <v>244</v>
      </c>
      <c r="C173" s="1" t="s">
        <v>245</v>
      </c>
      <c r="E173" s="20">
        <f t="shared" si="6"/>
        <v>0</v>
      </c>
      <c r="F173">
        <f t="shared" si="7"/>
        <v>0</v>
      </c>
      <c r="G173" s="23">
        <f t="shared" si="8"/>
        <v>0</v>
      </c>
    </row>
    <row r="174" spans="1:7" x14ac:dyDescent="0.2">
      <c r="A174">
        <v>2017</v>
      </c>
      <c r="B174" s="1" t="s">
        <v>246</v>
      </c>
      <c r="C174" s="1" t="s">
        <v>247</v>
      </c>
      <c r="E174" s="20">
        <f t="shared" si="6"/>
        <v>0</v>
      </c>
      <c r="F174">
        <f t="shared" si="7"/>
        <v>0</v>
      </c>
      <c r="G174" s="23">
        <f t="shared" si="8"/>
        <v>0</v>
      </c>
    </row>
    <row r="175" spans="1:7" x14ac:dyDescent="0.2">
      <c r="A175">
        <v>2017</v>
      </c>
      <c r="B175" s="1" t="s">
        <v>248</v>
      </c>
      <c r="C175" s="1" t="s">
        <v>249</v>
      </c>
      <c r="D175" s="22">
        <v>17395</v>
      </c>
      <c r="E175" s="20">
        <f t="shared" si="6"/>
        <v>2.8573132188557376E-3</v>
      </c>
      <c r="F175">
        <f t="shared" si="7"/>
        <v>331677.38704414188</v>
      </c>
      <c r="G175" s="23">
        <f t="shared" si="8"/>
        <v>349072.38704414188</v>
      </c>
    </row>
    <row r="176" spans="1:7" x14ac:dyDescent="0.2">
      <c r="A176">
        <v>2017</v>
      </c>
      <c r="B176" s="1" t="s">
        <v>584</v>
      </c>
      <c r="C176" s="1" t="s">
        <v>251</v>
      </c>
      <c r="D176" s="22">
        <v>1282</v>
      </c>
      <c r="E176" s="20">
        <f t="shared" si="6"/>
        <v>2.1058209523271373E-4</v>
      </c>
      <c r="F176">
        <f t="shared" si="7"/>
        <v>24444.404150077029</v>
      </c>
      <c r="G176" s="23">
        <f t="shared" si="8"/>
        <v>25726.404150077029</v>
      </c>
    </row>
    <row r="177" spans="1:7" x14ac:dyDescent="0.2">
      <c r="A177">
        <v>2017</v>
      </c>
      <c r="B177" s="1" t="s">
        <v>585</v>
      </c>
      <c r="C177" s="1" t="s">
        <v>252</v>
      </c>
      <c r="E177" s="20">
        <f t="shared" si="6"/>
        <v>0</v>
      </c>
      <c r="F177">
        <f t="shared" si="7"/>
        <v>0</v>
      </c>
      <c r="G177" s="23">
        <f t="shared" si="8"/>
        <v>0</v>
      </c>
    </row>
    <row r="178" spans="1:7" x14ac:dyDescent="0.2">
      <c r="A178">
        <v>2017</v>
      </c>
      <c r="B178" s="1" t="s">
        <v>586</v>
      </c>
      <c r="C178" s="1" t="s">
        <v>253</v>
      </c>
      <c r="D178" s="22">
        <v>4712</v>
      </c>
      <c r="E178" s="20">
        <f t="shared" si="6"/>
        <v>7.7399596937328171E-4</v>
      </c>
      <c r="F178">
        <f t="shared" si="7"/>
        <v>89845.579060189513</v>
      </c>
      <c r="G178" s="23">
        <f t="shared" si="8"/>
        <v>94557.579060189513</v>
      </c>
    </row>
    <row r="179" spans="1:7" x14ac:dyDescent="0.2">
      <c r="A179">
        <v>2017</v>
      </c>
      <c r="B179" s="1" t="s">
        <v>587</v>
      </c>
      <c r="C179" s="1" t="s">
        <v>254</v>
      </c>
      <c r="D179" s="22">
        <v>1812</v>
      </c>
      <c r="E179" s="20">
        <f t="shared" si="6"/>
        <v>2.9764021572673737E-4</v>
      </c>
      <c r="F179">
        <f t="shared" si="7"/>
        <v>34550.12505455505</v>
      </c>
      <c r="G179" s="23">
        <f t="shared" si="8"/>
        <v>36362.12505455505</v>
      </c>
    </row>
    <row r="180" spans="1:7" x14ac:dyDescent="0.2">
      <c r="A180">
        <v>2017</v>
      </c>
      <c r="B180" s="1" t="s">
        <v>588</v>
      </c>
      <c r="C180" s="1" t="s">
        <v>255</v>
      </c>
      <c r="D180" s="22">
        <v>11719</v>
      </c>
      <c r="E180" s="20">
        <f t="shared" si="6"/>
        <v>1.9249700265461564E-3</v>
      </c>
      <c r="F180">
        <f t="shared" si="7"/>
        <v>223450.83637656219</v>
      </c>
      <c r="G180" s="23">
        <f t="shared" si="8"/>
        <v>235169.83637656219</v>
      </c>
    </row>
    <row r="181" spans="1:7" x14ac:dyDescent="0.2">
      <c r="A181">
        <v>2017</v>
      </c>
      <c r="B181" s="1" t="s">
        <v>589</v>
      </c>
      <c r="C181" s="1" t="s">
        <v>256</v>
      </c>
      <c r="D181" s="22">
        <v>10256</v>
      </c>
      <c r="E181" s="20">
        <f t="shared" si="6"/>
        <v>1.6846567618617099E-3</v>
      </c>
      <c r="F181">
        <f t="shared" si="7"/>
        <v>195555.23320061623</v>
      </c>
      <c r="G181" s="23">
        <f t="shared" si="8"/>
        <v>205811.23320061623</v>
      </c>
    </row>
    <row r="182" spans="1:7" x14ac:dyDescent="0.2">
      <c r="A182">
        <v>2017</v>
      </c>
      <c r="B182" s="1" t="s">
        <v>257</v>
      </c>
      <c r="C182" s="1" t="s">
        <v>258</v>
      </c>
      <c r="D182" s="22">
        <v>187</v>
      </c>
      <c r="E182" s="20">
        <f t="shared" si="6"/>
        <v>3.0716733079966829E-5</v>
      </c>
      <c r="F182">
        <f t="shared" si="7"/>
        <v>3565.6034134667748</v>
      </c>
      <c r="G182" s="23">
        <f t="shared" si="8"/>
        <v>3752.6034134667748</v>
      </c>
    </row>
    <row r="183" spans="1:7" x14ac:dyDescent="0.2">
      <c r="A183">
        <v>2017</v>
      </c>
      <c r="B183" s="1" t="s">
        <v>259</v>
      </c>
      <c r="C183" s="1" t="s">
        <v>260</v>
      </c>
      <c r="D183" s="22">
        <v>9677</v>
      </c>
      <c r="E183" s="20">
        <f t="shared" si="6"/>
        <v>1.5895498717371068E-3</v>
      </c>
      <c r="F183">
        <f t="shared" si="7"/>
        <v>184515.20979742231</v>
      </c>
      <c r="G183" s="23">
        <f t="shared" si="8"/>
        <v>194192.20979742231</v>
      </c>
    </row>
    <row r="184" spans="1:7" x14ac:dyDescent="0.2">
      <c r="A184">
        <v>2017</v>
      </c>
      <c r="B184" s="1" t="s">
        <v>590</v>
      </c>
      <c r="C184" s="1" t="s">
        <v>261</v>
      </c>
      <c r="D184" s="22">
        <v>8678</v>
      </c>
      <c r="E184" s="20">
        <f t="shared" si="6"/>
        <v>1.4254535276361075E-3</v>
      </c>
      <c r="F184">
        <f t="shared" si="7"/>
        <v>165466.87926237789</v>
      </c>
      <c r="G184" s="23">
        <f t="shared" si="8"/>
        <v>174144.87926237789</v>
      </c>
    </row>
    <row r="185" spans="1:7" x14ac:dyDescent="0.2">
      <c r="A185">
        <v>2017</v>
      </c>
      <c r="B185" s="1" t="s">
        <v>591</v>
      </c>
      <c r="C185" s="1" t="s">
        <v>262</v>
      </c>
      <c r="D185" s="22">
        <v>801</v>
      </c>
      <c r="E185" s="20">
        <f t="shared" si="6"/>
        <v>1.3157274436926967E-4</v>
      </c>
      <c r="F185">
        <f t="shared" si="7"/>
        <v>15272.985744314899</v>
      </c>
      <c r="G185" s="23">
        <f t="shared" si="8"/>
        <v>16073.985744314899</v>
      </c>
    </row>
    <row r="186" spans="1:7" x14ac:dyDescent="0.2">
      <c r="A186">
        <v>2017</v>
      </c>
      <c r="B186" s="1" t="s">
        <v>592</v>
      </c>
      <c r="C186" s="1" t="s">
        <v>263</v>
      </c>
      <c r="D186" s="22">
        <v>308</v>
      </c>
      <c r="E186" s="20">
        <f t="shared" si="6"/>
        <v>5.0592266249357122E-5</v>
      </c>
      <c r="F186">
        <f t="shared" si="7"/>
        <v>5872.7585633570397</v>
      </c>
      <c r="G186" s="23">
        <f t="shared" si="8"/>
        <v>6180.7585633570397</v>
      </c>
    </row>
    <row r="187" spans="1:7" x14ac:dyDescent="0.2">
      <c r="A187">
        <v>2017</v>
      </c>
      <c r="B187" s="1" t="s">
        <v>593</v>
      </c>
      <c r="C187" s="1" t="s">
        <v>264</v>
      </c>
      <c r="D187" s="22">
        <v>4291</v>
      </c>
      <c r="E187" s="20">
        <f t="shared" si="6"/>
        <v>7.0484225479217999E-4</v>
      </c>
      <c r="F187">
        <f t="shared" si="7"/>
        <v>81818.204530406045</v>
      </c>
      <c r="G187" s="23">
        <f t="shared" si="8"/>
        <v>86109.204530406045</v>
      </c>
    </row>
    <row r="188" spans="1:7" x14ac:dyDescent="0.2">
      <c r="A188">
        <v>2017</v>
      </c>
      <c r="B188" s="1" t="s">
        <v>594</v>
      </c>
      <c r="C188" s="1" t="s">
        <v>265</v>
      </c>
      <c r="D188" s="22">
        <v>4562</v>
      </c>
      <c r="E188" s="20">
        <f t="shared" si="6"/>
        <v>7.49356878667426E-4</v>
      </c>
      <c r="F188">
        <f t="shared" si="7"/>
        <v>86985.469370242907</v>
      </c>
      <c r="G188" s="23">
        <f t="shared" si="8"/>
        <v>91547.469370242907</v>
      </c>
    </row>
    <row r="189" spans="1:7" x14ac:dyDescent="0.2">
      <c r="A189">
        <v>2017</v>
      </c>
      <c r="B189" s="1" t="s">
        <v>595</v>
      </c>
      <c r="C189" s="1" t="s">
        <v>266</v>
      </c>
      <c r="D189" s="22">
        <v>5681</v>
      </c>
      <c r="E189" s="20">
        <f t="shared" si="6"/>
        <v>9.3316449533310981E-4</v>
      </c>
      <c r="F189">
        <f t="shared" si="7"/>
        <v>108321.88765724462</v>
      </c>
      <c r="G189" s="23">
        <f t="shared" si="8"/>
        <v>114002.88765724462</v>
      </c>
    </row>
    <row r="190" spans="1:7" x14ac:dyDescent="0.2">
      <c r="A190">
        <v>2017</v>
      </c>
      <c r="B190" s="1" t="s">
        <v>596</v>
      </c>
      <c r="C190" s="1" t="s">
        <v>267</v>
      </c>
      <c r="D190" s="22">
        <v>2701</v>
      </c>
      <c r="E190" s="20">
        <f t="shared" si="6"/>
        <v>4.4366789331010906E-4</v>
      </c>
      <c r="F190">
        <f t="shared" si="7"/>
        <v>51501.041816971963</v>
      </c>
      <c r="G190" s="23">
        <f t="shared" si="8"/>
        <v>54202.041816971963</v>
      </c>
    </row>
    <row r="191" spans="1:7" x14ac:dyDescent="0.2">
      <c r="A191">
        <v>2017</v>
      </c>
      <c r="B191" s="1" t="s">
        <v>597</v>
      </c>
      <c r="C191" s="1" t="s">
        <v>268</v>
      </c>
      <c r="D191" s="22">
        <v>5648</v>
      </c>
      <c r="E191" s="20">
        <f t="shared" si="6"/>
        <v>9.2774389537782155E-4</v>
      </c>
      <c r="F191">
        <f t="shared" si="7"/>
        <v>107692.66352545637</v>
      </c>
      <c r="G191" s="23">
        <f t="shared" si="8"/>
        <v>113340.66352545637</v>
      </c>
    </row>
    <row r="192" spans="1:7" x14ac:dyDescent="0.2">
      <c r="A192">
        <v>2017</v>
      </c>
      <c r="B192" s="1" t="s">
        <v>269</v>
      </c>
      <c r="C192" s="1" t="s">
        <v>270</v>
      </c>
      <c r="E192" s="20">
        <f t="shared" si="6"/>
        <v>0</v>
      </c>
      <c r="F192">
        <f t="shared" si="7"/>
        <v>0</v>
      </c>
      <c r="G192" s="23">
        <f t="shared" si="8"/>
        <v>0</v>
      </c>
    </row>
    <row r="193" spans="1:7" x14ac:dyDescent="0.2">
      <c r="A193">
        <v>2017</v>
      </c>
      <c r="B193" s="1" t="s">
        <v>271</v>
      </c>
      <c r="C193" s="1" t="s">
        <v>272</v>
      </c>
      <c r="D193" s="22">
        <v>78688</v>
      </c>
      <c r="E193" s="20">
        <f t="shared" si="6"/>
        <v>1.2925338463082511E-2</v>
      </c>
      <c r="F193">
        <f t="shared" si="7"/>
        <v>1500375.4085501258</v>
      </c>
      <c r="G193" s="23">
        <f t="shared" si="8"/>
        <v>1579063.4085501258</v>
      </c>
    </row>
    <row r="194" spans="1:7" x14ac:dyDescent="0.2">
      <c r="A194">
        <v>2017</v>
      </c>
      <c r="B194" s="1" t="s">
        <v>598</v>
      </c>
      <c r="C194" s="1" t="s">
        <v>273</v>
      </c>
      <c r="D194" s="22">
        <v>17473</v>
      </c>
      <c r="E194" s="20">
        <f t="shared" si="6"/>
        <v>2.8701255460227828E-3</v>
      </c>
      <c r="F194">
        <f t="shared" si="7"/>
        <v>333164.64408291416</v>
      </c>
      <c r="G194" s="23">
        <f t="shared" si="8"/>
        <v>350637.64408291416</v>
      </c>
    </row>
    <row r="195" spans="1:7" x14ac:dyDescent="0.2">
      <c r="A195">
        <v>2017</v>
      </c>
      <c r="B195" s="1" t="s">
        <v>599</v>
      </c>
      <c r="C195" s="1" t="s">
        <v>274</v>
      </c>
      <c r="D195" s="22">
        <v>47072</v>
      </c>
      <c r="E195" s="20">
        <f t="shared" ref="E195:E247" si="9">D195/$D$249</f>
        <v>7.7320751847069439E-3</v>
      </c>
      <c r="F195">
        <f t="shared" ref="F195:F247" si="10">E195*$D$251</f>
        <v>897540.55550111237</v>
      </c>
      <c r="G195" s="23">
        <f t="shared" ref="G195:G247" si="11">SUM(F195,D195)</f>
        <v>944612.55550111237</v>
      </c>
    </row>
    <row r="196" spans="1:7" x14ac:dyDescent="0.2">
      <c r="A196">
        <v>2017</v>
      </c>
      <c r="B196" s="1" t="s">
        <v>600</v>
      </c>
      <c r="C196" s="1" t="s">
        <v>275</v>
      </c>
      <c r="D196" s="22">
        <v>6778</v>
      </c>
      <c r="E196" s="20">
        <f t="shared" si="9"/>
        <v>1.1133583786952681E-3</v>
      </c>
      <c r="F196">
        <f t="shared" si="10"/>
        <v>129238.82318972083</v>
      </c>
      <c r="G196" s="23">
        <f t="shared" si="11"/>
        <v>136016.82318972083</v>
      </c>
    </row>
    <row r="197" spans="1:7" x14ac:dyDescent="0.2">
      <c r="A197">
        <v>2017</v>
      </c>
      <c r="B197" s="1" t="s">
        <v>276</v>
      </c>
      <c r="C197" s="1" t="s">
        <v>277</v>
      </c>
      <c r="D197" s="22">
        <v>10984</v>
      </c>
      <c r="E197" s="20">
        <f t="shared" si="9"/>
        <v>1.8042384820874632E-3</v>
      </c>
      <c r="F197">
        <f t="shared" si="10"/>
        <v>209436.2988958238</v>
      </c>
      <c r="G197" s="23">
        <f t="shared" si="11"/>
        <v>220420.2988958238</v>
      </c>
    </row>
    <row r="198" spans="1:7" x14ac:dyDescent="0.2">
      <c r="A198">
        <v>2017</v>
      </c>
      <c r="B198" s="1" t="s">
        <v>278</v>
      </c>
      <c r="C198" s="1" t="s">
        <v>279</v>
      </c>
      <c r="D198" s="22">
        <v>4332</v>
      </c>
      <c r="E198" s="20">
        <f t="shared" si="9"/>
        <v>7.1157693958511382E-4</v>
      </c>
      <c r="F198">
        <f t="shared" si="10"/>
        <v>82599.967845658102</v>
      </c>
      <c r="G198" s="23">
        <f t="shared" si="11"/>
        <v>86931.967845658102</v>
      </c>
    </row>
    <row r="199" spans="1:7" x14ac:dyDescent="0.2">
      <c r="A199">
        <v>2017</v>
      </c>
      <c r="B199" s="1" t="s">
        <v>280</v>
      </c>
      <c r="C199" s="1" t="s">
        <v>281</v>
      </c>
      <c r="D199" s="22">
        <v>3324</v>
      </c>
      <c r="E199" s="20">
        <f t="shared" si="9"/>
        <v>5.460022500417633E-4</v>
      </c>
      <c r="F199">
        <f t="shared" si="10"/>
        <v>63380.030729216895</v>
      </c>
      <c r="G199" s="23">
        <f t="shared" si="11"/>
        <v>66704.030729216902</v>
      </c>
    </row>
    <row r="200" spans="1:7" x14ac:dyDescent="0.2">
      <c r="A200">
        <v>2017</v>
      </c>
      <c r="B200" s="1" t="s">
        <v>282</v>
      </c>
      <c r="C200" s="1" t="s">
        <v>283</v>
      </c>
      <c r="D200" s="22">
        <v>743</v>
      </c>
      <c r="E200" s="20">
        <f t="shared" si="9"/>
        <v>1.2204562929633878E-4</v>
      </c>
      <c r="F200">
        <f t="shared" si="10"/>
        <v>14167.07666420221</v>
      </c>
      <c r="G200" s="23">
        <f t="shared" si="11"/>
        <v>14910.07666420221</v>
      </c>
    </row>
    <row r="201" spans="1:7" x14ac:dyDescent="0.2">
      <c r="A201">
        <v>2017</v>
      </c>
      <c r="B201" s="1" t="s">
        <v>284</v>
      </c>
      <c r="C201" s="1" t="s">
        <v>285</v>
      </c>
      <c r="D201" s="22">
        <v>12205</v>
      </c>
      <c r="E201" s="20">
        <f t="shared" si="9"/>
        <v>2.0048006804331288E-3</v>
      </c>
      <c r="F201">
        <f t="shared" si="10"/>
        <v>232717.59177198919</v>
      </c>
      <c r="G201" s="23">
        <f t="shared" si="11"/>
        <v>244922.59177198919</v>
      </c>
    </row>
    <row r="202" spans="1:7" x14ac:dyDescent="0.2">
      <c r="A202">
        <v>2017</v>
      </c>
      <c r="B202" s="1" t="s">
        <v>286</v>
      </c>
      <c r="C202" s="1" t="s">
        <v>287</v>
      </c>
      <c r="E202" s="20">
        <f t="shared" si="9"/>
        <v>0</v>
      </c>
      <c r="F202">
        <f t="shared" si="10"/>
        <v>0</v>
      </c>
      <c r="G202" s="23">
        <f t="shared" si="11"/>
        <v>0</v>
      </c>
    </row>
    <row r="203" spans="1:7" x14ac:dyDescent="0.2">
      <c r="A203">
        <v>2017</v>
      </c>
      <c r="B203" s="1" t="s">
        <v>601</v>
      </c>
      <c r="C203" s="1" t="s">
        <v>289</v>
      </c>
      <c r="D203" s="22">
        <v>52167</v>
      </c>
      <c r="E203" s="20">
        <f t="shared" si="9"/>
        <v>8.5689829656825107E-3</v>
      </c>
      <c r="F203">
        <f t="shared" si="10"/>
        <v>994688.94796963222</v>
      </c>
      <c r="G203" s="23">
        <f t="shared" si="11"/>
        <v>1046855.9479696322</v>
      </c>
    </row>
    <row r="204" spans="1:7" x14ac:dyDescent="0.2">
      <c r="A204">
        <v>2017</v>
      </c>
      <c r="B204" s="1" t="s">
        <v>293</v>
      </c>
      <c r="C204" s="1" t="s">
        <v>290</v>
      </c>
      <c r="D204" s="22">
        <v>6261</v>
      </c>
      <c r="E204" s="20">
        <f t="shared" si="9"/>
        <v>1.0284356460624187E-3</v>
      </c>
      <c r="F204">
        <f t="shared" si="10"/>
        <v>119380.97845837152</v>
      </c>
      <c r="G204" s="23">
        <f t="shared" si="11"/>
        <v>125641.97845837152</v>
      </c>
    </row>
    <row r="205" spans="1:7" x14ac:dyDescent="0.2">
      <c r="A205">
        <v>2017</v>
      </c>
      <c r="B205" s="1" t="s">
        <v>291</v>
      </c>
      <c r="C205" s="1" t="s">
        <v>292</v>
      </c>
      <c r="E205" s="20">
        <f t="shared" si="9"/>
        <v>0</v>
      </c>
      <c r="F205">
        <f t="shared" si="10"/>
        <v>0</v>
      </c>
      <c r="G205" s="23">
        <f t="shared" si="11"/>
        <v>0</v>
      </c>
    </row>
    <row r="206" spans="1:7" x14ac:dyDescent="0.2">
      <c r="A206">
        <v>2017</v>
      </c>
      <c r="B206" s="1" t="s">
        <v>602</v>
      </c>
      <c r="C206" s="1" t="s">
        <v>294</v>
      </c>
      <c r="E206" s="20">
        <f t="shared" si="9"/>
        <v>0</v>
      </c>
      <c r="F206">
        <f t="shared" si="10"/>
        <v>0</v>
      </c>
      <c r="G206" s="23">
        <f t="shared" si="11"/>
        <v>0</v>
      </c>
    </row>
    <row r="207" spans="1:7" x14ac:dyDescent="0.2">
      <c r="A207">
        <v>2017</v>
      </c>
      <c r="B207" s="1" t="s">
        <v>603</v>
      </c>
      <c r="C207" s="1" t="s">
        <v>296</v>
      </c>
      <c r="E207" s="20">
        <f t="shared" si="9"/>
        <v>0</v>
      </c>
      <c r="F207">
        <f t="shared" si="10"/>
        <v>0</v>
      </c>
      <c r="G207" s="23">
        <f t="shared" si="11"/>
        <v>0</v>
      </c>
    </row>
    <row r="208" spans="1:7" x14ac:dyDescent="0.2">
      <c r="A208">
        <v>2017</v>
      </c>
      <c r="B208" s="1" t="s">
        <v>297</v>
      </c>
      <c r="C208" s="1" t="s">
        <v>298</v>
      </c>
      <c r="E208" s="20">
        <f t="shared" si="9"/>
        <v>0</v>
      </c>
      <c r="F208">
        <f t="shared" si="10"/>
        <v>0</v>
      </c>
      <c r="G208" s="23">
        <f t="shared" si="11"/>
        <v>0</v>
      </c>
    </row>
    <row r="209" spans="1:7" x14ac:dyDescent="0.2">
      <c r="A209">
        <v>2017</v>
      </c>
      <c r="B209" s="1" t="s">
        <v>299</v>
      </c>
      <c r="C209" s="1" t="s">
        <v>300</v>
      </c>
      <c r="D209" s="22">
        <v>8245</v>
      </c>
      <c r="E209" s="20">
        <f t="shared" si="9"/>
        <v>1.3543286857985372E-3</v>
      </c>
      <c r="F209">
        <f t="shared" si="10"/>
        <v>157210.69595739868</v>
      </c>
      <c r="G209" s="23">
        <f t="shared" si="11"/>
        <v>165455.69595739868</v>
      </c>
    </row>
    <row r="210" spans="1:7" x14ac:dyDescent="0.2">
      <c r="A210">
        <v>2017</v>
      </c>
      <c r="B210" s="1" t="s">
        <v>301</v>
      </c>
      <c r="C210" s="1" t="s">
        <v>302</v>
      </c>
      <c r="D210" s="22">
        <v>1639</v>
      </c>
      <c r="E210" s="20">
        <f t="shared" si="9"/>
        <v>2.6922313111265043E-4</v>
      </c>
      <c r="F210">
        <f t="shared" si="10"/>
        <v>31251.465212149964</v>
      </c>
      <c r="G210" s="23">
        <f t="shared" si="11"/>
        <v>32890.465212149968</v>
      </c>
    </row>
    <row r="211" spans="1:7" x14ac:dyDescent="0.2">
      <c r="A211">
        <v>2017</v>
      </c>
      <c r="B211" s="1" t="s">
        <v>303</v>
      </c>
      <c r="C211" s="1" t="s">
        <v>304</v>
      </c>
      <c r="D211" s="22">
        <v>21749</v>
      </c>
      <c r="E211" s="20">
        <f t="shared" si="9"/>
        <v>3.572503891744377E-3</v>
      </c>
      <c r="F211">
        <f t="shared" si="10"/>
        <v>414696.83764432551</v>
      </c>
      <c r="G211" s="23">
        <f t="shared" si="11"/>
        <v>436445.83764432551</v>
      </c>
    </row>
    <row r="212" spans="1:7" x14ac:dyDescent="0.2">
      <c r="A212">
        <v>2017</v>
      </c>
      <c r="B212" s="1" t="s">
        <v>305</v>
      </c>
      <c r="C212" s="1" t="s">
        <v>604</v>
      </c>
      <c r="E212" s="20">
        <f t="shared" si="9"/>
        <v>0</v>
      </c>
      <c r="F212">
        <f t="shared" si="10"/>
        <v>0</v>
      </c>
      <c r="G212" s="23">
        <f t="shared" si="11"/>
        <v>0</v>
      </c>
    </row>
    <row r="213" spans="1:7" x14ac:dyDescent="0.2">
      <c r="A213">
        <v>2017</v>
      </c>
      <c r="B213" s="1" t="s">
        <v>307</v>
      </c>
      <c r="C213" s="1" t="s">
        <v>308</v>
      </c>
      <c r="E213" s="20">
        <f t="shared" si="9"/>
        <v>0</v>
      </c>
      <c r="F213">
        <f t="shared" si="10"/>
        <v>0</v>
      </c>
      <c r="G213" s="23">
        <f t="shared" si="11"/>
        <v>0</v>
      </c>
    </row>
    <row r="214" spans="1:7" x14ac:dyDescent="0.2">
      <c r="A214">
        <v>2017</v>
      </c>
      <c r="B214" s="1" t="s">
        <v>309</v>
      </c>
      <c r="C214" s="1" t="s">
        <v>310</v>
      </c>
      <c r="E214" s="20">
        <f t="shared" si="9"/>
        <v>0</v>
      </c>
      <c r="F214">
        <f t="shared" si="10"/>
        <v>0</v>
      </c>
      <c r="G214" s="23">
        <f t="shared" si="11"/>
        <v>0</v>
      </c>
    </row>
    <row r="215" spans="1:7" x14ac:dyDescent="0.2">
      <c r="A215">
        <v>2017</v>
      </c>
      <c r="B215" s="1" t="s">
        <v>605</v>
      </c>
      <c r="C215" s="1" t="s">
        <v>311</v>
      </c>
      <c r="D215" s="22">
        <v>642</v>
      </c>
      <c r="E215" s="20">
        <f t="shared" si="9"/>
        <v>1.0545530822106258E-4</v>
      </c>
      <c r="F215">
        <f t="shared" si="10"/>
        <v>12241.269472971493</v>
      </c>
      <c r="G215" s="23">
        <f t="shared" si="11"/>
        <v>12883.269472971493</v>
      </c>
    </row>
    <row r="216" spans="1:7" x14ac:dyDescent="0.2">
      <c r="A216">
        <v>2017</v>
      </c>
      <c r="B216" s="1" t="s">
        <v>622</v>
      </c>
      <c r="C216" s="1" t="s">
        <v>623</v>
      </c>
      <c r="E216" s="20">
        <f t="shared" si="9"/>
        <v>0</v>
      </c>
      <c r="F216">
        <f t="shared" si="10"/>
        <v>0</v>
      </c>
      <c r="G216" s="23">
        <f t="shared" si="11"/>
        <v>0</v>
      </c>
    </row>
    <row r="217" spans="1:7" x14ac:dyDescent="0.2">
      <c r="A217">
        <v>2017</v>
      </c>
      <c r="B217" s="1" t="s">
        <v>312</v>
      </c>
      <c r="C217" s="1" t="s">
        <v>606</v>
      </c>
      <c r="D217" s="22">
        <v>1612</v>
      </c>
      <c r="E217" s="20">
        <f t="shared" si="9"/>
        <v>2.6478809478559638E-4</v>
      </c>
      <c r="F217">
        <f t="shared" si="10"/>
        <v>30736.645467959574</v>
      </c>
      <c r="G217" s="23">
        <f t="shared" si="11"/>
        <v>32348.645467959574</v>
      </c>
    </row>
    <row r="218" spans="1:7" x14ac:dyDescent="0.2">
      <c r="A218">
        <v>2017</v>
      </c>
      <c r="B218" s="1" t="s">
        <v>607</v>
      </c>
      <c r="C218" s="1" t="s">
        <v>314</v>
      </c>
      <c r="D218" s="22">
        <v>4555</v>
      </c>
      <c r="E218" s="20">
        <f t="shared" si="9"/>
        <v>7.4820705443448608E-4</v>
      </c>
      <c r="F218">
        <f t="shared" si="10"/>
        <v>86851.997584712066</v>
      </c>
      <c r="G218" s="23">
        <f t="shared" si="11"/>
        <v>91406.997584712066</v>
      </c>
    </row>
    <row r="219" spans="1:7" x14ac:dyDescent="0.2">
      <c r="A219">
        <v>2017</v>
      </c>
      <c r="B219" s="1" t="s">
        <v>315</v>
      </c>
      <c r="C219" s="1" t="s">
        <v>316</v>
      </c>
      <c r="D219" s="22">
        <v>1876</v>
      </c>
      <c r="E219" s="20">
        <f t="shared" si="9"/>
        <v>3.0815289442790247E-4</v>
      </c>
      <c r="F219">
        <f t="shared" si="10"/>
        <v>35770.438522265606</v>
      </c>
      <c r="G219" s="23">
        <f t="shared" si="11"/>
        <v>37646.438522265606</v>
      </c>
    </row>
    <row r="220" spans="1:7" x14ac:dyDescent="0.2">
      <c r="A220">
        <v>2017</v>
      </c>
      <c r="B220" s="1" t="s">
        <v>317</v>
      </c>
      <c r="C220" s="1" t="s">
        <v>318</v>
      </c>
      <c r="E220" s="20">
        <f t="shared" si="9"/>
        <v>0</v>
      </c>
      <c r="F220">
        <f t="shared" si="10"/>
        <v>0</v>
      </c>
      <c r="G220" s="23">
        <f t="shared" si="11"/>
        <v>0</v>
      </c>
    </row>
    <row r="221" spans="1:7" x14ac:dyDescent="0.2">
      <c r="A221">
        <v>2017</v>
      </c>
      <c r="B221" s="1" t="s">
        <v>608</v>
      </c>
      <c r="C221" s="1" t="s">
        <v>319</v>
      </c>
      <c r="E221" s="20">
        <f t="shared" si="9"/>
        <v>0</v>
      </c>
      <c r="F221">
        <f t="shared" si="10"/>
        <v>0</v>
      </c>
      <c r="G221" s="23">
        <f t="shared" si="11"/>
        <v>0</v>
      </c>
    </row>
    <row r="222" spans="1:7" x14ac:dyDescent="0.2">
      <c r="A222">
        <v>2017</v>
      </c>
      <c r="B222" s="1" t="s">
        <v>609</v>
      </c>
      <c r="C222" s="1" t="s">
        <v>320</v>
      </c>
      <c r="E222" s="20">
        <f t="shared" si="9"/>
        <v>0</v>
      </c>
      <c r="F222">
        <f t="shared" si="10"/>
        <v>0</v>
      </c>
      <c r="G222" s="23">
        <f t="shared" si="11"/>
        <v>0</v>
      </c>
    </row>
    <row r="223" spans="1:7" x14ac:dyDescent="0.2">
      <c r="A223">
        <v>2017</v>
      </c>
      <c r="B223" s="1" t="s">
        <v>321</v>
      </c>
      <c r="C223" s="1" t="s">
        <v>322</v>
      </c>
      <c r="E223" s="20">
        <f t="shared" si="9"/>
        <v>0</v>
      </c>
      <c r="F223">
        <f t="shared" si="10"/>
        <v>0</v>
      </c>
      <c r="G223" s="23">
        <f t="shared" si="11"/>
        <v>0</v>
      </c>
    </row>
    <row r="224" spans="1:7" x14ac:dyDescent="0.2">
      <c r="A224">
        <v>2017</v>
      </c>
      <c r="B224" s="1" t="s">
        <v>610</v>
      </c>
      <c r="C224" s="1" t="s">
        <v>323</v>
      </c>
      <c r="D224" s="22">
        <v>14196</v>
      </c>
      <c r="E224" s="20">
        <f t="shared" si="9"/>
        <v>2.3318435444021875E-3</v>
      </c>
      <c r="F224">
        <f t="shared" si="10"/>
        <v>270680.78105654719</v>
      </c>
      <c r="G224" s="23">
        <f t="shared" si="11"/>
        <v>284876.78105654719</v>
      </c>
    </row>
    <row r="225" spans="1:7" x14ac:dyDescent="0.2">
      <c r="A225">
        <v>2017</v>
      </c>
      <c r="B225" s="1" t="s">
        <v>324</v>
      </c>
      <c r="C225" s="1" t="s">
        <v>325</v>
      </c>
      <c r="D225" s="22">
        <v>2782</v>
      </c>
      <c r="E225" s="20">
        <f t="shared" si="9"/>
        <v>4.5697300229127118E-4</v>
      </c>
      <c r="F225">
        <f t="shared" si="10"/>
        <v>53045.501049543134</v>
      </c>
      <c r="G225" s="23">
        <f t="shared" si="11"/>
        <v>55827.501049543134</v>
      </c>
    </row>
    <row r="226" spans="1:7" x14ac:dyDescent="0.2">
      <c r="A226">
        <v>2017</v>
      </c>
      <c r="B226" s="1" t="s">
        <v>326</v>
      </c>
      <c r="C226" s="1" t="s">
        <v>327</v>
      </c>
      <c r="D226" s="22">
        <v>1330</v>
      </c>
      <c r="E226" s="20">
        <f t="shared" si="9"/>
        <v>2.1846660425858759E-4</v>
      </c>
      <c r="F226">
        <f t="shared" si="10"/>
        <v>25359.639250859946</v>
      </c>
      <c r="G226" s="23">
        <f t="shared" si="11"/>
        <v>26689.639250859946</v>
      </c>
    </row>
    <row r="227" spans="1:7" x14ac:dyDescent="0.2">
      <c r="A227">
        <v>2017</v>
      </c>
      <c r="B227" s="1" t="s">
        <v>611</v>
      </c>
      <c r="C227" s="1" t="s">
        <v>328</v>
      </c>
      <c r="D227" s="22">
        <v>1396</v>
      </c>
      <c r="E227" s="20">
        <f t="shared" si="9"/>
        <v>2.2930780416916411E-4</v>
      </c>
      <c r="F227">
        <f t="shared" si="10"/>
        <v>26618.087514436455</v>
      </c>
      <c r="G227" s="23">
        <f t="shared" si="11"/>
        <v>28014.087514436455</v>
      </c>
    </row>
    <row r="228" spans="1:7" x14ac:dyDescent="0.2">
      <c r="A228">
        <v>2017</v>
      </c>
      <c r="B228" s="1" t="s">
        <v>329</v>
      </c>
      <c r="C228" s="1" t="s">
        <v>330</v>
      </c>
      <c r="D228" s="22">
        <v>4648</v>
      </c>
      <c r="E228" s="20">
        <f t="shared" si="9"/>
        <v>7.6348329067211661E-4</v>
      </c>
      <c r="F228">
        <f t="shared" si="10"/>
        <v>88625.265592478972</v>
      </c>
      <c r="G228" s="23">
        <f t="shared" si="11"/>
        <v>93273.265592478972</v>
      </c>
    </row>
    <row r="229" spans="1:7" x14ac:dyDescent="0.2">
      <c r="A229">
        <v>2017</v>
      </c>
      <c r="B229" s="1" t="s">
        <v>612</v>
      </c>
      <c r="C229" s="1" t="s">
        <v>331</v>
      </c>
      <c r="D229" s="22">
        <v>3581</v>
      </c>
      <c r="E229" s="20">
        <f t="shared" si="9"/>
        <v>5.8821722545112948E-4</v>
      </c>
      <c r="F229">
        <f t="shared" si="10"/>
        <v>68280.351997992082</v>
      </c>
      <c r="G229" s="23">
        <f t="shared" si="11"/>
        <v>71861.351997992082</v>
      </c>
    </row>
    <row r="230" spans="1:7" x14ac:dyDescent="0.2">
      <c r="A230">
        <v>2017</v>
      </c>
      <c r="B230" s="1" t="s">
        <v>332</v>
      </c>
      <c r="C230" s="1" t="s">
        <v>333</v>
      </c>
      <c r="D230" s="22">
        <v>1902</v>
      </c>
      <c r="E230" s="20">
        <f t="shared" si="9"/>
        <v>3.1242367015025082E-4</v>
      </c>
      <c r="F230">
        <f t="shared" si="10"/>
        <v>36266.190868523023</v>
      </c>
      <c r="G230" s="23">
        <f t="shared" si="11"/>
        <v>38168.190868523023</v>
      </c>
    </row>
    <row r="231" spans="1:7" x14ac:dyDescent="0.2">
      <c r="A231">
        <v>2017</v>
      </c>
      <c r="B231" s="1" t="s">
        <v>334</v>
      </c>
      <c r="C231" s="1" t="s">
        <v>335</v>
      </c>
      <c r="D231" s="22">
        <v>2195</v>
      </c>
      <c r="E231" s="20">
        <f t="shared" si="9"/>
        <v>3.6055202732902239E-4</v>
      </c>
      <c r="F231">
        <f t="shared" si="10"/>
        <v>41852.938462885402</v>
      </c>
      <c r="G231" s="23">
        <f t="shared" si="11"/>
        <v>44047.938462885402</v>
      </c>
    </row>
    <row r="232" spans="1:7" x14ac:dyDescent="0.2">
      <c r="A232">
        <v>2017</v>
      </c>
      <c r="B232" s="1" t="s">
        <v>613</v>
      </c>
      <c r="C232" s="1" t="s">
        <v>336</v>
      </c>
      <c r="D232" s="22">
        <v>6618</v>
      </c>
      <c r="E232" s="20">
        <f t="shared" si="9"/>
        <v>1.0870766819423554E-3</v>
      </c>
      <c r="F232">
        <f t="shared" si="10"/>
        <v>126188.03952044445</v>
      </c>
      <c r="G232" s="23">
        <f t="shared" si="11"/>
        <v>132806.03952044446</v>
      </c>
    </row>
    <row r="233" spans="1:7" x14ac:dyDescent="0.2">
      <c r="A233">
        <v>2017</v>
      </c>
      <c r="B233" s="1" t="s">
        <v>614</v>
      </c>
      <c r="C233" s="1" t="s">
        <v>338</v>
      </c>
      <c r="D233" s="22">
        <v>6194</v>
      </c>
      <c r="E233" s="20">
        <f t="shared" si="9"/>
        <v>1.0174301855471364E-3</v>
      </c>
      <c r="F233">
        <f t="shared" si="10"/>
        <v>118103.46279686202</v>
      </c>
      <c r="G233" s="23">
        <f t="shared" si="11"/>
        <v>124297.46279686202</v>
      </c>
    </row>
    <row r="234" spans="1:7" x14ac:dyDescent="0.2">
      <c r="A234">
        <v>2017</v>
      </c>
      <c r="B234" s="1" t="s">
        <v>615</v>
      </c>
      <c r="C234" s="1" t="s">
        <v>340</v>
      </c>
      <c r="D234" s="22">
        <v>16461</v>
      </c>
      <c r="E234" s="20">
        <f t="shared" si="9"/>
        <v>2.703893814060609E-3</v>
      </c>
      <c r="F234">
        <f t="shared" si="10"/>
        <v>313868.43737474101</v>
      </c>
      <c r="G234" s="23">
        <f t="shared" si="11"/>
        <v>330329.43737474101</v>
      </c>
    </row>
    <row r="235" spans="1:7" x14ac:dyDescent="0.2">
      <c r="A235">
        <v>2017</v>
      </c>
      <c r="B235" s="1" t="s">
        <v>616</v>
      </c>
      <c r="C235" s="1" t="s">
        <v>342</v>
      </c>
      <c r="D235" s="22">
        <v>1415</v>
      </c>
      <c r="E235" s="20">
        <f t="shared" si="9"/>
        <v>2.3242875565857252E-4</v>
      </c>
      <c r="F235">
        <f t="shared" si="10"/>
        <v>26980.368075163027</v>
      </c>
      <c r="G235" s="23">
        <f t="shared" si="11"/>
        <v>28395.368075163027</v>
      </c>
    </row>
    <row r="236" spans="1:7" x14ac:dyDescent="0.2">
      <c r="A236">
        <v>2017</v>
      </c>
      <c r="B236" s="1" t="s">
        <v>343</v>
      </c>
      <c r="C236" s="1" t="s">
        <v>344</v>
      </c>
      <c r="D236" s="22">
        <v>171</v>
      </c>
      <c r="E236" s="20">
        <f t="shared" si="9"/>
        <v>2.8088563404675547E-5</v>
      </c>
      <c r="F236">
        <f t="shared" si="10"/>
        <v>3260.5250465391359</v>
      </c>
      <c r="G236" s="23">
        <f t="shared" si="11"/>
        <v>3431.5250465391359</v>
      </c>
    </row>
    <row r="237" spans="1:7" x14ac:dyDescent="0.2">
      <c r="A237">
        <v>2017</v>
      </c>
      <c r="B237" s="1" t="s">
        <v>345</v>
      </c>
      <c r="C237" s="1" t="s">
        <v>346</v>
      </c>
      <c r="D237" s="22">
        <v>631</v>
      </c>
      <c r="E237" s="20">
        <f t="shared" si="9"/>
        <v>1.0364844156929982E-4</v>
      </c>
      <c r="F237">
        <f t="shared" si="10"/>
        <v>12031.528095708742</v>
      </c>
      <c r="G237" s="23">
        <f t="shared" si="11"/>
        <v>12662.528095708742</v>
      </c>
    </row>
    <row r="238" spans="1:7" x14ac:dyDescent="0.2">
      <c r="A238">
        <v>2017</v>
      </c>
      <c r="B238" s="1" t="s">
        <v>347</v>
      </c>
      <c r="C238" s="1" t="s">
        <v>348</v>
      </c>
      <c r="D238" s="22">
        <v>1855</v>
      </c>
      <c r="E238" s="20">
        <f t="shared" si="9"/>
        <v>3.0470342172908267E-4</v>
      </c>
      <c r="F238">
        <f t="shared" si="10"/>
        <v>35370.023165673083</v>
      </c>
      <c r="G238" s="23">
        <f t="shared" si="11"/>
        <v>37225.023165673083</v>
      </c>
    </row>
    <row r="239" spans="1:7" x14ac:dyDescent="0.2">
      <c r="A239">
        <v>2017</v>
      </c>
      <c r="B239" s="1" t="s">
        <v>349</v>
      </c>
      <c r="C239" s="1" t="s">
        <v>350</v>
      </c>
      <c r="D239" s="22">
        <v>1064</v>
      </c>
      <c r="E239" s="20">
        <f t="shared" si="9"/>
        <v>1.7477328340687008E-4</v>
      </c>
      <c r="F239">
        <f t="shared" si="10"/>
        <v>20287.711400687956</v>
      </c>
      <c r="G239" s="23">
        <f t="shared" si="11"/>
        <v>21351.711400687956</v>
      </c>
    </row>
    <row r="240" spans="1:7" x14ac:dyDescent="0.2">
      <c r="A240">
        <v>2017</v>
      </c>
      <c r="B240" s="1" t="s">
        <v>617</v>
      </c>
      <c r="C240" s="1" t="s">
        <v>618</v>
      </c>
      <c r="E240" s="20">
        <f t="shared" si="9"/>
        <v>0</v>
      </c>
      <c r="F240">
        <f t="shared" si="10"/>
        <v>0</v>
      </c>
      <c r="G240" s="23">
        <f t="shared" si="11"/>
        <v>0</v>
      </c>
    </row>
    <row r="241" spans="1:7" x14ac:dyDescent="0.2">
      <c r="A241">
        <v>2017</v>
      </c>
      <c r="B241" s="1" t="s">
        <v>351</v>
      </c>
      <c r="C241" s="1" t="s">
        <v>352</v>
      </c>
      <c r="D241" s="22">
        <v>3722</v>
      </c>
      <c r="E241" s="20">
        <f t="shared" si="9"/>
        <v>6.1137797071463386E-4</v>
      </c>
      <c r="F241">
        <f t="shared" si="10"/>
        <v>70968.855106541901</v>
      </c>
      <c r="G241" s="23">
        <f t="shared" si="11"/>
        <v>74690.855106541901</v>
      </c>
    </row>
    <row r="242" spans="1:7" x14ac:dyDescent="0.2">
      <c r="A242">
        <v>2017</v>
      </c>
      <c r="B242" s="1" t="s">
        <v>353</v>
      </c>
      <c r="C242" s="1" t="s">
        <v>354</v>
      </c>
      <c r="D242" s="22">
        <v>7714</v>
      </c>
      <c r="E242" s="20">
        <f t="shared" si="9"/>
        <v>1.267106304699808E-3</v>
      </c>
      <c r="F242">
        <f t="shared" si="10"/>
        <v>147085.90765498768</v>
      </c>
      <c r="G242" s="23">
        <f t="shared" si="11"/>
        <v>154799.90765498768</v>
      </c>
    </row>
    <row r="243" spans="1:7" x14ac:dyDescent="0.2">
      <c r="A243">
        <v>2017</v>
      </c>
      <c r="B243" s="1" t="s">
        <v>355</v>
      </c>
      <c r="C243" s="1" t="s">
        <v>356</v>
      </c>
      <c r="E243" s="20">
        <f t="shared" si="9"/>
        <v>0</v>
      </c>
      <c r="F243">
        <f t="shared" si="10"/>
        <v>0</v>
      </c>
      <c r="G243" s="23">
        <f t="shared" si="11"/>
        <v>0</v>
      </c>
    </row>
    <row r="244" spans="1:7" x14ac:dyDescent="0.2">
      <c r="A244">
        <v>2017</v>
      </c>
      <c r="B244" s="1" t="s">
        <v>619</v>
      </c>
      <c r="C244" s="1" t="s">
        <v>357</v>
      </c>
      <c r="E244" s="20">
        <f t="shared" si="9"/>
        <v>0</v>
      </c>
      <c r="F244">
        <f t="shared" si="10"/>
        <v>0</v>
      </c>
      <c r="G244" s="23">
        <f t="shared" si="11"/>
        <v>0</v>
      </c>
    </row>
    <row r="245" spans="1:7" x14ac:dyDescent="0.2">
      <c r="A245">
        <v>2017</v>
      </c>
      <c r="B245" s="1" t="s">
        <v>620</v>
      </c>
      <c r="C245" s="1" t="s">
        <v>358</v>
      </c>
      <c r="D245" s="22">
        <v>2625</v>
      </c>
      <c r="E245" s="20">
        <f t="shared" si="9"/>
        <v>4.311840873524755E-4</v>
      </c>
      <c r="F245">
        <f t="shared" si="10"/>
        <v>50051.91957406568</v>
      </c>
      <c r="G245" s="23">
        <f t="shared" si="11"/>
        <v>52676.91957406568</v>
      </c>
    </row>
    <row r="246" spans="1:7" x14ac:dyDescent="0.2">
      <c r="A246">
        <v>2017</v>
      </c>
      <c r="B246" s="1" t="s">
        <v>359</v>
      </c>
      <c r="C246" s="1" t="s">
        <v>360</v>
      </c>
      <c r="E246" s="20">
        <f t="shared" si="9"/>
        <v>0</v>
      </c>
      <c r="F246">
        <f t="shared" si="10"/>
        <v>0</v>
      </c>
      <c r="G246" s="23">
        <f t="shared" si="11"/>
        <v>0</v>
      </c>
    </row>
    <row r="247" spans="1:7" x14ac:dyDescent="0.2">
      <c r="A247">
        <v>2017</v>
      </c>
      <c r="B247" s="1" t="s">
        <v>361</v>
      </c>
      <c r="C247" s="1" t="s">
        <v>362</v>
      </c>
      <c r="D247" s="22">
        <v>4895</v>
      </c>
      <c r="E247" s="20">
        <f t="shared" si="9"/>
        <v>8.0405566003442569E-4</v>
      </c>
      <c r="F247">
        <f t="shared" si="10"/>
        <v>93334.912881924378</v>
      </c>
      <c r="G247" s="23">
        <f t="shared" si="11"/>
        <v>98229.912881924378</v>
      </c>
    </row>
    <row r="249" spans="1:7" x14ac:dyDescent="0.2">
      <c r="D249" s="22">
        <f>SUM(D2:D247)</f>
        <v>6087887</v>
      </c>
    </row>
    <row r="251" spans="1:7" x14ac:dyDescent="0.2">
      <c r="B251" s="1" t="s">
        <v>482</v>
      </c>
      <c r="C251" s="1" t="s">
        <v>1</v>
      </c>
      <c r="D251" s="22">
        <v>116080164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AE04-6B53-CD4B-83D3-7887E205319A}">
  <sheetPr>
    <tabColor rgb="FFFFFF00"/>
  </sheetPr>
  <dimension ref="A1:G252"/>
  <sheetViews>
    <sheetView workbookViewId="0">
      <selection activeCell="F2" sqref="F2:G253"/>
    </sheetView>
  </sheetViews>
  <sheetFormatPr baseColWidth="10" defaultRowHeight="16" x14ac:dyDescent="0.2"/>
  <cols>
    <col min="2" max="2" width="38.6640625" style="1" bestFit="1" customWidth="1"/>
    <col min="3" max="3" width="13.5" style="1" bestFit="1" customWidth="1"/>
    <col min="4" max="4" width="18.83203125" style="1" bestFit="1" customWidth="1"/>
    <col min="6" max="6" width="17.1640625" bestFit="1" customWidth="1"/>
    <col min="7" max="7" width="16.83203125" bestFit="1" customWidth="1"/>
  </cols>
  <sheetData>
    <row r="1" spans="1:7" x14ac:dyDescent="0.2">
      <c r="A1" t="s">
        <v>639</v>
      </c>
      <c r="B1" s="1" t="s">
        <v>634</v>
      </c>
      <c r="C1" s="1" t="s">
        <v>364</v>
      </c>
      <c r="D1" s="1" t="s">
        <v>363</v>
      </c>
      <c r="F1" t="s">
        <v>637</v>
      </c>
      <c r="G1" t="s">
        <v>638</v>
      </c>
    </row>
    <row r="2" spans="1:7" x14ac:dyDescent="0.2">
      <c r="A2">
        <v>2018</v>
      </c>
      <c r="B2" s="1" t="s">
        <v>2</v>
      </c>
      <c r="C2" s="1" t="s">
        <v>3</v>
      </c>
      <c r="E2" s="20">
        <f>D2/$D$250</f>
        <v>0</v>
      </c>
      <c r="F2">
        <f>E2*$D$252</f>
        <v>0</v>
      </c>
      <c r="G2">
        <f>SUM(D2,F2)</f>
        <v>0</v>
      </c>
    </row>
    <row r="3" spans="1:7" x14ac:dyDescent="0.2">
      <c r="A3">
        <v>2018</v>
      </c>
      <c r="B3" s="1" t="s">
        <v>4</v>
      </c>
      <c r="C3" s="1" t="s">
        <v>5</v>
      </c>
      <c r="E3" s="20">
        <f t="shared" ref="E3:E66" si="0">D3/$D$250</f>
        <v>0</v>
      </c>
      <c r="F3">
        <f t="shared" ref="F3:F66" si="1">E3*$D$252</f>
        <v>0</v>
      </c>
      <c r="G3">
        <f t="shared" ref="G3:G66" si="2">SUM(D3,F3)</f>
        <v>0</v>
      </c>
    </row>
    <row r="4" spans="1:7" x14ac:dyDescent="0.2">
      <c r="A4">
        <v>2018</v>
      </c>
      <c r="B4" s="1" t="s">
        <v>6</v>
      </c>
      <c r="C4" s="1" t="s">
        <v>7</v>
      </c>
      <c r="D4" s="10">
        <v>9751</v>
      </c>
      <c r="E4" s="20">
        <f t="shared" si="0"/>
        <v>1.5319433198253355E-3</v>
      </c>
      <c r="F4">
        <f t="shared" si="1"/>
        <v>197645.88412924946</v>
      </c>
      <c r="G4">
        <f t="shared" si="2"/>
        <v>207396.88412924946</v>
      </c>
    </row>
    <row r="5" spans="1:7" x14ac:dyDescent="0.2">
      <c r="A5">
        <v>2018</v>
      </c>
      <c r="B5" s="1" t="s">
        <v>8</v>
      </c>
      <c r="C5" s="1" t="s">
        <v>9</v>
      </c>
      <c r="D5" s="10">
        <v>1986</v>
      </c>
      <c r="E5" s="20">
        <f t="shared" si="0"/>
        <v>3.1201306872865513E-4</v>
      </c>
      <c r="F5">
        <f t="shared" si="1"/>
        <v>40254.81754493789</v>
      </c>
      <c r="G5">
        <f t="shared" si="2"/>
        <v>42240.81754493789</v>
      </c>
    </row>
    <row r="6" spans="1:7" x14ac:dyDescent="0.2">
      <c r="A6">
        <v>2018</v>
      </c>
      <c r="B6" s="1" t="s">
        <v>483</v>
      </c>
      <c r="C6" s="1" t="s">
        <v>10</v>
      </c>
      <c r="D6" s="10">
        <v>19357</v>
      </c>
      <c r="E6" s="20">
        <f t="shared" si="0"/>
        <v>3.0411062292953562E-3</v>
      </c>
      <c r="F6">
        <f t="shared" si="1"/>
        <v>392352.72065325419</v>
      </c>
      <c r="G6">
        <f t="shared" si="2"/>
        <v>411709.72065325419</v>
      </c>
    </row>
    <row r="7" spans="1:7" x14ac:dyDescent="0.2">
      <c r="A7">
        <v>2018</v>
      </c>
      <c r="B7" s="1" t="s">
        <v>484</v>
      </c>
      <c r="C7" s="1" t="s">
        <v>11</v>
      </c>
      <c r="D7" s="10">
        <v>8720</v>
      </c>
      <c r="E7" s="20">
        <f t="shared" si="0"/>
        <v>1.3699667468851323E-3</v>
      </c>
      <c r="F7">
        <f t="shared" si="1"/>
        <v>176748.2421912681</v>
      </c>
      <c r="G7">
        <f t="shared" si="2"/>
        <v>185468.2421912681</v>
      </c>
    </row>
    <row r="8" spans="1:7" x14ac:dyDescent="0.2">
      <c r="A8">
        <v>2018</v>
      </c>
      <c r="B8" s="1" t="s">
        <v>12</v>
      </c>
      <c r="C8" s="1" t="s">
        <v>13</v>
      </c>
      <c r="E8" s="20">
        <f t="shared" si="0"/>
        <v>0</v>
      </c>
      <c r="F8">
        <f t="shared" si="1"/>
        <v>0</v>
      </c>
      <c r="G8">
        <f t="shared" si="2"/>
        <v>0</v>
      </c>
    </row>
    <row r="9" spans="1:7" x14ac:dyDescent="0.2">
      <c r="A9">
        <v>2018</v>
      </c>
      <c r="B9" s="1" t="s">
        <v>14</v>
      </c>
      <c r="C9" s="1" t="s">
        <v>15</v>
      </c>
      <c r="E9" s="20">
        <f t="shared" si="0"/>
        <v>0</v>
      </c>
      <c r="F9">
        <f t="shared" si="1"/>
        <v>0</v>
      </c>
      <c r="G9">
        <f t="shared" si="2"/>
        <v>0</v>
      </c>
    </row>
    <row r="10" spans="1:7" x14ac:dyDescent="0.2">
      <c r="A10">
        <v>2018</v>
      </c>
      <c r="B10" s="1" t="s">
        <v>16</v>
      </c>
      <c r="C10" s="1" t="s">
        <v>17</v>
      </c>
      <c r="E10" s="20">
        <f t="shared" si="0"/>
        <v>0</v>
      </c>
      <c r="F10">
        <f t="shared" si="1"/>
        <v>0</v>
      </c>
      <c r="G10">
        <f t="shared" si="2"/>
        <v>0</v>
      </c>
    </row>
    <row r="11" spans="1:7" x14ac:dyDescent="0.2">
      <c r="A11">
        <v>2018</v>
      </c>
      <c r="B11" s="1" t="s">
        <v>18</v>
      </c>
      <c r="C11" s="1" t="s">
        <v>19</v>
      </c>
      <c r="E11" s="20">
        <f t="shared" si="0"/>
        <v>0</v>
      </c>
      <c r="F11">
        <f t="shared" si="1"/>
        <v>0</v>
      </c>
      <c r="G11">
        <f t="shared" si="2"/>
        <v>0</v>
      </c>
    </row>
    <row r="12" spans="1:7" x14ac:dyDescent="0.2">
      <c r="A12">
        <v>2018</v>
      </c>
      <c r="B12" s="1" t="s">
        <v>20</v>
      </c>
      <c r="C12" s="1" t="s">
        <v>21</v>
      </c>
      <c r="E12" s="20">
        <f t="shared" si="0"/>
        <v>0</v>
      </c>
      <c r="F12">
        <f t="shared" si="1"/>
        <v>0</v>
      </c>
      <c r="G12">
        <f t="shared" si="2"/>
        <v>0</v>
      </c>
    </row>
    <row r="13" spans="1:7" x14ac:dyDescent="0.2">
      <c r="A13">
        <v>2018</v>
      </c>
      <c r="B13" s="1" t="s">
        <v>22</v>
      </c>
      <c r="C13" s="1" t="s">
        <v>23</v>
      </c>
      <c r="E13" s="20">
        <f t="shared" si="0"/>
        <v>0</v>
      </c>
      <c r="F13">
        <f t="shared" si="1"/>
        <v>0</v>
      </c>
      <c r="G13">
        <f t="shared" si="2"/>
        <v>0</v>
      </c>
    </row>
    <row r="14" spans="1:7" x14ac:dyDescent="0.2">
      <c r="A14">
        <v>2018</v>
      </c>
      <c r="B14" s="1" t="s">
        <v>24</v>
      </c>
      <c r="C14" s="1" t="s">
        <v>25</v>
      </c>
      <c r="E14" s="20">
        <f t="shared" si="0"/>
        <v>0</v>
      </c>
      <c r="F14">
        <f t="shared" si="1"/>
        <v>0</v>
      </c>
      <c r="G14">
        <f t="shared" si="2"/>
        <v>0</v>
      </c>
    </row>
    <row r="15" spans="1:7" x14ac:dyDescent="0.2">
      <c r="A15">
        <v>2018</v>
      </c>
      <c r="B15" s="1" t="s">
        <v>26</v>
      </c>
      <c r="C15" s="1" t="s">
        <v>27</v>
      </c>
      <c r="E15" s="20">
        <f t="shared" si="0"/>
        <v>0</v>
      </c>
      <c r="F15">
        <f t="shared" si="1"/>
        <v>0</v>
      </c>
      <c r="G15">
        <f t="shared" si="2"/>
        <v>0</v>
      </c>
    </row>
    <row r="16" spans="1:7" x14ac:dyDescent="0.2">
      <c r="A16">
        <v>2018</v>
      </c>
      <c r="B16" s="1" t="s">
        <v>28</v>
      </c>
      <c r="C16" s="1" t="s">
        <v>29</v>
      </c>
      <c r="E16" s="20">
        <f t="shared" si="0"/>
        <v>0</v>
      </c>
      <c r="F16">
        <f t="shared" si="1"/>
        <v>0</v>
      </c>
      <c r="G16">
        <f t="shared" si="2"/>
        <v>0</v>
      </c>
    </row>
    <row r="17" spans="1:7" x14ac:dyDescent="0.2">
      <c r="A17">
        <v>2018</v>
      </c>
      <c r="B17" s="1" t="s">
        <v>30</v>
      </c>
      <c r="C17" s="1" t="s">
        <v>31</v>
      </c>
      <c r="E17" s="20">
        <f t="shared" si="0"/>
        <v>0</v>
      </c>
      <c r="F17">
        <f t="shared" si="1"/>
        <v>0</v>
      </c>
      <c r="G17">
        <f t="shared" si="2"/>
        <v>0</v>
      </c>
    </row>
    <row r="18" spans="1:7" x14ac:dyDescent="0.2">
      <c r="A18">
        <v>2018</v>
      </c>
      <c r="B18" s="1" t="s">
        <v>32</v>
      </c>
      <c r="C18" s="1" t="s">
        <v>33</v>
      </c>
      <c r="D18" s="10">
        <v>6256</v>
      </c>
      <c r="E18" s="20">
        <f t="shared" si="0"/>
        <v>9.8285687712309491E-4</v>
      </c>
      <c r="F18">
        <f t="shared" si="1"/>
        <v>126804.70219593728</v>
      </c>
      <c r="G18">
        <f t="shared" si="2"/>
        <v>133060.70219593728</v>
      </c>
    </row>
    <row r="19" spans="1:7" x14ac:dyDescent="0.2">
      <c r="A19">
        <v>2018</v>
      </c>
      <c r="B19" s="1" t="s">
        <v>485</v>
      </c>
      <c r="C19" s="1" t="s">
        <v>486</v>
      </c>
      <c r="E19" s="20">
        <f t="shared" si="0"/>
        <v>0</v>
      </c>
      <c r="F19">
        <f t="shared" si="1"/>
        <v>0</v>
      </c>
      <c r="G19">
        <f t="shared" si="2"/>
        <v>0</v>
      </c>
    </row>
    <row r="20" spans="1:7" x14ac:dyDescent="0.2">
      <c r="A20">
        <v>2018</v>
      </c>
      <c r="B20" s="1" t="s">
        <v>34</v>
      </c>
      <c r="C20" s="1" t="s">
        <v>35</v>
      </c>
      <c r="D20" s="10">
        <v>9962</v>
      </c>
      <c r="E20" s="20">
        <f t="shared" si="0"/>
        <v>1.5650927445492763E-3</v>
      </c>
      <c r="F20">
        <f t="shared" si="1"/>
        <v>201922.70512722625</v>
      </c>
      <c r="G20">
        <f t="shared" si="2"/>
        <v>211884.70512722625</v>
      </c>
    </row>
    <row r="21" spans="1:7" x14ac:dyDescent="0.2">
      <c r="A21">
        <v>2018</v>
      </c>
      <c r="B21" s="1" t="s">
        <v>36</v>
      </c>
      <c r="C21" s="1" t="s">
        <v>37</v>
      </c>
      <c r="D21" s="10">
        <v>136597</v>
      </c>
      <c r="E21" s="20">
        <f t="shared" si="0"/>
        <v>2.1460246298654635E-2</v>
      </c>
      <c r="F21">
        <f t="shared" si="1"/>
        <v>2768724.7291973219</v>
      </c>
      <c r="G21">
        <f t="shared" si="2"/>
        <v>2905321.7291973219</v>
      </c>
    </row>
    <row r="22" spans="1:7" x14ac:dyDescent="0.2">
      <c r="A22">
        <v>2018</v>
      </c>
      <c r="B22" s="1" t="s">
        <v>38</v>
      </c>
      <c r="C22" s="1" t="s">
        <v>39</v>
      </c>
      <c r="D22" s="10">
        <v>135720</v>
      </c>
      <c r="E22" s="20">
        <f t="shared" si="0"/>
        <v>2.1322464092574562E-2</v>
      </c>
      <c r="F22">
        <f t="shared" si="1"/>
        <v>2750948.558509049</v>
      </c>
      <c r="G22">
        <f t="shared" si="2"/>
        <v>2886668.558509049</v>
      </c>
    </row>
    <row r="23" spans="1:7" x14ac:dyDescent="0.2">
      <c r="A23">
        <v>2018</v>
      </c>
      <c r="B23" s="1" t="s">
        <v>40</v>
      </c>
      <c r="C23" s="1" t="s">
        <v>41</v>
      </c>
      <c r="D23" s="10">
        <v>188548</v>
      </c>
      <c r="E23" s="20">
        <f t="shared" si="0"/>
        <v>2.9622074563268111E-2</v>
      </c>
      <c r="F23">
        <f t="shared" si="1"/>
        <v>3821734.8129219282</v>
      </c>
      <c r="G23">
        <f t="shared" si="2"/>
        <v>4010282.8129219282</v>
      </c>
    </row>
    <row r="24" spans="1:7" x14ac:dyDescent="0.2">
      <c r="A24">
        <v>2018</v>
      </c>
      <c r="B24" s="1" t="s">
        <v>42</v>
      </c>
      <c r="C24" s="1" t="s">
        <v>43</v>
      </c>
      <c r="D24" s="10">
        <v>122133</v>
      </c>
      <c r="E24" s="20">
        <f t="shared" si="0"/>
        <v>1.9187861089142416E-2</v>
      </c>
      <c r="F24">
        <f t="shared" si="1"/>
        <v>2475549.6632507048</v>
      </c>
      <c r="G24">
        <f t="shared" si="2"/>
        <v>2597682.6632507048</v>
      </c>
    </row>
    <row r="25" spans="1:7" x14ac:dyDescent="0.2">
      <c r="A25">
        <v>2018</v>
      </c>
      <c r="B25" s="1" t="s">
        <v>44</v>
      </c>
      <c r="C25" s="1" t="s">
        <v>45</v>
      </c>
      <c r="D25" s="10">
        <v>26765</v>
      </c>
      <c r="E25" s="20">
        <f t="shared" si="0"/>
        <v>4.2049495390344685E-3</v>
      </c>
      <c r="F25">
        <f t="shared" si="1"/>
        <v>542507.64934051491</v>
      </c>
      <c r="G25">
        <f t="shared" si="2"/>
        <v>569272.64934051491</v>
      </c>
    </row>
    <row r="26" spans="1:7" x14ac:dyDescent="0.2">
      <c r="A26">
        <v>2018</v>
      </c>
      <c r="B26" s="1" t="s">
        <v>46</v>
      </c>
      <c r="C26" s="1" t="s">
        <v>47</v>
      </c>
      <c r="D26" s="10">
        <v>32833</v>
      </c>
      <c r="E26" s="20">
        <f t="shared" si="0"/>
        <v>5.1582704358348113E-3</v>
      </c>
      <c r="F26">
        <f t="shared" si="1"/>
        <v>665501.72429654887</v>
      </c>
      <c r="G26">
        <f t="shared" si="2"/>
        <v>698334.72429654887</v>
      </c>
    </row>
    <row r="27" spans="1:7" x14ac:dyDescent="0.2">
      <c r="A27">
        <v>2018</v>
      </c>
      <c r="B27" s="1" t="s">
        <v>48</v>
      </c>
      <c r="C27" s="1" t="s">
        <v>49</v>
      </c>
      <c r="D27" s="10">
        <v>20400</v>
      </c>
      <c r="E27" s="20">
        <f t="shared" si="0"/>
        <v>3.2049680775753098E-3</v>
      </c>
      <c r="F27">
        <f t="shared" si="1"/>
        <v>413493.59411718685</v>
      </c>
      <c r="G27">
        <f t="shared" si="2"/>
        <v>433893.59411718685</v>
      </c>
    </row>
    <row r="28" spans="1:7" x14ac:dyDescent="0.2">
      <c r="A28">
        <v>2018</v>
      </c>
      <c r="B28" s="1" t="s">
        <v>50</v>
      </c>
      <c r="C28" s="1" t="s">
        <v>51</v>
      </c>
      <c r="D28" s="10">
        <v>1596</v>
      </c>
      <c r="E28" s="20">
        <f t="shared" si="0"/>
        <v>2.5074162018677424E-4</v>
      </c>
      <c r="F28">
        <f t="shared" si="1"/>
        <v>32349.792951521089</v>
      </c>
      <c r="G28">
        <f t="shared" si="2"/>
        <v>33945.792951521085</v>
      </c>
    </row>
    <row r="29" spans="1:7" x14ac:dyDescent="0.2">
      <c r="A29">
        <v>2018</v>
      </c>
      <c r="B29" s="1" t="s">
        <v>52</v>
      </c>
      <c r="C29" s="1" t="s">
        <v>53</v>
      </c>
      <c r="D29" s="10">
        <v>21108</v>
      </c>
      <c r="E29" s="20">
        <f t="shared" si="0"/>
        <v>3.3161993226205706E-3</v>
      </c>
      <c r="F29">
        <f t="shared" si="1"/>
        <v>427844.25414831273</v>
      </c>
      <c r="G29">
        <f t="shared" si="2"/>
        <v>448952.25414831273</v>
      </c>
    </row>
    <row r="30" spans="1:7" x14ac:dyDescent="0.2">
      <c r="A30">
        <v>2018</v>
      </c>
      <c r="B30" s="1" t="s">
        <v>54</v>
      </c>
      <c r="C30" s="1" t="s">
        <v>55</v>
      </c>
      <c r="E30" s="20">
        <f t="shared" si="0"/>
        <v>0</v>
      </c>
      <c r="F30">
        <f t="shared" si="1"/>
        <v>0</v>
      </c>
      <c r="G30">
        <f t="shared" si="2"/>
        <v>0</v>
      </c>
    </row>
    <row r="31" spans="1:7" x14ac:dyDescent="0.2">
      <c r="A31">
        <v>2018</v>
      </c>
      <c r="B31" s="1" t="s">
        <v>56</v>
      </c>
      <c r="C31" s="1" t="s">
        <v>57</v>
      </c>
      <c r="D31" s="10">
        <v>2137</v>
      </c>
      <c r="E31" s="20">
        <f t="shared" si="0"/>
        <v>3.3573611675384493E-4</v>
      </c>
      <c r="F31">
        <f t="shared" si="1"/>
        <v>43315.480913158244</v>
      </c>
      <c r="G31">
        <f t="shared" si="2"/>
        <v>45452.480913158244</v>
      </c>
    </row>
    <row r="32" spans="1:7" x14ac:dyDescent="0.2">
      <c r="A32">
        <v>2018</v>
      </c>
      <c r="B32" s="1" t="s">
        <v>58</v>
      </c>
      <c r="C32" s="1" t="s">
        <v>59</v>
      </c>
      <c r="D32" s="10">
        <v>6488</v>
      </c>
      <c r="E32" s="20">
        <f t="shared" si="0"/>
        <v>1.0193055336915986E-3</v>
      </c>
      <c r="F32">
        <f t="shared" si="1"/>
        <v>131507.17836432884</v>
      </c>
      <c r="G32">
        <f t="shared" si="2"/>
        <v>137995.17836432884</v>
      </c>
    </row>
    <row r="33" spans="1:7" x14ac:dyDescent="0.2">
      <c r="A33">
        <v>2018</v>
      </c>
      <c r="B33" s="1" t="s">
        <v>60</v>
      </c>
      <c r="C33" s="1" t="s">
        <v>61</v>
      </c>
      <c r="E33" s="20">
        <f t="shared" si="0"/>
        <v>0</v>
      </c>
      <c r="F33">
        <f t="shared" si="1"/>
        <v>0</v>
      </c>
      <c r="G33">
        <f t="shared" si="2"/>
        <v>0</v>
      </c>
    </row>
    <row r="34" spans="1:7" x14ac:dyDescent="0.2">
      <c r="A34">
        <v>2018</v>
      </c>
      <c r="B34" s="1" t="s">
        <v>62</v>
      </c>
      <c r="C34" s="1" t="s">
        <v>63</v>
      </c>
      <c r="D34" s="10">
        <v>40646</v>
      </c>
      <c r="E34" s="20">
        <f t="shared" si="0"/>
        <v>6.3857417882904922E-3</v>
      </c>
      <c r="F34">
        <f t="shared" si="1"/>
        <v>823865.71698466549</v>
      </c>
      <c r="G34">
        <f t="shared" si="2"/>
        <v>864511.71698466549</v>
      </c>
    </row>
    <row r="35" spans="1:7" x14ac:dyDescent="0.2">
      <c r="A35">
        <v>2018</v>
      </c>
      <c r="B35" s="1" t="s">
        <v>64</v>
      </c>
      <c r="C35" s="1" t="s">
        <v>65</v>
      </c>
      <c r="D35" s="10">
        <v>12214</v>
      </c>
      <c r="E35" s="20">
        <f t="shared" si="0"/>
        <v>1.9188960833090604E-3</v>
      </c>
      <c r="F35">
        <f t="shared" si="1"/>
        <v>247569.15483075098</v>
      </c>
      <c r="G35">
        <f t="shared" si="2"/>
        <v>259783.15483075098</v>
      </c>
    </row>
    <row r="36" spans="1:7" x14ac:dyDescent="0.2">
      <c r="A36">
        <v>2018</v>
      </c>
      <c r="B36" s="1" t="s">
        <v>66</v>
      </c>
      <c r="C36" s="1" t="s">
        <v>67</v>
      </c>
      <c r="D36" s="10">
        <v>5170</v>
      </c>
      <c r="E36" s="20">
        <f t="shared" si="0"/>
        <v>8.1223945887570347E-4</v>
      </c>
      <c r="F36">
        <f t="shared" si="1"/>
        <v>104792.24909734588</v>
      </c>
      <c r="G36">
        <f t="shared" si="2"/>
        <v>109962.24909734588</v>
      </c>
    </row>
    <row r="37" spans="1:7" x14ac:dyDescent="0.2">
      <c r="A37">
        <v>2018</v>
      </c>
      <c r="B37" s="1" t="s">
        <v>68</v>
      </c>
      <c r="C37" s="1" t="s">
        <v>69</v>
      </c>
      <c r="D37" s="10">
        <v>12558</v>
      </c>
      <c r="E37" s="20">
        <f t="shared" si="0"/>
        <v>1.9729406430485656E-3</v>
      </c>
      <c r="F37">
        <f t="shared" si="1"/>
        <v>254541.79190802117</v>
      </c>
      <c r="G37">
        <f t="shared" si="2"/>
        <v>267099.7919080212</v>
      </c>
    </row>
    <row r="38" spans="1:7" x14ac:dyDescent="0.2">
      <c r="A38">
        <v>2018</v>
      </c>
      <c r="B38" s="1" t="s">
        <v>70</v>
      </c>
      <c r="C38" s="1" t="s">
        <v>71</v>
      </c>
      <c r="D38" s="10">
        <v>2454</v>
      </c>
      <c r="E38" s="20">
        <f t="shared" si="0"/>
        <v>3.8553880697891224E-4</v>
      </c>
      <c r="F38">
        <f t="shared" si="1"/>
        <v>49740.84705703806</v>
      </c>
      <c r="G38">
        <f t="shared" si="2"/>
        <v>52194.84705703806</v>
      </c>
    </row>
    <row r="39" spans="1:7" x14ac:dyDescent="0.2">
      <c r="A39">
        <v>2018</v>
      </c>
      <c r="B39" s="1" t="s">
        <v>72</v>
      </c>
      <c r="C39" s="1" t="s">
        <v>73</v>
      </c>
      <c r="D39" s="10">
        <v>7970</v>
      </c>
      <c r="E39" s="20">
        <f t="shared" si="0"/>
        <v>1.252137038150746E-3</v>
      </c>
      <c r="F39">
        <f t="shared" si="1"/>
        <v>161546.27181931271</v>
      </c>
      <c r="G39">
        <f t="shared" si="2"/>
        <v>169516.27181931271</v>
      </c>
    </row>
    <row r="40" spans="1:7" x14ac:dyDescent="0.2">
      <c r="A40">
        <v>2018</v>
      </c>
      <c r="B40" s="1" t="s">
        <v>74</v>
      </c>
      <c r="C40" s="1" t="s">
        <v>75</v>
      </c>
      <c r="D40" s="10">
        <v>40533</v>
      </c>
      <c r="E40" s="20">
        <f t="shared" si="0"/>
        <v>6.367988778841178E-3</v>
      </c>
      <c r="F40">
        <f t="shared" si="1"/>
        <v>821575.28678195761</v>
      </c>
      <c r="G40">
        <f t="shared" si="2"/>
        <v>862108.28678195761</v>
      </c>
    </row>
    <row r="41" spans="1:7" x14ac:dyDescent="0.2">
      <c r="A41">
        <v>2018</v>
      </c>
      <c r="B41" s="1" t="s">
        <v>76</v>
      </c>
      <c r="C41" s="1" t="s">
        <v>77</v>
      </c>
      <c r="D41" s="10">
        <v>9078</v>
      </c>
      <c r="E41" s="20">
        <f t="shared" si="0"/>
        <v>1.4262107945210128E-3</v>
      </c>
      <c r="F41">
        <f t="shared" si="1"/>
        <v>184004.64938214814</v>
      </c>
      <c r="G41">
        <f t="shared" si="2"/>
        <v>193082.64938214814</v>
      </c>
    </row>
    <row r="42" spans="1:7" x14ac:dyDescent="0.2">
      <c r="A42">
        <v>2018</v>
      </c>
      <c r="B42" s="1" t="s">
        <v>78</v>
      </c>
      <c r="C42" s="1" t="s">
        <v>79</v>
      </c>
      <c r="D42" s="10">
        <v>23259</v>
      </c>
      <c r="E42" s="20">
        <f t="shared" si="0"/>
        <v>3.6541349272707904E-3</v>
      </c>
      <c r="F42">
        <f t="shared" si="1"/>
        <v>471443.50517508079</v>
      </c>
      <c r="G42">
        <f t="shared" si="2"/>
        <v>494702.50517508079</v>
      </c>
    </row>
    <row r="43" spans="1:7" x14ac:dyDescent="0.2">
      <c r="A43">
        <v>2018</v>
      </c>
      <c r="B43" s="1" t="s">
        <v>80</v>
      </c>
      <c r="C43" s="1" t="s">
        <v>81</v>
      </c>
      <c r="D43" s="10">
        <v>2816</v>
      </c>
      <c r="E43" s="20">
        <f t="shared" si="0"/>
        <v>4.4241127972804273E-4</v>
      </c>
      <c r="F43">
        <f t="shared" si="1"/>
        <v>57078.331423235199</v>
      </c>
      <c r="G43">
        <f t="shared" si="2"/>
        <v>59894.331423235199</v>
      </c>
    </row>
    <row r="44" spans="1:7" x14ac:dyDescent="0.2">
      <c r="A44">
        <v>2018</v>
      </c>
      <c r="B44" s="1" t="s">
        <v>82</v>
      </c>
      <c r="C44" s="1" t="s">
        <v>83</v>
      </c>
      <c r="D44" s="10">
        <v>30698</v>
      </c>
      <c r="E44" s="20">
        <f t="shared" si="0"/>
        <v>4.822848531637591E-3</v>
      </c>
      <c r="F44">
        <f t="shared" si="1"/>
        <v>622226.78197104903</v>
      </c>
      <c r="G44">
        <f t="shared" si="2"/>
        <v>652924.78197104903</v>
      </c>
    </row>
    <row r="45" spans="1:7" x14ac:dyDescent="0.2">
      <c r="A45">
        <v>2018</v>
      </c>
      <c r="B45" s="1" t="s">
        <v>84</v>
      </c>
      <c r="C45" s="1" t="s">
        <v>85</v>
      </c>
      <c r="D45" s="10">
        <v>3552</v>
      </c>
      <c r="E45" s="20">
        <f t="shared" si="0"/>
        <v>5.5804150056605389E-4</v>
      </c>
      <c r="F45">
        <f t="shared" si="1"/>
        <v>71996.53168158076</v>
      </c>
      <c r="G45">
        <f t="shared" si="2"/>
        <v>75548.53168158076</v>
      </c>
    </row>
    <row r="46" spans="1:7" x14ac:dyDescent="0.2">
      <c r="A46">
        <v>2018</v>
      </c>
      <c r="B46" s="1" t="s">
        <v>86</v>
      </c>
      <c r="C46" s="1" t="s">
        <v>87</v>
      </c>
      <c r="D46" s="10">
        <v>230970</v>
      </c>
      <c r="E46" s="20">
        <f t="shared" si="0"/>
        <v>3.6286837101841628E-2</v>
      </c>
      <c r="F46">
        <f t="shared" si="1"/>
        <v>4681598.7957473844</v>
      </c>
      <c r="G46">
        <f t="shared" si="2"/>
        <v>4912568.7957473844</v>
      </c>
    </row>
    <row r="47" spans="1:7" x14ac:dyDescent="0.2">
      <c r="A47">
        <v>2018</v>
      </c>
      <c r="B47" s="1" t="s">
        <v>88</v>
      </c>
      <c r="C47" s="1" t="s">
        <v>89</v>
      </c>
      <c r="D47" s="10">
        <v>5821</v>
      </c>
      <c r="E47" s="20">
        <f t="shared" si="0"/>
        <v>9.1451564605715089E-4</v>
      </c>
      <c r="F47">
        <f t="shared" si="1"/>
        <v>117987.55938020317</v>
      </c>
      <c r="G47">
        <f t="shared" si="2"/>
        <v>123808.55938020317</v>
      </c>
    </row>
    <row r="48" spans="1:7" x14ac:dyDescent="0.2">
      <c r="A48">
        <v>2018</v>
      </c>
      <c r="B48" s="1" t="s">
        <v>90</v>
      </c>
      <c r="C48" s="1" t="s">
        <v>91</v>
      </c>
      <c r="D48" s="10">
        <v>49420</v>
      </c>
      <c r="E48" s="20">
        <f t="shared" si="0"/>
        <v>7.7641922742044999E-3</v>
      </c>
      <c r="F48">
        <f t="shared" si="1"/>
        <v>1001708.5010427143</v>
      </c>
      <c r="G48">
        <f t="shared" si="2"/>
        <v>1051128.5010427143</v>
      </c>
    </row>
    <row r="49" spans="1:7" x14ac:dyDescent="0.2">
      <c r="A49">
        <v>2018</v>
      </c>
      <c r="B49" s="1" t="s">
        <v>92</v>
      </c>
      <c r="C49" s="1" t="s">
        <v>93</v>
      </c>
      <c r="E49" s="20">
        <f t="shared" si="0"/>
        <v>0</v>
      </c>
      <c r="F49">
        <f t="shared" si="1"/>
        <v>0</v>
      </c>
      <c r="G49">
        <f t="shared" si="2"/>
        <v>0</v>
      </c>
    </row>
    <row r="50" spans="1:7" x14ac:dyDescent="0.2">
      <c r="A50">
        <v>2018</v>
      </c>
      <c r="B50" s="1" t="s">
        <v>94</v>
      </c>
      <c r="C50" s="1" t="s">
        <v>95</v>
      </c>
      <c r="D50" s="10">
        <v>17586</v>
      </c>
      <c r="E50" s="20">
        <f t="shared" si="0"/>
        <v>2.7628710104038918E-3</v>
      </c>
      <c r="F50">
        <f t="shared" si="1"/>
        <v>356455.80128161015</v>
      </c>
      <c r="G50">
        <f t="shared" si="2"/>
        <v>374041.80128161015</v>
      </c>
    </row>
    <row r="51" spans="1:7" x14ac:dyDescent="0.2">
      <c r="A51">
        <v>2018</v>
      </c>
      <c r="B51" s="1" t="s">
        <v>96</v>
      </c>
      <c r="C51" s="1" t="s">
        <v>97</v>
      </c>
      <c r="E51" s="20">
        <f t="shared" si="0"/>
        <v>0</v>
      </c>
      <c r="F51">
        <f t="shared" si="1"/>
        <v>0</v>
      </c>
      <c r="G51">
        <f t="shared" si="2"/>
        <v>0</v>
      </c>
    </row>
    <row r="52" spans="1:7" x14ac:dyDescent="0.2">
      <c r="A52">
        <v>2018</v>
      </c>
      <c r="B52" s="1" t="s">
        <v>487</v>
      </c>
      <c r="C52" s="1" t="s">
        <v>98</v>
      </c>
      <c r="D52" s="10">
        <v>4813</v>
      </c>
      <c r="E52" s="20">
        <f t="shared" si="0"/>
        <v>7.5615251751813561E-4</v>
      </c>
      <c r="F52">
        <f t="shared" si="1"/>
        <v>97556.111200295112</v>
      </c>
      <c r="G52">
        <f t="shared" si="2"/>
        <v>102369.11120029511</v>
      </c>
    </row>
    <row r="53" spans="1:7" x14ac:dyDescent="0.2">
      <c r="A53">
        <v>2018</v>
      </c>
      <c r="B53" s="1" t="s">
        <v>488</v>
      </c>
      <c r="C53" s="1" t="s">
        <v>99</v>
      </c>
      <c r="D53" s="10">
        <v>54434</v>
      </c>
      <c r="E53" s="20">
        <f t="shared" si="0"/>
        <v>8.5519231536634512E-3</v>
      </c>
      <c r="F53">
        <f t="shared" si="1"/>
        <v>1103338.7403026936</v>
      </c>
      <c r="G53">
        <f t="shared" si="2"/>
        <v>1157772.7403026936</v>
      </c>
    </row>
    <row r="54" spans="1:7" x14ac:dyDescent="0.2">
      <c r="A54">
        <v>2018</v>
      </c>
      <c r="B54" s="1" t="s">
        <v>489</v>
      </c>
      <c r="C54" s="1" t="s">
        <v>100</v>
      </c>
      <c r="E54" s="20">
        <f t="shared" si="0"/>
        <v>0</v>
      </c>
      <c r="F54">
        <f t="shared" si="1"/>
        <v>0</v>
      </c>
      <c r="G54">
        <f t="shared" si="2"/>
        <v>0</v>
      </c>
    </row>
    <row r="55" spans="1:7" x14ac:dyDescent="0.2">
      <c r="A55">
        <v>2018</v>
      </c>
      <c r="B55" s="1" t="s">
        <v>490</v>
      </c>
      <c r="C55" s="1" t="s">
        <v>491</v>
      </c>
      <c r="D55" s="10">
        <v>3902</v>
      </c>
      <c r="E55" s="20">
        <f t="shared" si="0"/>
        <v>6.1302869797543423E-4</v>
      </c>
      <c r="F55">
        <f t="shared" si="1"/>
        <v>79090.784521826616</v>
      </c>
      <c r="G55">
        <f t="shared" si="2"/>
        <v>82992.784521826616</v>
      </c>
    </row>
    <row r="56" spans="1:7" x14ac:dyDescent="0.2">
      <c r="A56">
        <v>2018</v>
      </c>
      <c r="B56" s="1" t="s">
        <v>492</v>
      </c>
      <c r="C56" s="1" t="s">
        <v>101</v>
      </c>
      <c r="D56" s="10">
        <v>1638</v>
      </c>
      <c r="E56" s="20">
        <f t="shared" si="0"/>
        <v>2.5734008387589988E-4</v>
      </c>
      <c r="F56">
        <f t="shared" si="1"/>
        <v>33201.103292350592</v>
      </c>
      <c r="G56">
        <f t="shared" si="2"/>
        <v>34839.103292350592</v>
      </c>
    </row>
    <row r="57" spans="1:7" x14ac:dyDescent="0.2">
      <c r="A57">
        <v>2018</v>
      </c>
      <c r="B57" s="1" t="s">
        <v>493</v>
      </c>
      <c r="C57" s="1" t="s">
        <v>102</v>
      </c>
      <c r="D57" s="10">
        <v>390494</v>
      </c>
      <c r="E57" s="20">
        <f t="shared" si="0"/>
        <v>6.13490590433673E-2</v>
      </c>
      <c r="F57">
        <f t="shared" si="1"/>
        <v>7915037.624568468</v>
      </c>
      <c r="G57">
        <f t="shared" si="2"/>
        <v>8305531.624568468</v>
      </c>
    </row>
    <row r="58" spans="1:7" x14ac:dyDescent="0.2">
      <c r="A58">
        <v>2018</v>
      </c>
      <c r="B58" s="1" t="s">
        <v>494</v>
      </c>
      <c r="C58" s="1" t="s">
        <v>103</v>
      </c>
      <c r="D58" s="10">
        <v>45314</v>
      </c>
      <c r="E58" s="20">
        <f t="shared" si="0"/>
        <v>7.1191138954533129E-3</v>
      </c>
      <c r="F58">
        <f t="shared" si="1"/>
        <v>918482.78057971585</v>
      </c>
      <c r="G58">
        <f t="shared" si="2"/>
        <v>963796.78057971585</v>
      </c>
    </row>
    <row r="59" spans="1:7" x14ac:dyDescent="0.2">
      <c r="A59">
        <v>2018</v>
      </c>
      <c r="B59" s="1" t="s">
        <v>495</v>
      </c>
      <c r="C59" s="1" t="s">
        <v>104</v>
      </c>
      <c r="D59" s="10">
        <v>101192</v>
      </c>
      <c r="E59" s="20">
        <f t="shared" si="0"/>
        <v>1.5897898515000036E-2</v>
      </c>
      <c r="F59">
        <f t="shared" si="1"/>
        <v>2051090.381171881</v>
      </c>
      <c r="G59">
        <f t="shared" si="2"/>
        <v>2152282.3811718812</v>
      </c>
    </row>
    <row r="60" spans="1:7" x14ac:dyDescent="0.2">
      <c r="A60">
        <v>2018</v>
      </c>
      <c r="B60" s="1" t="s">
        <v>496</v>
      </c>
      <c r="C60" s="1" t="s">
        <v>105</v>
      </c>
      <c r="D60" s="10">
        <v>49678</v>
      </c>
      <c r="E60" s="20">
        <f t="shared" si="0"/>
        <v>7.804725694009129E-3</v>
      </c>
      <c r="F60">
        <f t="shared" si="1"/>
        <v>1006937.978850667</v>
      </c>
      <c r="G60">
        <f t="shared" si="2"/>
        <v>1056615.9788506669</v>
      </c>
    </row>
    <row r="61" spans="1:7" x14ac:dyDescent="0.2">
      <c r="A61">
        <v>2018</v>
      </c>
      <c r="B61" s="1" t="s">
        <v>497</v>
      </c>
      <c r="C61" s="1" t="s">
        <v>106</v>
      </c>
      <c r="D61" s="10">
        <v>117562</v>
      </c>
      <c r="E61" s="20">
        <f t="shared" si="0"/>
        <v>1.8469728290975911E-2</v>
      </c>
      <c r="F61">
        <f t="shared" si="1"/>
        <v>2382898.7211570945</v>
      </c>
      <c r="G61">
        <f t="shared" si="2"/>
        <v>2500460.7211570945</v>
      </c>
    </row>
    <row r="62" spans="1:7" x14ac:dyDescent="0.2">
      <c r="A62">
        <v>2018</v>
      </c>
      <c r="B62" s="1" t="s">
        <v>498</v>
      </c>
      <c r="C62" s="1" t="s">
        <v>499</v>
      </c>
      <c r="D62" s="10">
        <v>3469</v>
      </c>
      <c r="E62" s="20">
        <f t="shared" si="0"/>
        <v>5.4500167946611514E-4</v>
      </c>
      <c r="F62">
        <f t="shared" si="1"/>
        <v>70314.180293751037</v>
      </c>
      <c r="G62">
        <f t="shared" si="2"/>
        <v>73783.180293751037</v>
      </c>
    </row>
    <row r="63" spans="1:7" x14ac:dyDescent="0.2">
      <c r="A63">
        <v>2018</v>
      </c>
      <c r="B63" s="1" t="s">
        <v>107</v>
      </c>
      <c r="C63" s="1" t="s">
        <v>108</v>
      </c>
      <c r="D63" s="10">
        <v>5792</v>
      </c>
      <c r="E63" s="20">
        <f t="shared" si="0"/>
        <v>9.0995956398608787E-4</v>
      </c>
      <c r="F63">
        <f t="shared" si="1"/>
        <v>117399.74985915421</v>
      </c>
      <c r="G63">
        <f t="shared" si="2"/>
        <v>123191.74985915421</v>
      </c>
    </row>
    <row r="64" spans="1:7" x14ac:dyDescent="0.2">
      <c r="A64">
        <v>2018</v>
      </c>
      <c r="B64" s="1" t="s">
        <v>500</v>
      </c>
      <c r="C64" s="1" t="s">
        <v>501</v>
      </c>
      <c r="D64" s="10">
        <v>5168</v>
      </c>
      <c r="E64" s="20">
        <f t="shared" si="0"/>
        <v>8.1192524631907843E-4</v>
      </c>
      <c r="F64">
        <f t="shared" si="1"/>
        <v>104751.71050968733</v>
      </c>
      <c r="G64">
        <f t="shared" si="2"/>
        <v>109919.71050968733</v>
      </c>
    </row>
    <row r="65" spans="1:7" x14ac:dyDescent="0.2">
      <c r="A65">
        <v>2018</v>
      </c>
      <c r="B65" s="1" t="s">
        <v>109</v>
      </c>
      <c r="C65" s="1" t="s">
        <v>110</v>
      </c>
      <c r="D65" s="10">
        <v>141805</v>
      </c>
      <c r="E65" s="20">
        <f t="shared" si="0"/>
        <v>2.2278455796106215E-2</v>
      </c>
      <c r="F65">
        <f t="shared" si="1"/>
        <v>2874287.2114601801</v>
      </c>
      <c r="G65">
        <f t="shared" si="2"/>
        <v>3016092.2114601801</v>
      </c>
    </row>
    <row r="66" spans="1:7" x14ac:dyDescent="0.2">
      <c r="A66">
        <v>2018</v>
      </c>
      <c r="B66" s="1" t="s">
        <v>502</v>
      </c>
      <c r="C66" s="1" t="s">
        <v>111</v>
      </c>
      <c r="D66" s="10">
        <v>29214</v>
      </c>
      <c r="E66" s="20">
        <f t="shared" si="0"/>
        <v>4.5897028146218181E-3</v>
      </c>
      <c r="F66">
        <f t="shared" si="1"/>
        <v>592147.14992840658</v>
      </c>
      <c r="G66">
        <f t="shared" si="2"/>
        <v>621361.14992840658</v>
      </c>
    </row>
    <row r="67" spans="1:7" x14ac:dyDescent="0.2">
      <c r="A67">
        <v>2018</v>
      </c>
      <c r="B67" s="1" t="s">
        <v>503</v>
      </c>
      <c r="C67" s="1" t="s">
        <v>112</v>
      </c>
      <c r="D67" s="10">
        <v>24818</v>
      </c>
      <c r="E67" s="20">
        <f t="shared" ref="E67:E130" si="3">D67/$D$250</f>
        <v>3.8990636151600019E-3</v>
      </c>
      <c r="F67">
        <f t="shared" ref="F67:F130" si="4">E67*$D$252</f>
        <v>503043.33425491879</v>
      </c>
      <c r="G67">
        <f t="shared" ref="G67:G130" si="5">SUM(D67,F67)</f>
        <v>527861.33425491885</v>
      </c>
    </row>
    <row r="68" spans="1:7" x14ac:dyDescent="0.2">
      <c r="A68">
        <v>2018</v>
      </c>
      <c r="B68" s="1" t="s">
        <v>504</v>
      </c>
      <c r="C68" s="1" t="s">
        <v>113</v>
      </c>
      <c r="D68" s="10">
        <v>7144</v>
      </c>
      <c r="E68" s="20">
        <f t="shared" si="3"/>
        <v>1.1223672522646085E-3</v>
      </c>
      <c r="F68">
        <f t="shared" si="4"/>
        <v>144803.83511633248</v>
      </c>
      <c r="G68">
        <f t="shared" si="5"/>
        <v>151947.83511633248</v>
      </c>
    </row>
    <row r="69" spans="1:7" x14ac:dyDescent="0.2">
      <c r="A69">
        <v>2018</v>
      </c>
      <c r="B69" s="1" t="s">
        <v>114</v>
      </c>
      <c r="C69" s="1" t="s">
        <v>115</v>
      </c>
      <c r="D69" s="10">
        <v>16144</v>
      </c>
      <c r="E69" s="20">
        <f t="shared" si="3"/>
        <v>2.5363237570772451E-3</v>
      </c>
      <c r="F69">
        <f t="shared" si="4"/>
        <v>327227.47957979725</v>
      </c>
      <c r="G69">
        <f t="shared" si="5"/>
        <v>343371.47957979725</v>
      </c>
    </row>
    <row r="70" spans="1:7" x14ac:dyDescent="0.2">
      <c r="A70">
        <v>2018</v>
      </c>
      <c r="B70" s="1" t="s">
        <v>505</v>
      </c>
      <c r="C70" s="1" t="s">
        <v>116</v>
      </c>
      <c r="D70" s="10">
        <v>44692</v>
      </c>
      <c r="E70" s="20">
        <f t="shared" si="3"/>
        <v>7.0213937903429282E-3</v>
      </c>
      <c r="F70">
        <f t="shared" si="4"/>
        <v>905875.27981790749</v>
      </c>
      <c r="G70">
        <f t="shared" si="5"/>
        <v>950567.27981790749</v>
      </c>
    </row>
    <row r="71" spans="1:7" x14ac:dyDescent="0.2">
      <c r="A71">
        <v>2018</v>
      </c>
      <c r="B71" s="1" t="s">
        <v>506</v>
      </c>
      <c r="C71" s="1" t="s">
        <v>117</v>
      </c>
      <c r="D71" s="10">
        <v>67047</v>
      </c>
      <c r="E71" s="20">
        <f t="shared" si="3"/>
        <v>1.0533504642019206E-2</v>
      </c>
      <c r="F71">
        <f t="shared" si="4"/>
        <v>1358995.3433713249</v>
      </c>
      <c r="G71">
        <f t="shared" si="5"/>
        <v>1426042.3433713249</v>
      </c>
    </row>
    <row r="72" spans="1:7" x14ac:dyDescent="0.2">
      <c r="A72">
        <v>2018</v>
      </c>
      <c r="B72" s="1" t="s">
        <v>118</v>
      </c>
      <c r="C72" s="1" t="s">
        <v>119</v>
      </c>
      <c r="D72" s="10">
        <v>25253</v>
      </c>
      <c r="E72" s="20">
        <f t="shared" si="3"/>
        <v>3.967404846225946E-3</v>
      </c>
      <c r="F72">
        <f t="shared" si="4"/>
        <v>511860.47707065294</v>
      </c>
      <c r="G72">
        <f t="shared" si="5"/>
        <v>537113.47707065288</v>
      </c>
    </row>
    <row r="73" spans="1:7" x14ac:dyDescent="0.2">
      <c r="A73">
        <v>2018</v>
      </c>
      <c r="B73" s="1" t="s">
        <v>507</v>
      </c>
      <c r="C73" s="1" t="s">
        <v>120</v>
      </c>
      <c r="D73" s="10">
        <v>41517</v>
      </c>
      <c r="E73" s="20">
        <f t="shared" si="3"/>
        <v>6.5225813567006928E-3</v>
      </c>
      <c r="F73">
        <f t="shared" si="4"/>
        <v>841520.27190996299</v>
      </c>
      <c r="G73">
        <f t="shared" si="5"/>
        <v>883037.27190996299</v>
      </c>
    </row>
    <row r="74" spans="1:7" x14ac:dyDescent="0.2">
      <c r="A74">
        <v>2018</v>
      </c>
      <c r="B74" s="1" t="s">
        <v>121</v>
      </c>
      <c r="C74" s="1" t="s">
        <v>122</v>
      </c>
      <c r="D74" s="10">
        <v>3049</v>
      </c>
      <c r="E74" s="20">
        <f t="shared" si="3"/>
        <v>4.7901704257485877E-4</v>
      </c>
      <c r="F74">
        <f t="shared" si="4"/>
        <v>61801.076885456008</v>
      </c>
      <c r="G74">
        <f t="shared" si="5"/>
        <v>64850.076885456008</v>
      </c>
    </row>
    <row r="75" spans="1:7" x14ac:dyDescent="0.2">
      <c r="A75">
        <v>2018</v>
      </c>
      <c r="B75" s="1" t="s">
        <v>123</v>
      </c>
      <c r="C75" s="1" t="s">
        <v>124</v>
      </c>
      <c r="D75" s="10">
        <v>5156</v>
      </c>
      <c r="E75" s="20">
        <f t="shared" si="3"/>
        <v>8.1003997097932822E-4</v>
      </c>
      <c r="F75">
        <f t="shared" si="4"/>
        <v>104508.47898373604</v>
      </c>
      <c r="G75">
        <f t="shared" si="5"/>
        <v>109664.47898373604</v>
      </c>
    </row>
    <row r="76" spans="1:7" x14ac:dyDescent="0.2">
      <c r="A76">
        <v>2018</v>
      </c>
      <c r="B76" s="1" t="s">
        <v>508</v>
      </c>
      <c r="C76" s="1" t="s">
        <v>125</v>
      </c>
      <c r="D76" s="10">
        <v>96238</v>
      </c>
      <c r="E76" s="20">
        <f t="shared" si="3"/>
        <v>1.5119594012239836E-2</v>
      </c>
      <c r="F76">
        <f t="shared" si="4"/>
        <v>1950676.2995416583</v>
      </c>
      <c r="G76">
        <f t="shared" si="5"/>
        <v>2046914.2995416583</v>
      </c>
    </row>
    <row r="77" spans="1:7" x14ac:dyDescent="0.2">
      <c r="A77">
        <v>2018</v>
      </c>
      <c r="B77" s="1" t="s">
        <v>509</v>
      </c>
      <c r="C77" s="1" t="s">
        <v>126</v>
      </c>
      <c r="D77" s="10">
        <v>122426</v>
      </c>
      <c r="E77" s="20">
        <f t="shared" si="3"/>
        <v>1.9233893228687984E-2</v>
      </c>
      <c r="F77">
        <f t="shared" si="4"/>
        <v>2481488.5663426821</v>
      </c>
      <c r="G77">
        <f t="shared" si="5"/>
        <v>2603914.5663426821</v>
      </c>
    </row>
    <row r="78" spans="1:7" x14ac:dyDescent="0.2">
      <c r="A78">
        <v>2018</v>
      </c>
      <c r="B78" s="1" t="s">
        <v>127</v>
      </c>
      <c r="C78" s="1" t="s">
        <v>128</v>
      </c>
      <c r="D78" s="10">
        <v>3535</v>
      </c>
      <c r="E78" s="20">
        <f t="shared" si="3"/>
        <v>5.553706938347412E-4</v>
      </c>
      <c r="F78">
        <f t="shared" si="4"/>
        <v>71651.953686483117</v>
      </c>
      <c r="G78">
        <f t="shared" si="5"/>
        <v>75186.953686483117</v>
      </c>
    </row>
    <row r="79" spans="1:7" x14ac:dyDescent="0.2">
      <c r="A79">
        <v>2018</v>
      </c>
      <c r="B79" s="1" t="s">
        <v>129</v>
      </c>
      <c r="C79" s="1" t="s">
        <v>130</v>
      </c>
      <c r="D79" s="10">
        <v>13661</v>
      </c>
      <c r="E79" s="20">
        <f t="shared" si="3"/>
        <v>2.1462288680272699E-3</v>
      </c>
      <c r="F79">
        <f t="shared" si="4"/>
        <v>276898.82300171023</v>
      </c>
      <c r="G79">
        <f t="shared" si="5"/>
        <v>290559.82300171023</v>
      </c>
    </row>
    <row r="80" spans="1:7" x14ac:dyDescent="0.2">
      <c r="A80">
        <v>2018</v>
      </c>
      <c r="B80" s="1" t="s">
        <v>510</v>
      </c>
      <c r="C80" s="1" t="s">
        <v>131</v>
      </c>
      <c r="D80" s="10">
        <v>43839</v>
      </c>
      <c r="E80" s="20">
        <f t="shared" si="3"/>
        <v>6.8873821349423534E-3</v>
      </c>
      <c r="F80">
        <f t="shared" si="4"/>
        <v>888585.57218153693</v>
      </c>
      <c r="G80">
        <f t="shared" si="5"/>
        <v>932424.57218153693</v>
      </c>
    </row>
    <row r="81" spans="1:7" x14ac:dyDescent="0.2">
      <c r="A81">
        <v>2018</v>
      </c>
      <c r="B81" s="1" t="s">
        <v>511</v>
      </c>
      <c r="C81" s="1" t="s">
        <v>132</v>
      </c>
      <c r="D81" s="10">
        <v>92669</v>
      </c>
      <c r="E81" s="20">
        <f t="shared" si="3"/>
        <v>1.455888170494247E-2</v>
      </c>
      <c r="F81">
        <f t="shared" si="4"/>
        <v>1878335.1898649798</v>
      </c>
      <c r="G81">
        <f t="shared" si="5"/>
        <v>1971004.1898649798</v>
      </c>
    </row>
    <row r="82" spans="1:7" x14ac:dyDescent="0.2">
      <c r="A82">
        <v>2018</v>
      </c>
      <c r="B82" s="1" t="s">
        <v>133</v>
      </c>
      <c r="C82" s="1" t="s">
        <v>134</v>
      </c>
      <c r="D82" s="10">
        <v>22526</v>
      </c>
      <c r="E82" s="20">
        <f t="shared" si="3"/>
        <v>3.5389760252677168E-3</v>
      </c>
      <c r="F82">
        <f t="shared" si="4"/>
        <v>456586.11279822304</v>
      </c>
      <c r="G82">
        <f t="shared" si="5"/>
        <v>479112.11279822304</v>
      </c>
    </row>
    <row r="83" spans="1:7" x14ac:dyDescent="0.2">
      <c r="A83">
        <v>2018</v>
      </c>
      <c r="B83" s="1" t="s">
        <v>512</v>
      </c>
      <c r="C83" s="1" t="s">
        <v>135</v>
      </c>
      <c r="D83" s="10">
        <v>45008</v>
      </c>
      <c r="E83" s="20">
        <f t="shared" si="3"/>
        <v>7.0710393742896829E-3</v>
      </c>
      <c r="F83">
        <f t="shared" si="4"/>
        <v>912280.37666795799</v>
      </c>
      <c r="G83">
        <f t="shared" si="5"/>
        <v>957288.37666795799</v>
      </c>
    </row>
    <row r="84" spans="1:7" x14ac:dyDescent="0.2">
      <c r="A84">
        <v>2018</v>
      </c>
      <c r="B84" s="1" t="s">
        <v>136</v>
      </c>
      <c r="C84" s="1" t="s">
        <v>137</v>
      </c>
      <c r="D84" s="10">
        <v>22481</v>
      </c>
      <c r="E84" s="20">
        <f t="shared" si="3"/>
        <v>3.5319062427436538E-3</v>
      </c>
      <c r="F84">
        <f t="shared" si="4"/>
        <v>455673.99457590573</v>
      </c>
      <c r="G84">
        <f t="shared" si="5"/>
        <v>478154.99457590573</v>
      </c>
    </row>
    <row r="85" spans="1:7" x14ac:dyDescent="0.2">
      <c r="A85">
        <v>2018</v>
      </c>
      <c r="B85" s="1" t="s">
        <v>513</v>
      </c>
      <c r="C85" s="1" t="s">
        <v>138</v>
      </c>
      <c r="D85" s="10">
        <v>18002</v>
      </c>
      <c r="E85" s="20">
        <f t="shared" si="3"/>
        <v>2.8282272221818983E-3</v>
      </c>
      <c r="F85">
        <f t="shared" si="4"/>
        <v>364887.82751458813</v>
      </c>
      <c r="G85">
        <f t="shared" si="5"/>
        <v>382889.82751458813</v>
      </c>
    </row>
    <row r="86" spans="1:7" x14ac:dyDescent="0.2">
      <c r="A86">
        <v>2018</v>
      </c>
      <c r="B86" s="1" t="s">
        <v>514</v>
      </c>
      <c r="C86" s="1" t="s">
        <v>139</v>
      </c>
      <c r="D86" s="10">
        <v>49239</v>
      </c>
      <c r="E86" s="20">
        <f t="shared" si="3"/>
        <v>7.7357560378299352E-3</v>
      </c>
      <c r="F86">
        <f t="shared" si="4"/>
        <v>998039.75885961589</v>
      </c>
      <c r="G86">
        <f t="shared" si="5"/>
        <v>1047278.7588596159</v>
      </c>
    </row>
    <row r="87" spans="1:7" x14ac:dyDescent="0.2">
      <c r="A87">
        <v>2018</v>
      </c>
      <c r="B87" s="1" t="s">
        <v>140</v>
      </c>
      <c r="C87" s="1" t="s">
        <v>141</v>
      </c>
      <c r="D87" s="10">
        <v>20478</v>
      </c>
      <c r="E87" s="20">
        <f t="shared" si="3"/>
        <v>3.2172223672836857E-3</v>
      </c>
      <c r="F87">
        <f t="shared" si="4"/>
        <v>415074.59903587017</v>
      </c>
      <c r="G87">
        <f t="shared" si="5"/>
        <v>435552.59903587017</v>
      </c>
    </row>
    <row r="88" spans="1:7" x14ac:dyDescent="0.2">
      <c r="A88">
        <v>2018</v>
      </c>
      <c r="B88" s="1" t="s">
        <v>515</v>
      </c>
      <c r="C88" s="1" t="s">
        <v>142</v>
      </c>
      <c r="D88" s="10">
        <v>51836</v>
      </c>
      <c r="E88" s="20">
        <f t="shared" si="3"/>
        <v>8.1437610426075367E-3</v>
      </c>
      <c r="F88">
        <f t="shared" si="4"/>
        <v>1050679.11493424</v>
      </c>
      <c r="G88">
        <f t="shared" si="5"/>
        <v>1102515.11493424</v>
      </c>
    </row>
    <row r="89" spans="1:7" x14ac:dyDescent="0.2">
      <c r="A89">
        <v>2018</v>
      </c>
      <c r="B89" s="1" t="s">
        <v>516</v>
      </c>
      <c r="C89" s="1" t="s">
        <v>143</v>
      </c>
      <c r="D89" s="10">
        <v>1999</v>
      </c>
      <c r="E89" s="20">
        <f t="shared" si="3"/>
        <v>3.1405545034671786E-4</v>
      </c>
      <c r="F89">
        <f t="shared" si="4"/>
        <v>40518.318364718456</v>
      </c>
      <c r="G89">
        <f t="shared" si="5"/>
        <v>42517.318364718456</v>
      </c>
    </row>
    <row r="90" spans="1:7" x14ac:dyDescent="0.2">
      <c r="A90">
        <v>2018</v>
      </c>
      <c r="B90" s="1" t="s">
        <v>517</v>
      </c>
      <c r="C90" s="1" t="s">
        <v>144</v>
      </c>
      <c r="D90" s="10">
        <v>7565</v>
      </c>
      <c r="E90" s="20">
        <f t="shared" si="3"/>
        <v>1.1885089954341774E-3</v>
      </c>
      <c r="F90">
        <f t="shared" si="4"/>
        <v>153337.20781845678</v>
      </c>
      <c r="G90">
        <f t="shared" si="5"/>
        <v>160902.20781845678</v>
      </c>
    </row>
    <row r="91" spans="1:7" x14ac:dyDescent="0.2">
      <c r="A91">
        <v>2018</v>
      </c>
      <c r="B91" s="1" t="s">
        <v>518</v>
      </c>
      <c r="C91" s="1" t="s">
        <v>145</v>
      </c>
      <c r="D91" s="10">
        <v>15039</v>
      </c>
      <c r="E91" s="20">
        <f t="shared" si="3"/>
        <v>2.3627213195419158E-3</v>
      </c>
      <c r="F91">
        <f t="shared" si="4"/>
        <v>304829.90989844967</v>
      </c>
      <c r="G91">
        <f t="shared" si="5"/>
        <v>319868.90989844967</v>
      </c>
    </row>
    <row r="92" spans="1:7" x14ac:dyDescent="0.2">
      <c r="A92">
        <v>2018</v>
      </c>
      <c r="B92" s="1" t="s">
        <v>146</v>
      </c>
      <c r="C92" s="1" t="s">
        <v>147</v>
      </c>
      <c r="D92" s="10">
        <v>38422</v>
      </c>
      <c r="E92" s="20">
        <f t="shared" si="3"/>
        <v>6.036337425323458E-3</v>
      </c>
      <c r="F92">
        <f t="shared" si="4"/>
        <v>778786.80750836036</v>
      </c>
      <c r="G92">
        <f t="shared" si="5"/>
        <v>817208.80750836036</v>
      </c>
    </row>
    <row r="93" spans="1:7" x14ac:dyDescent="0.2">
      <c r="A93">
        <v>2018</v>
      </c>
      <c r="B93" s="1" t="s">
        <v>519</v>
      </c>
      <c r="C93" s="1" t="s">
        <v>148</v>
      </c>
      <c r="D93" s="10">
        <v>78118</v>
      </c>
      <c r="E93" s="20">
        <f t="shared" si="3"/>
        <v>1.2272828249217061E-2</v>
      </c>
      <c r="F93">
        <f t="shared" si="4"/>
        <v>1583396.6953552158</v>
      </c>
      <c r="G93">
        <f t="shared" si="5"/>
        <v>1661514.6953552158</v>
      </c>
    </row>
    <row r="94" spans="1:7" x14ac:dyDescent="0.2">
      <c r="A94">
        <v>2018</v>
      </c>
      <c r="B94" s="1" t="s">
        <v>520</v>
      </c>
      <c r="C94" s="1" t="s">
        <v>149</v>
      </c>
      <c r="D94" s="10">
        <v>5855</v>
      </c>
      <c r="E94" s="20">
        <f t="shared" si="3"/>
        <v>9.1985725951977638E-4</v>
      </c>
      <c r="F94">
        <f t="shared" si="4"/>
        <v>118676.71537039848</v>
      </c>
      <c r="G94">
        <f t="shared" si="5"/>
        <v>124531.71537039848</v>
      </c>
    </row>
    <row r="95" spans="1:7" x14ac:dyDescent="0.2">
      <c r="A95">
        <v>2018</v>
      </c>
      <c r="B95" s="1" t="s">
        <v>521</v>
      </c>
      <c r="C95" s="1" t="s">
        <v>150</v>
      </c>
      <c r="D95" s="10">
        <v>56741</v>
      </c>
      <c r="E95" s="20">
        <f t="shared" si="3"/>
        <v>8.9143673377304247E-3</v>
      </c>
      <c r="F95">
        <f t="shared" si="4"/>
        <v>1150100.0011668284</v>
      </c>
      <c r="G95">
        <f t="shared" si="5"/>
        <v>1206841.0011668284</v>
      </c>
    </row>
    <row r="96" spans="1:7" x14ac:dyDescent="0.2">
      <c r="A96">
        <v>2018</v>
      </c>
      <c r="B96" s="1" t="s">
        <v>151</v>
      </c>
      <c r="C96" s="1" t="s">
        <v>152</v>
      </c>
      <c r="D96" s="10">
        <v>19711</v>
      </c>
      <c r="E96" s="20">
        <f t="shared" si="3"/>
        <v>3.0967218518179866E-3</v>
      </c>
      <c r="F96">
        <f t="shared" si="4"/>
        <v>399528.05066881713</v>
      </c>
      <c r="G96">
        <f t="shared" si="5"/>
        <v>419239.05066881713</v>
      </c>
    </row>
    <row r="97" spans="1:7" x14ac:dyDescent="0.2">
      <c r="A97">
        <v>2018</v>
      </c>
      <c r="B97" s="1" t="s">
        <v>522</v>
      </c>
      <c r="C97" s="1" t="s">
        <v>153</v>
      </c>
      <c r="D97" s="10">
        <v>90004</v>
      </c>
      <c r="E97" s="20">
        <f t="shared" si="3"/>
        <v>1.4140193473239616E-2</v>
      </c>
      <c r="F97">
        <f t="shared" si="4"/>
        <v>1824317.5218099649</v>
      </c>
      <c r="G97">
        <f t="shared" si="5"/>
        <v>1914321.5218099649</v>
      </c>
    </row>
    <row r="98" spans="1:7" x14ac:dyDescent="0.2">
      <c r="A98">
        <v>2018</v>
      </c>
      <c r="B98" s="1" t="s">
        <v>523</v>
      </c>
      <c r="C98" s="1" t="s">
        <v>154</v>
      </c>
      <c r="D98" s="10">
        <v>33668</v>
      </c>
      <c r="E98" s="20">
        <f t="shared" si="3"/>
        <v>5.2894541782257613E-3</v>
      </c>
      <c r="F98">
        <f t="shared" si="4"/>
        <v>682426.58464399248</v>
      </c>
      <c r="G98">
        <f t="shared" si="5"/>
        <v>716094.58464399248</v>
      </c>
    </row>
    <row r="99" spans="1:7" x14ac:dyDescent="0.2">
      <c r="A99">
        <v>2018</v>
      </c>
      <c r="B99" s="1" t="s">
        <v>524</v>
      </c>
      <c r="C99" s="1" t="s">
        <v>155</v>
      </c>
      <c r="D99" s="10">
        <v>33801</v>
      </c>
      <c r="E99" s="20">
        <f t="shared" si="3"/>
        <v>5.3103493132413259E-3</v>
      </c>
      <c r="F99">
        <f t="shared" si="4"/>
        <v>685122.40072328597</v>
      </c>
      <c r="G99">
        <f t="shared" si="5"/>
        <v>718923.40072328597</v>
      </c>
    </row>
    <row r="100" spans="1:7" x14ac:dyDescent="0.2">
      <c r="A100">
        <v>2018</v>
      </c>
      <c r="B100" s="1" t="s">
        <v>525</v>
      </c>
      <c r="C100" s="1" t="s">
        <v>156</v>
      </c>
      <c r="D100" s="10">
        <v>43091</v>
      </c>
      <c r="E100" s="20">
        <f t="shared" si="3"/>
        <v>6.7698666387645918E-3</v>
      </c>
      <c r="F100">
        <f t="shared" si="4"/>
        <v>873424.14039724006</v>
      </c>
      <c r="G100">
        <f t="shared" si="5"/>
        <v>916515.14039724006</v>
      </c>
    </row>
    <row r="101" spans="1:7" x14ac:dyDescent="0.2">
      <c r="A101">
        <v>2018</v>
      </c>
      <c r="B101" s="1" t="s">
        <v>526</v>
      </c>
      <c r="C101" s="1" t="s">
        <v>157</v>
      </c>
      <c r="D101" s="10">
        <v>158052</v>
      </c>
      <c r="E101" s="20">
        <f t="shared" si="3"/>
        <v>2.483096149984965E-2</v>
      </c>
      <c r="F101">
        <f t="shared" si="4"/>
        <v>3203602.4283043928</v>
      </c>
      <c r="G101">
        <f t="shared" si="5"/>
        <v>3361654.4283043928</v>
      </c>
    </row>
    <row r="102" spans="1:7" x14ac:dyDescent="0.2">
      <c r="A102">
        <v>2018</v>
      </c>
      <c r="B102" s="1" t="s">
        <v>527</v>
      </c>
      <c r="C102" s="1" t="s">
        <v>158</v>
      </c>
      <c r="D102" s="10">
        <v>49523</v>
      </c>
      <c r="E102" s="20">
        <f t="shared" si="3"/>
        <v>7.7803742208706894E-3</v>
      </c>
      <c r="F102">
        <f t="shared" si="4"/>
        <v>1003796.2383071296</v>
      </c>
      <c r="G102">
        <f t="shared" si="5"/>
        <v>1053319.2383071296</v>
      </c>
    </row>
    <row r="103" spans="1:7" x14ac:dyDescent="0.2">
      <c r="A103">
        <v>2018</v>
      </c>
      <c r="B103" s="1" t="s">
        <v>528</v>
      </c>
      <c r="C103" s="1" t="s">
        <v>159</v>
      </c>
      <c r="D103" s="10">
        <v>47755</v>
      </c>
      <c r="E103" s="20">
        <f t="shared" si="3"/>
        <v>7.5026103208141624E-3</v>
      </c>
      <c r="F103">
        <f t="shared" si="4"/>
        <v>967960.12681697332</v>
      </c>
      <c r="G103">
        <f t="shared" si="5"/>
        <v>1015715.1268169733</v>
      </c>
    </row>
    <row r="104" spans="1:7" x14ac:dyDescent="0.2">
      <c r="A104">
        <v>2018</v>
      </c>
      <c r="B104" s="1" t="s">
        <v>160</v>
      </c>
      <c r="C104" s="1" t="s">
        <v>161</v>
      </c>
      <c r="D104" s="10">
        <v>23869</v>
      </c>
      <c r="E104" s="20">
        <f t="shared" si="3"/>
        <v>3.7499697570414249E-3</v>
      </c>
      <c r="F104">
        <f t="shared" si="4"/>
        <v>483807.77441093785</v>
      </c>
      <c r="G104">
        <f t="shared" si="5"/>
        <v>507676.77441093785</v>
      </c>
    </row>
    <row r="105" spans="1:7" x14ac:dyDescent="0.2">
      <c r="A105">
        <v>2018</v>
      </c>
      <c r="B105" s="1" t="s">
        <v>162</v>
      </c>
      <c r="C105" s="1" t="s">
        <v>163</v>
      </c>
      <c r="D105" s="10">
        <v>36170</v>
      </c>
      <c r="E105" s="20">
        <f t="shared" si="3"/>
        <v>5.6825340865636741E-3</v>
      </c>
      <c r="F105">
        <f t="shared" si="4"/>
        <v>733140.35780483566</v>
      </c>
      <c r="G105">
        <f t="shared" si="5"/>
        <v>769310.35780483566</v>
      </c>
    </row>
    <row r="106" spans="1:7" x14ac:dyDescent="0.2">
      <c r="A106">
        <v>2018</v>
      </c>
      <c r="B106" s="1" t="s">
        <v>529</v>
      </c>
      <c r="C106" s="1" t="s">
        <v>164</v>
      </c>
      <c r="D106" s="10">
        <v>76872</v>
      </c>
      <c r="E106" s="20">
        <f t="shared" si="3"/>
        <v>1.2077073826439667E-2</v>
      </c>
      <c r="F106">
        <f t="shared" si="4"/>
        <v>1558141.1552439407</v>
      </c>
      <c r="G106">
        <f t="shared" si="5"/>
        <v>1635013.1552439407</v>
      </c>
    </row>
    <row r="107" spans="1:7" x14ac:dyDescent="0.2">
      <c r="A107">
        <v>2018</v>
      </c>
      <c r="B107" s="1" t="s">
        <v>530</v>
      </c>
      <c r="C107" s="1" t="s">
        <v>165</v>
      </c>
      <c r="D107" s="10">
        <v>98591</v>
      </c>
      <c r="E107" s="20">
        <f t="shared" si="3"/>
        <v>1.5489265085109184E-2</v>
      </c>
      <c r="F107">
        <f t="shared" si="4"/>
        <v>1998369.9479219394</v>
      </c>
      <c r="G107">
        <f t="shared" si="5"/>
        <v>2096960.9479219394</v>
      </c>
    </row>
    <row r="108" spans="1:7" x14ac:dyDescent="0.2">
      <c r="A108">
        <v>2018</v>
      </c>
      <c r="B108" s="1" t="s">
        <v>531</v>
      </c>
      <c r="C108" s="1" t="s">
        <v>166</v>
      </c>
      <c r="D108" s="10">
        <v>28607</v>
      </c>
      <c r="E108" s="20">
        <f t="shared" si="3"/>
        <v>4.4943393036861214E-3</v>
      </c>
      <c r="F108">
        <f t="shared" si="4"/>
        <v>579843.6885740374</v>
      </c>
      <c r="G108">
        <f t="shared" si="5"/>
        <v>608450.6885740374</v>
      </c>
    </row>
    <row r="109" spans="1:7" x14ac:dyDescent="0.2">
      <c r="A109">
        <v>2018</v>
      </c>
      <c r="B109" s="1" t="s">
        <v>167</v>
      </c>
      <c r="C109" s="1" t="s">
        <v>168</v>
      </c>
      <c r="E109" s="20">
        <f t="shared" si="3"/>
        <v>0</v>
      </c>
      <c r="F109">
        <f t="shared" si="4"/>
        <v>0</v>
      </c>
      <c r="G109">
        <f t="shared" si="5"/>
        <v>0</v>
      </c>
    </row>
    <row r="110" spans="1:7" x14ac:dyDescent="0.2">
      <c r="A110">
        <v>2018</v>
      </c>
      <c r="B110" s="1" t="s">
        <v>532</v>
      </c>
      <c r="C110" s="1" t="s">
        <v>169</v>
      </c>
      <c r="D110" s="10">
        <v>22820</v>
      </c>
      <c r="E110" s="20">
        <f t="shared" si="3"/>
        <v>3.5851652710915966E-3</v>
      </c>
      <c r="F110">
        <f t="shared" si="4"/>
        <v>462545.28518402961</v>
      </c>
      <c r="G110">
        <f t="shared" si="5"/>
        <v>485365.28518402961</v>
      </c>
    </row>
    <row r="111" spans="1:7" x14ac:dyDescent="0.2">
      <c r="A111">
        <v>2018</v>
      </c>
      <c r="B111" s="1" t="s">
        <v>533</v>
      </c>
      <c r="C111" s="1" t="s">
        <v>170</v>
      </c>
      <c r="D111" s="10">
        <v>42478</v>
      </c>
      <c r="E111" s="20">
        <f t="shared" si="3"/>
        <v>6.6735604901590195E-3</v>
      </c>
      <c r="F111">
        <f t="shared" si="4"/>
        <v>860999.06327989511</v>
      </c>
      <c r="G111">
        <f t="shared" si="5"/>
        <v>903477.06327989511</v>
      </c>
    </row>
    <row r="112" spans="1:7" x14ac:dyDescent="0.2">
      <c r="A112">
        <v>2018</v>
      </c>
      <c r="B112" s="1" t="s">
        <v>534</v>
      </c>
      <c r="C112" s="1" t="s">
        <v>171</v>
      </c>
      <c r="D112" s="10">
        <v>20400</v>
      </c>
      <c r="E112" s="20">
        <f t="shared" si="3"/>
        <v>3.2049680775753098E-3</v>
      </c>
      <c r="F112">
        <f t="shared" si="4"/>
        <v>413493.59411718685</v>
      </c>
      <c r="G112">
        <f t="shared" si="5"/>
        <v>433893.59411718685</v>
      </c>
    </row>
    <row r="113" spans="1:7" x14ac:dyDescent="0.2">
      <c r="A113">
        <v>2018</v>
      </c>
      <c r="B113" s="1" t="s">
        <v>535</v>
      </c>
      <c r="C113" s="1" t="s">
        <v>172</v>
      </c>
      <c r="D113" s="10">
        <v>48478</v>
      </c>
      <c r="E113" s="20">
        <f t="shared" si="3"/>
        <v>7.6161981600341112E-3</v>
      </c>
      <c r="F113">
        <f t="shared" si="4"/>
        <v>982614.82625553838</v>
      </c>
      <c r="G113">
        <f t="shared" si="5"/>
        <v>1031092.8262555384</v>
      </c>
    </row>
    <row r="114" spans="1:7" x14ac:dyDescent="0.2">
      <c r="A114">
        <v>2018</v>
      </c>
      <c r="B114" s="1" t="s">
        <v>536</v>
      </c>
      <c r="C114" s="1" t="s">
        <v>173</v>
      </c>
      <c r="D114" s="10">
        <v>88843</v>
      </c>
      <c r="E114" s="20">
        <f t="shared" si="3"/>
        <v>1.3957793084118786E-2</v>
      </c>
      <c r="F114">
        <f t="shared" si="4"/>
        <v>1800784.8716741779</v>
      </c>
      <c r="G114">
        <f t="shared" si="5"/>
        <v>1889627.8716741779</v>
      </c>
    </row>
    <row r="115" spans="1:7" x14ac:dyDescent="0.2">
      <c r="A115">
        <v>2018</v>
      </c>
      <c r="B115" s="1" t="s">
        <v>537</v>
      </c>
      <c r="C115" s="1" t="s">
        <v>174</v>
      </c>
      <c r="D115" s="10">
        <v>40874</v>
      </c>
      <c r="E115" s="20">
        <f t="shared" si="3"/>
        <v>6.4215620197457454E-3</v>
      </c>
      <c r="F115">
        <f t="shared" si="4"/>
        <v>828487.11597773992</v>
      </c>
      <c r="G115">
        <f t="shared" si="5"/>
        <v>869361.11597773992</v>
      </c>
    </row>
    <row r="116" spans="1:7" x14ac:dyDescent="0.2">
      <c r="A116">
        <v>2018</v>
      </c>
      <c r="B116" s="1" t="s">
        <v>175</v>
      </c>
      <c r="C116" s="1" t="s">
        <v>176</v>
      </c>
      <c r="D116" s="10">
        <v>43744</v>
      </c>
      <c r="E116" s="20">
        <f t="shared" si="3"/>
        <v>6.8724570385026639E-3</v>
      </c>
      <c r="F116">
        <f t="shared" si="4"/>
        <v>886659.98926775588</v>
      </c>
      <c r="G116">
        <f t="shared" si="5"/>
        <v>930403.98926775588</v>
      </c>
    </row>
    <row r="117" spans="1:7" x14ac:dyDescent="0.2">
      <c r="A117">
        <v>2018</v>
      </c>
      <c r="B117" s="1" t="s">
        <v>538</v>
      </c>
      <c r="C117" s="1" t="s">
        <v>177</v>
      </c>
      <c r="D117" s="10">
        <v>28580</v>
      </c>
      <c r="E117" s="20">
        <f t="shared" si="3"/>
        <v>4.490097434171684E-3</v>
      </c>
      <c r="F117">
        <f t="shared" si="4"/>
        <v>579296.41764064704</v>
      </c>
      <c r="G117">
        <f t="shared" si="5"/>
        <v>607876.41764064704</v>
      </c>
    </row>
    <row r="118" spans="1:7" x14ac:dyDescent="0.2">
      <c r="A118">
        <v>2018</v>
      </c>
      <c r="B118" s="1" t="s">
        <v>539</v>
      </c>
      <c r="C118" s="1" t="s">
        <v>178</v>
      </c>
      <c r="D118" s="10">
        <v>9394</v>
      </c>
      <c r="E118" s="20">
        <f t="shared" si="3"/>
        <v>1.4758563784677675E-3</v>
      </c>
      <c r="F118">
        <f t="shared" si="4"/>
        <v>190409.74623219867</v>
      </c>
      <c r="G118">
        <f t="shared" si="5"/>
        <v>199803.74623219867</v>
      </c>
    </row>
    <row r="119" spans="1:7" x14ac:dyDescent="0.2">
      <c r="A119">
        <v>2018</v>
      </c>
      <c r="B119" s="1" t="s">
        <v>540</v>
      </c>
      <c r="C119" s="1" t="s">
        <v>179</v>
      </c>
      <c r="E119" s="20">
        <f t="shared" si="3"/>
        <v>0</v>
      </c>
      <c r="F119">
        <f t="shared" si="4"/>
        <v>0</v>
      </c>
      <c r="G119">
        <f t="shared" si="5"/>
        <v>0</v>
      </c>
    </row>
    <row r="120" spans="1:7" x14ac:dyDescent="0.2">
      <c r="A120">
        <v>2018</v>
      </c>
      <c r="B120" s="1" t="s">
        <v>180</v>
      </c>
      <c r="C120" s="1" t="s">
        <v>181</v>
      </c>
      <c r="E120" s="20">
        <f t="shared" si="3"/>
        <v>0</v>
      </c>
      <c r="F120">
        <f t="shared" si="4"/>
        <v>0</v>
      </c>
      <c r="G120">
        <f t="shared" si="5"/>
        <v>0</v>
      </c>
    </row>
    <row r="121" spans="1:7" x14ac:dyDescent="0.2">
      <c r="A121">
        <v>2018</v>
      </c>
      <c r="B121" s="1" t="s">
        <v>541</v>
      </c>
      <c r="C121" s="1" t="s">
        <v>182</v>
      </c>
      <c r="D121" s="10">
        <v>9845</v>
      </c>
      <c r="E121" s="20">
        <f t="shared" si="3"/>
        <v>1.546711309986712E-3</v>
      </c>
      <c r="F121">
        <f t="shared" si="4"/>
        <v>199551.19774920121</v>
      </c>
      <c r="G121">
        <f t="shared" si="5"/>
        <v>209396.19774920121</v>
      </c>
    </row>
    <row r="122" spans="1:7" x14ac:dyDescent="0.2">
      <c r="A122">
        <v>2018</v>
      </c>
      <c r="B122" s="1" t="s">
        <v>542</v>
      </c>
      <c r="C122" s="1" t="s">
        <v>183</v>
      </c>
      <c r="D122" s="1">
        <v>148</v>
      </c>
      <c r="E122" s="20">
        <f t="shared" si="3"/>
        <v>2.3251729190252245E-5</v>
      </c>
      <c r="F122">
        <f t="shared" si="4"/>
        <v>2999.8554867325315</v>
      </c>
      <c r="G122">
        <f t="shared" si="5"/>
        <v>3147.8554867325315</v>
      </c>
    </row>
    <row r="123" spans="1:7" x14ac:dyDescent="0.2">
      <c r="A123">
        <v>2018</v>
      </c>
      <c r="B123" s="1" t="s">
        <v>543</v>
      </c>
      <c r="C123" s="1" t="s">
        <v>184</v>
      </c>
      <c r="E123" s="20">
        <f t="shared" si="3"/>
        <v>0</v>
      </c>
      <c r="F123">
        <f t="shared" si="4"/>
        <v>0</v>
      </c>
      <c r="G123">
        <f t="shared" si="5"/>
        <v>0</v>
      </c>
    </row>
    <row r="124" spans="1:7" x14ac:dyDescent="0.2">
      <c r="A124">
        <v>2018</v>
      </c>
      <c r="B124" s="1" t="s">
        <v>544</v>
      </c>
      <c r="C124" s="1" t="s">
        <v>185</v>
      </c>
      <c r="D124" s="1">
        <v>133</v>
      </c>
      <c r="E124" s="20">
        <f t="shared" si="3"/>
        <v>2.089513501556452E-5</v>
      </c>
      <c r="F124">
        <f t="shared" si="4"/>
        <v>2695.8160792934241</v>
      </c>
      <c r="G124">
        <f t="shared" si="5"/>
        <v>2828.8160792934241</v>
      </c>
    </row>
    <row r="125" spans="1:7" x14ac:dyDescent="0.2">
      <c r="A125">
        <v>2018</v>
      </c>
      <c r="B125" s="1" t="s">
        <v>545</v>
      </c>
      <c r="C125" s="1" t="s">
        <v>186</v>
      </c>
      <c r="E125" s="20">
        <f t="shared" si="3"/>
        <v>0</v>
      </c>
      <c r="F125">
        <f t="shared" si="4"/>
        <v>0</v>
      </c>
      <c r="G125">
        <f t="shared" si="5"/>
        <v>0</v>
      </c>
    </row>
    <row r="126" spans="1:7" x14ac:dyDescent="0.2">
      <c r="A126">
        <v>2018</v>
      </c>
      <c r="B126" s="1" t="s">
        <v>546</v>
      </c>
      <c r="C126" s="1" t="s">
        <v>187</v>
      </c>
      <c r="E126" s="20">
        <f t="shared" si="3"/>
        <v>0</v>
      </c>
      <c r="F126">
        <f t="shared" si="4"/>
        <v>0</v>
      </c>
      <c r="G126">
        <f t="shared" si="5"/>
        <v>0</v>
      </c>
    </row>
    <row r="127" spans="1:7" x14ac:dyDescent="0.2">
      <c r="A127">
        <v>2018</v>
      </c>
      <c r="B127" s="1" t="s">
        <v>547</v>
      </c>
      <c r="C127" s="1" t="s">
        <v>188</v>
      </c>
      <c r="D127" s="10">
        <v>54486</v>
      </c>
      <c r="E127" s="20">
        <f t="shared" si="3"/>
        <v>8.5600926801357013E-3</v>
      </c>
      <c r="F127">
        <f t="shared" si="4"/>
        <v>1104392.7435818156</v>
      </c>
      <c r="G127">
        <f t="shared" si="5"/>
        <v>1158878.7435818156</v>
      </c>
    </row>
    <row r="128" spans="1:7" x14ac:dyDescent="0.2">
      <c r="A128">
        <v>2018</v>
      </c>
      <c r="B128" s="1" t="s">
        <v>548</v>
      </c>
      <c r="C128" s="1" t="s">
        <v>189</v>
      </c>
      <c r="D128" s="10">
        <v>43811</v>
      </c>
      <c r="E128" s="20">
        <f t="shared" si="3"/>
        <v>6.8829831591496029E-3</v>
      </c>
      <c r="F128">
        <f t="shared" si="4"/>
        <v>888018.03195431735</v>
      </c>
      <c r="G128">
        <f t="shared" si="5"/>
        <v>931829.03195431735</v>
      </c>
    </row>
    <row r="129" spans="1:7" x14ac:dyDescent="0.2">
      <c r="A129">
        <v>2018</v>
      </c>
      <c r="B129" s="1" t="s">
        <v>549</v>
      </c>
      <c r="C129" s="1" t="s">
        <v>190</v>
      </c>
      <c r="D129" s="10">
        <v>41581</v>
      </c>
      <c r="E129" s="20">
        <f t="shared" si="3"/>
        <v>6.5326361585126939E-3</v>
      </c>
      <c r="F129">
        <f t="shared" si="4"/>
        <v>842817.50671503658</v>
      </c>
      <c r="G129">
        <f t="shared" si="5"/>
        <v>884398.50671503658</v>
      </c>
    </row>
    <row r="130" spans="1:7" x14ac:dyDescent="0.2">
      <c r="A130">
        <v>2018</v>
      </c>
      <c r="B130" s="1" t="s">
        <v>550</v>
      </c>
      <c r="C130" s="1" t="s">
        <v>191</v>
      </c>
      <c r="D130" s="10">
        <v>16911</v>
      </c>
      <c r="E130" s="20">
        <f t="shared" si="3"/>
        <v>2.6568242725429443E-3</v>
      </c>
      <c r="F130">
        <f t="shared" si="4"/>
        <v>342774.02794685034</v>
      </c>
      <c r="G130">
        <f t="shared" si="5"/>
        <v>359685.02794685034</v>
      </c>
    </row>
    <row r="131" spans="1:7" x14ac:dyDescent="0.2">
      <c r="A131">
        <v>2018</v>
      </c>
      <c r="B131" s="1" t="s">
        <v>551</v>
      </c>
      <c r="C131" s="1" t="s">
        <v>192</v>
      </c>
      <c r="D131" s="10">
        <v>131047</v>
      </c>
      <c r="E131" s="20">
        <f t="shared" ref="E131:E194" si="6">D131/$D$250</f>
        <v>2.0588306454020176E-2</v>
      </c>
      <c r="F131">
        <f t="shared" ref="F131:F194" si="7">E131*$D$252</f>
        <v>2656230.1484448519</v>
      </c>
      <c r="G131">
        <f t="shared" ref="G131:G194" si="8">SUM(D131,F131)</f>
        <v>2787277.1484448519</v>
      </c>
    </row>
    <row r="132" spans="1:7" x14ac:dyDescent="0.2">
      <c r="A132">
        <v>2018</v>
      </c>
      <c r="B132" s="1" t="s">
        <v>552</v>
      </c>
      <c r="C132" s="1" t="s">
        <v>193</v>
      </c>
      <c r="D132" s="10">
        <v>84955</v>
      </c>
      <c r="E132" s="20">
        <f t="shared" si="6"/>
        <v>1.3346963874039728E-2</v>
      </c>
      <c r="F132">
        <f t="shared" si="7"/>
        <v>1721977.8572659611</v>
      </c>
      <c r="G132">
        <f t="shared" si="8"/>
        <v>1806932.8572659611</v>
      </c>
    </row>
    <row r="133" spans="1:7" x14ac:dyDescent="0.2">
      <c r="A133">
        <v>2018</v>
      </c>
      <c r="B133" s="1" t="s">
        <v>553</v>
      </c>
      <c r="C133" s="1" t="s">
        <v>194</v>
      </c>
      <c r="D133" s="10">
        <v>74605</v>
      </c>
      <c r="E133" s="20">
        <f t="shared" si="6"/>
        <v>1.1720913893505195E-2</v>
      </c>
      <c r="F133">
        <f t="shared" si="7"/>
        <v>1512190.6661329765</v>
      </c>
      <c r="G133">
        <f t="shared" si="8"/>
        <v>1586795.6661329765</v>
      </c>
    </row>
    <row r="134" spans="1:7" x14ac:dyDescent="0.2">
      <c r="A134">
        <v>2018</v>
      </c>
      <c r="B134" s="1" t="s">
        <v>554</v>
      </c>
      <c r="C134" s="1" t="s">
        <v>195</v>
      </c>
      <c r="D134" s="10">
        <v>70568</v>
      </c>
      <c r="E134" s="20">
        <f t="shared" si="6"/>
        <v>1.1086675847957571E-2</v>
      </c>
      <c r="F134">
        <f t="shared" si="7"/>
        <v>1430363.5269441979</v>
      </c>
      <c r="G134">
        <f t="shared" si="8"/>
        <v>1500931.5269441979</v>
      </c>
    </row>
    <row r="135" spans="1:7" x14ac:dyDescent="0.2">
      <c r="A135">
        <v>2018</v>
      </c>
      <c r="B135" s="1" t="s">
        <v>555</v>
      </c>
      <c r="C135" s="1" t="s">
        <v>196</v>
      </c>
      <c r="D135" s="10">
        <v>56312</v>
      </c>
      <c r="E135" s="20">
        <f t="shared" si="6"/>
        <v>8.8469687443343548E-3</v>
      </c>
      <c r="F135">
        <f t="shared" si="7"/>
        <v>1141404.4741140697</v>
      </c>
      <c r="G135">
        <f t="shared" si="8"/>
        <v>1197716.4741140697</v>
      </c>
    </row>
    <row r="136" spans="1:7" x14ac:dyDescent="0.2">
      <c r="A136">
        <v>2018</v>
      </c>
      <c r="B136" s="1" t="s">
        <v>556</v>
      </c>
      <c r="C136" s="1" t="s">
        <v>197</v>
      </c>
      <c r="D136" s="10">
        <v>59827</v>
      </c>
      <c r="E136" s="20">
        <f t="shared" si="6"/>
        <v>9.3991973126028461E-3</v>
      </c>
      <c r="F136">
        <f t="shared" si="7"/>
        <v>1212651.0419239674</v>
      </c>
      <c r="G136">
        <f t="shared" si="8"/>
        <v>1272478.0419239674</v>
      </c>
    </row>
    <row r="137" spans="1:7" x14ac:dyDescent="0.2">
      <c r="A137">
        <v>2018</v>
      </c>
      <c r="B137" s="1" t="s">
        <v>557</v>
      </c>
      <c r="C137" s="1" t="s">
        <v>198</v>
      </c>
      <c r="D137" s="10">
        <v>134717</v>
      </c>
      <c r="E137" s="20">
        <f t="shared" si="6"/>
        <v>2.1164886495427106E-2</v>
      </c>
      <c r="F137">
        <f t="shared" si="7"/>
        <v>2730618.4567982871</v>
      </c>
      <c r="G137">
        <f t="shared" si="8"/>
        <v>2865335.4567982871</v>
      </c>
    </row>
    <row r="138" spans="1:7" x14ac:dyDescent="0.2">
      <c r="A138">
        <v>2018</v>
      </c>
      <c r="B138" s="1" t="s">
        <v>558</v>
      </c>
      <c r="C138" s="1" t="s">
        <v>199</v>
      </c>
      <c r="D138" s="10">
        <v>26641</v>
      </c>
      <c r="E138" s="20">
        <f t="shared" si="6"/>
        <v>4.1854683605237171E-3</v>
      </c>
      <c r="F138">
        <f t="shared" si="7"/>
        <v>539994.25690568506</v>
      </c>
      <c r="G138">
        <f t="shared" si="8"/>
        <v>566635.25690568506</v>
      </c>
    </row>
    <row r="139" spans="1:7" x14ac:dyDescent="0.2">
      <c r="A139">
        <v>2018</v>
      </c>
      <c r="B139" s="1" t="s">
        <v>559</v>
      </c>
      <c r="C139" s="1" t="s">
        <v>200</v>
      </c>
      <c r="D139" s="10">
        <v>63637</v>
      </c>
      <c r="E139" s="20">
        <f t="shared" si="6"/>
        <v>9.9977722329735279E-3</v>
      </c>
      <c r="F139">
        <f t="shared" si="7"/>
        <v>1289877.0514135009</v>
      </c>
      <c r="G139">
        <f t="shared" si="8"/>
        <v>1353514.0514135009</v>
      </c>
    </row>
    <row r="140" spans="1:7" x14ac:dyDescent="0.2">
      <c r="A140">
        <v>2018</v>
      </c>
      <c r="B140" s="1" t="s">
        <v>560</v>
      </c>
      <c r="C140" s="1" t="s">
        <v>201</v>
      </c>
      <c r="D140" s="10">
        <v>50488</v>
      </c>
      <c r="E140" s="20">
        <f t="shared" si="6"/>
        <v>7.9319817794422671E-3</v>
      </c>
      <c r="F140">
        <f t="shared" si="7"/>
        <v>1023356.1068523789</v>
      </c>
      <c r="G140">
        <f t="shared" si="8"/>
        <v>1073844.1068523789</v>
      </c>
    </row>
    <row r="141" spans="1:7" x14ac:dyDescent="0.2">
      <c r="A141">
        <v>2018</v>
      </c>
      <c r="B141" s="1" t="s">
        <v>561</v>
      </c>
      <c r="C141" s="1" t="s">
        <v>202</v>
      </c>
      <c r="D141" s="10">
        <v>51564</v>
      </c>
      <c r="E141" s="20">
        <f t="shared" si="6"/>
        <v>8.1010281349065336E-3</v>
      </c>
      <c r="F141">
        <f t="shared" si="7"/>
        <v>1045165.8670126776</v>
      </c>
      <c r="G141">
        <f t="shared" si="8"/>
        <v>1096729.8670126777</v>
      </c>
    </row>
    <row r="142" spans="1:7" x14ac:dyDescent="0.2">
      <c r="A142">
        <v>2018</v>
      </c>
      <c r="B142" s="1" t="s">
        <v>562</v>
      </c>
      <c r="C142" s="1" t="s">
        <v>203</v>
      </c>
      <c r="D142" s="10">
        <v>50595</v>
      </c>
      <c r="E142" s="20">
        <f t="shared" si="6"/>
        <v>7.948792151221705E-3</v>
      </c>
      <c r="F142">
        <f t="shared" si="7"/>
        <v>1025524.921292111</v>
      </c>
      <c r="G142">
        <f t="shared" si="8"/>
        <v>1076119.921292111</v>
      </c>
    </row>
    <row r="143" spans="1:7" x14ac:dyDescent="0.2">
      <c r="A143">
        <v>2018</v>
      </c>
      <c r="B143" s="1" t="s">
        <v>563</v>
      </c>
      <c r="C143" s="1" t="s">
        <v>204</v>
      </c>
      <c r="D143" s="10">
        <v>8050</v>
      </c>
      <c r="E143" s="20">
        <f t="shared" si="6"/>
        <v>1.2647055404157472E-3</v>
      </c>
      <c r="F143">
        <f t="shared" si="7"/>
        <v>163167.81532565461</v>
      </c>
      <c r="G143">
        <f t="shared" si="8"/>
        <v>171217.81532565461</v>
      </c>
    </row>
    <row r="144" spans="1:7" x14ac:dyDescent="0.2">
      <c r="A144">
        <v>2018</v>
      </c>
      <c r="B144" s="1" t="s">
        <v>564</v>
      </c>
      <c r="C144" s="1" t="s">
        <v>205</v>
      </c>
      <c r="D144" s="10">
        <v>34889</v>
      </c>
      <c r="E144" s="20">
        <f t="shared" si="6"/>
        <v>5.4812809440453417E-3</v>
      </c>
      <c r="F144">
        <f t="shared" si="7"/>
        <v>707175.39240953582</v>
      </c>
      <c r="G144">
        <f t="shared" si="8"/>
        <v>742064.39240953582</v>
      </c>
    </row>
    <row r="145" spans="1:7" x14ac:dyDescent="0.2">
      <c r="A145">
        <v>2018</v>
      </c>
      <c r="B145" s="1" t="s">
        <v>565</v>
      </c>
      <c r="C145" s="1" t="s">
        <v>206</v>
      </c>
      <c r="D145" s="10">
        <v>44812</v>
      </c>
      <c r="E145" s="20">
        <f t="shared" si="6"/>
        <v>7.0402465437404303E-3</v>
      </c>
      <c r="F145">
        <f t="shared" si="7"/>
        <v>908307.59507742035</v>
      </c>
      <c r="G145">
        <f t="shared" si="8"/>
        <v>953119.59507742035</v>
      </c>
    </row>
    <row r="146" spans="1:7" x14ac:dyDescent="0.2">
      <c r="A146">
        <v>2018</v>
      </c>
      <c r="B146" s="1" t="s">
        <v>566</v>
      </c>
      <c r="C146" s="1" t="s">
        <v>207</v>
      </c>
      <c r="D146" s="10">
        <v>49503</v>
      </c>
      <c r="E146" s="20">
        <f t="shared" si="6"/>
        <v>7.7772320953044391E-3</v>
      </c>
      <c r="F146">
        <f t="shared" si="7"/>
        <v>1003390.8524305441</v>
      </c>
      <c r="G146">
        <f t="shared" si="8"/>
        <v>1052893.8524305441</v>
      </c>
    </row>
    <row r="147" spans="1:7" x14ac:dyDescent="0.2">
      <c r="A147">
        <v>2018</v>
      </c>
      <c r="B147" s="1" t="s">
        <v>567</v>
      </c>
      <c r="C147" s="1" t="s">
        <v>208</v>
      </c>
      <c r="D147" s="10">
        <v>42337</v>
      </c>
      <c r="E147" s="20">
        <f t="shared" si="6"/>
        <v>6.6514085049169556E-3</v>
      </c>
      <c r="F147">
        <f t="shared" si="7"/>
        <v>858141.09284996765</v>
      </c>
      <c r="G147">
        <f t="shared" si="8"/>
        <v>900478.09284996765</v>
      </c>
    </row>
    <row r="148" spans="1:7" x14ac:dyDescent="0.2">
      <c r="A148">
        <v>2018</v>
      </c>
      <c r="B148" s="1" t="s">
        <v>624</v>
      </c>
      <c r="C148" s="1" t="s">
        <v>625</v>
      </c>
      <c r="D148" s="10">
        <v>29892</v>
      </c>
      <c r="E148" s="20">
        <f t="shared" si="6"/>
        <v>4.6962208713177038E-3</v>
      </c>
      <c r="F148">
        <f t="shared" si="7"/>
        <v>605889.73114465433</v>
      </c>
      <c r="G148">
        <f t="shared" si="8"/>
        <v>635781.73114465433</v>
      </c>
    </row>
    <row r="149" spans="1:7" x14ac:dyDescent="0.2">
      <c r="A149">
        <v>2018</v>
      </c>
      <c r="B149" s="1" t="s">
        <v>568</v>
      </c>
      <c r="C149" s="1" t="s">
        <v>569</v>
      </c>
      <c r="D149" s="10">
        <v>51703</v>
      </c>
      <c r="E149" s="20">
        <f t="shared" si="6"/>
        <v>8.122865907591972E-3</v>
      </c>
      <c r="F149">
        <f t="shared" si="7"/>
        <v>1047983.2988549465</v>
      </c>
      <c r="G149">
        <f t="shared" si="8"/>
        <v>1099686.2988549466</v>
      </c>
    </row>
    <row r="150" spans="1:7" x14ac:dyDescent="0.2">
      <c r="A150">
        <v>2018</v>
      </c>
      <c r="B150" s="1" t="s">
        <v>570</v>
      </c>
      <c r="C150" s="1" t="s">
        <v>209</v>
      </c>
      <c r="D150" s="10">
        <v>60276</v>
      </c>
      <c r="E150" s="20">
        <f t="shared" si="6"/>
        <v>9.4697380315651655E-3</v>
      </c>
      <c r="F150">
        <f t="shared" si="7"/>
        <v>1221751.9548533114</v>
      </c>
      <c r="G150">
        <f t="shared" si="8"/>
        <v>1282027.9548533114</v>
      </c>
    </row>
    <row r="151" spans="1:7" x14ac:dyDescent="0.2">
      <c r="A151">
        <v>2018</v>
      </c>
      <c r="B151" s="1" t="s">
        <v>571</v>
      </c>
      <c r="C151" s="1" t="s">
        <v>210</v>
      </c>
      <c r="D151" s="10">
        <v>9206</v>
      </c>
      <c r="E151" s="20">
        <f t="shared" si="6"/>
        <v>1.4463203981450149E-3</v>
      </c>
      <c r="F151">
        <f t="shared" si="7"/>
        <v>186599.1189922952</v>
      </c>
      <c r="G151">
        <f t="shared" si="8"/>
        <v>195805.1189922952</v>
      </c>
    </row>
    <row r="152" spans="1:7" x14ac:dyDescent="0.2">
      <c r="A152">
        <v>2018</v>
      </c>
      <c r="B152" s="1" t="s">
        <v>621</v>
      </c>
      <c r="C152" s="1" t="s">
        <v>211</v>
      </c>
      <c r="E152" s="20">
        <f t="shared" si="6"/>
        <v>0</v>
      </c>
      <c r="F152">
        <f t="shared" si="7"/>
        <v>0</v>
      </c>
      <c r="G152">
        <f t="shared" si="8"/>
        <v>0</v>
      </c>
    </row>
    <row r="153" spans="1:7" x14ac:dyDescent="0.2">
      <c r="A153">
        <v>2018</v>
      </c>
      <c r="B153" s="1" t="s">
        <v>573</v>
      </c>
      <c r="C153" s="1" t="s">
        <v>212</v>
      </c>
      <c r="E153" s="20">
        <f t="shared" si="6"/>
        <v>0</v>
      </c>
      <c r="F153">
        <f t="shared" si="7"/>
        <v>0</v>
      </c>
      <c r="G153">
        <f t="shared" si="8"/>
        <v>0</v>
      </c>
    </row>
    <row r="154" spans="1:7" x14ac:dyDescent="0.2">
      <c r="A154">
        <v>2018</v>
      </c>
      <c r="B154" s="1" t="s">
        <v>574</v>
      </c>
      <c r="C154" s="1" t="s">
        <v>213</v>
      </c>
      <c r="E154" s="20">
        <f t="shared" si="6"/>
        <v>0</v>
      </c>
      <c r="F154">
        <f t="shared" si="7"/>
        <v>0</v>
      </c>
      <c r="G154">
        <f t="shared" si="8"/>
        <v>0</v>
      </c>
    </row>
    <row r="155" spans="1:7" x14ac:dyDescent="0.2">
      <c r="A155">
        <v>2018</v>
      </c>
      <c r="B155" s="1" t="s">
        <v>575</v>
      </c>
      <c r="C155" s="1" t="s">
        <v>214</v>
      </c>
      <c r="E155" s="20">
        <f t="shared" si="6"/>
        <v>0</v>
      </c>
      <c r="F155">
        <f t="shared" si="7"/>
        <v>0</v>
      </c>
      <c r="G155">
        <f t="shared" si="8"/>
        <v>0</v>
      </c>
    </row>
    <row r="156" spans="1:7" x14ac:dyDescent="0.2">
      <c r="A156">
        <v>2018</v>
      </c>
      <c r="B156" s="1" t="s">
        <v>576</v>
      </c>
      <c r="C156" s="1" t="s">
        <v>215</v>
      </c>
      <c r="D156" s="10">
        <v>21933</v>
      </c>
      <c r="E156" s="20">
        <f t="shared" si="6"/>
        <v>3.4458120022283953E-3</v>
      </c>
      <c r="F156">
        <f t="shared" si="7"/>
        <v>444566.42155746365</v>
      </c>
      <c r="G156">
        <f t="shared" si="8"/>
        <v>466499.42155746365</v>
      </c>
    </row>
    <row r="157" spans="1:7" x14ac:dyDescent="0.2">
      <c r="A157">
        <v>2018</v>
      </c>
      <c r="B157" s="1" t="s">
        <v>216</v>
      </c>
      <c r="C157" s="1" t="s">
        <v>217</v>
      </c>
      <c r="D157" s="10">
        <v>35443</v>
      </c>
      <c r="E157" s="20">
        <f t="shared" si="6"/>
        <v>5.5683178222304753E-3</v>
      </c>
      <c r="F157">
        <f t="shared" si="7"/>
        <v>718404.5811909535</v>
      </c>
      <c r="G157">
        <f t="shared" si="8"/>
        <v>753847.5811909535</v>
      </c>
    </row>
    <row r="158" spans="1:7" x14ac:dyDescent="0.2">
      <c r="A158">
        <v>2018</v>
      </c>
      <c r="B158" s="1" t="s">
        <v>218</v>
      </c>
      <c r="C158" s="1" t="s">
        <v>219</v>
      </c>
      <c r="E158" s="20">
        <f t="shared" si="6"/>
        <v>0</v>
      </c>
      <c r="F158">
        <f t="shared" si="7"/>
        <v>0</v>
      </c>
      <c r="G158">
        <f t="shared" si="8"/>
        <v>0</v>
      </c>
    </row>
    <row r="159" spans="1:7" x14ac:dyDescent="0.2">
      <c r="A159">
        <v>2018</v>
      </c>
      <c r="B159" s="1" t="s">
        <v>220</v>
      </c>
      <c r="C159" s="1" t="s">
        <v>221</v>
      </c>
      <c r="E159" s="20">
        <f t="shared" si="6"/>
        <v>0</v>
      </c>
      <c r="F159">
        <f t="shared" si="7"/>
        <v>0</v>
      </c>
      <c r="G159">
        <f t="shared" si="8"/>
        <v>0</v>
      </c>
    </row>
    <row r="160" spans="1:7" x14ac:dyDescent="0.2">
      <c r="A160">
        <v>2018</v>
      </c>
      <c r="B160" s="1" t="s">
        <v>222</v>
      </c>
      <c r="C160" s="1" t="s">
        <v>223</v>
      </c>
      <c r="D160" s="10">
        <v>4185</v>
      </c>
      <c r="E160" s="20">
        <f t="shared" si="6"/>
        <v>6.5748977473787599E-4</v>
      </c>
      <c r="F160">
        <f t="shared" si="7"/>
        <v>84826.994675511116</v>
      </c>
      <c r="G160">
        <f t="shared" si="8"/>
        <v>89011.994675511116</v>
      </c>
    </row>
    <row r="161" spans="1:7" x14ac:dyDescent="0.2">
      <c r="A161">
        <v>2018</v>
      </c>
      <c r="B161" s="1" t="s">
        <v>224</v>
      </c>
      <c r="C161" s="1" t="s">
        <v>225</v>
      </c>
      <c r="E161" s="20">
        <f t="shared" si="6"/>
        <v>0</v>
      </c>
      <c r="F161">
        <f t="shared" si="7"/>
        <v>0</v>
      </c>
      <c r="G161">
        <f t="shared" si="8"/>
        <v>0</v>
      </c>
    </row>
    <row r="162" spans="1:7" x14ac:dyDescent="0.2">
      <c r="A162">
        <v>2018</v>
      </c>
      <c r="B162" s="1" t="s">
        <v>577</v>
      </c>
      <c r="C162" s="1" t="s">
        <v>227</v>
      </c>
      <c r="D162" s="10">
        <v>40737</v>
      </c>
      <c r="E162" s="20">
        <f t="shared" si="6"/>
        <v>6.4000384596169307E-3</v>
      </c>
      <c r="F162">
        <f t="shared" si="7"/>
        <v>825710.22272312944</v>
      </c>
      <c r="G162">
        <f t="shared" si="8"/>
        <v>866447.22272312944</v>
      </c>
    </row>
    <row r="163" spans="1:7" x14ac:dyDescent="0.2">
      <c r="A163">
        <v>2018</v>
      </c>
      <c r="B163" s="1" t="s">
        <v>578</v>
      </c>
      <c r="C163" s="1" t="s">
        <v>228</v>
      </c>
      <c r="D163" s="10">
        <v>18472</v>
      </c>
      <c r="E163" s="20">
        <f t="shared" si="6"/>
        <v>2.9020671729887803E-3</v>
      </c>
      <c r="F163">
        <f t="shared" si="7"/>
        <v>374414.39561434684</v>
      </c>
      <c r="G163">
        <f t="shared" si="8"/>
        <v>392886.39561434684</v>
      </c>
    </row>
    <row r="164" spans="1:7" x14ac:dyDescent="0.2">
      <c r="A164">
        <v>2018</v>
      </c>
      <c r="B164" s="1" t="s">
        <v>229</v>
      </c>
      <c r="C164" s="1" t="s">
        <v>230</v>
      </c>
      <c r="E164" s="20">
        <f t="shared" si="6"/>
        <v>0</v>
      </c>
      <c r="F164">
        <f t="shared" si="7"/>
        <v>0</v>
      </c>
      <c r="G164">
        <f t="shared" si="8"/>
        <v>0</v>
      </c>
    </row>
    <row r="165" spans="1:7" x14ac:dyDescent="0.2">
      <c r="A165">
        <v>2018</v>
      </c>
      <c r="B165" s="1" t="s">
        <v>231</v>
      </c>
      <c r="C165" s="1" t="s">
        <v>232</v>
      </c>
      <c r="E165" s="20">
        <f t="shared" si="6"/>
        <v>0</v>
      </c>
      <c r="F165">
        <f t="shared" si="7"/>
        <v>0</v>
      </c>
      <c r="G165">
        <f t="shared" si="8"/>
        <v>0</v>
      </c>
    </row>
    <row r="166" spans="1:7" x14ac:dyDescent="0.2">
      <c r="A166">
        <v>2018</v>
      </c>
      <c r="B166" s="1" t="s">
        <v>579</v>
      </c>
      <c r="C166" s="1" t="s">
        <v>233</v>
      </c>
      <c r="E166" s="20">
        <f t="shared" si="6"/>
        <v>0</v>
      </c>
      <c r="F166">
        <f t="shared" si="7"/>
        <v>0</v>
      </c>
      <c r="G166">
        <f t="shared" si="8"/>
        <v>0</v>
      </c>
    </row>
    <row r="167" spans="1:7" x14ac:dyDescent="0.2">
      <c r="A167">
        <v>2018</v>
      </c>
      <c r="B167" s="1" t="s">
        <v>580</v>
      </c>
      <c r="C167" s="1" t="s">
        <v>234</v>
      </c>
      <c r="D167" s="10">
        <v>11922</v>
      </c>
      <c r="E167" s="20">
        <f t="shared" si="6"/>
        <v>1.8730210500418059E-3</v>
      </c>
      <c r="F167">
        <f t="shared" si="7"/>
        <v>241650.52103260299</v>
      </c>
      <c r="G167">
        <f t="shared" si="8"/>
        <v>253572.52103260299</v>
      </c>
    </row>
    <row r="168" spans="1:7" x14ac:dyDescent="0.2">
      <c r="A168">
        <v>2018</v>
      </c>
      <c r="B168" s="1" t="s">
        <v>581</v>
      </c>
      <c r="C168" s="1" t="s">
        <v>235</v>
      </c>
      <c r="D168" s="10">
        <v>2097</v>
      </c>
      <c r="E168" s="20">
        <f t="shared" si="6"/>
        <v>3.2945186562134433E-4</v>
      </c>
      <c r="F168">
        <f t="shared" si="7"/>
        <v>42504.709159987295</v>
      </c>
      <c r="G168">
        <f t="shared" si="8"/>
        <v>44601.709159987295</v>
      </c>
    </row>
    <row r="169" spans="1:7" x14ac:dyDescent="0.2">
      <c r="A169">
        <v>2018</v>
      </c>
      <c r="B169" s="1" t="s">
        <v>582</v>
      </c>
      <c r="C169" s="1" t="s">
        <v>236</v>
      </c>
      <c r="D169" s="10">
        <v>13202</v>
      </c>
      <c r="E169" s="20">
        <f t="shared" si="6"/>
        <v>2.0741170862818253E-3</v>
      </c>
      <c r="F169">
        <f t="shared" si="7"/>
        <v>267595.21713407355</v>
      </c>
      <c r="G169">
        <f t="shared" si="8"/>
        <v>280797.21713407355</v>
      </c>
    </row>
    <row r="170" spans="1:7" x14ac:dyDescent="0.2">
      <c r="A170">
        <v>2018</v>
      </c>
      <c r="B170" s="1" t="s">
        <v>583</v>
      </c>
      <c r="C170" s="1" t="s">
        <v>237</v>
      </c>
      <c r="D170" s="10">
        <v>7544</v>
      </c>
      <c r="E170" s="20">
        <f t="shared" si="6"/>
        <v>1.1852097635896145E-3</v>
      </c>
      <c r="F170">
        <f t="shared" si="7"/>
        <v>152911.55264804204</v>
      </c>
      <c r="G170">
        <f t="shared" si="8"/>
        <v>160455.55264804204</v>
      </c>
    </row>
    <row r="171" spans="1:7" x14ac:dyDescent="0.2">
      <c r="A171">
        <v>2018</v>
      </c>
      <c r="B171" s="1" t="s">
        <v>238</v>
      </c>
      <c r="C171" s="1" t="s">
        <v>239</v>
      </c>
      <c r="D171" s="10">
        <v>3761</v>
      </c>
      <c r="E171" s="20">
        <f t="shared" si="6"/>
        <v>5.9087671273336956E-4</v>
      </c>
      <c r="F171">
        <f t="shared" si="7"/>
        <v>76232.814091898996</v>
      </c>
      <c r="G171">
        <f t="shared" si="8"/>
        <v>79993.814091898996</v>
      </c>
    </row>
    <row r="172" spans="1:7" x14ac:dyDescent="0.2">
      <c r="A172">
        <v>2018</v>
      </c>
      <c r="B172" s="1" t="s">
        <v>240</v>
      </c>
      <c r="C172" s="1" t="s">
        <v>241</v>
      </c>
      <c r="D172" s="10">
        <v>3867</v>
      </c>
      <c r="E172" s="20">
        <f t="shared" si="6"/>
        <v>6.0752997823449622E-4</v>
      </c>
      <c r="F172">
        <f t="shared" si="7"/>
        <v>78381.35923780204</v>
      </c>
      <c r="G172">
        <f t="shared" si="8"/>
        <v>82248.35923780204</v>
      </c>
    </row>
    <row r="173" spans="1:7" x14ac:dyDescent="0.2">
      <c r="A173">
        <v>2018</v>
      </c>
      <c r="B173" s="1" t="s">
        <v>242</v>
      </c>
      <c r="C173" s="1" t="s">
        <v>243</v>
      </c>
      <c r="E173" s="20">
        <f t="shared" si="6"/>
        <v>0</v>
      </c>
      <c r="F173">
        <f t="shared" si="7"/>
        <v>0</v>
      </c>
      <c r="G173">
        <f t="shared" si="8"/>
        <v>0</v>
      </c>
    </row>
    <row r="174" spans="1:7" x14ac:dyDescent="0.2">
      <c r="A174">
        <v>2018</v>
      </c>
      <c r="B174" s="1" t="s">
        <v>244</v>
      </c>
      <c r="C174" s="1" t="s">
        <v>245</v>
      </c>
      <c r="E174" s="20">
        <f t="shared" si="6"/>
        <v>0</v>
      </c>
      <c r="F174">
        <f t="shared" si="7"/>
        <v>0</v>
      </c>
      <c r="G174">
        <f t="shared" si="8"/>
        <v>0</v>
      </c>
    </row>
    <row r="175" spans="1:7" x14ac:dyDescent="0.2">
      <c r="A175">
        <v>2018</v>
      </c>
      <c r="B175" s="1" t="s">
        <v>246</v>
      </c>
      <c r="C175" s="1" t="s">
        <v>247</v>
      </c>
      <c r="E175" s="20">
        <f t="shared" si="6"/>
        <v>0</v>
      </c>
      <c r="F175">
        <f t="shared" si="7"/>
        <v>0</v>
      </c>
      <c r="G175">
        <f t="shared" si="8"/>
        <v>0</v>
      </c>
    </row>
    <row r="176" spans="1:7" x14ac:dyDescent="0.2">
      <c r="A176">
        <v>2018</v>
      </c>
      <c r="B176" s="1" t="s">
        <v>248</v>
      </c>
      <c r="C176" s="1" t="s">
        <v>249</v>
      </c>
      <c r="D176" s="10">
        <v>19717</v>
      </c>
      <c r="E176" s="20">
        <f t="shared" si="6"/>
        <v>3.0976644894878617E-3</v>
      </c>
      <c r="F176">
        <f t="shared" si="7"/>
        <v>399649.66643179278</v>
      </c>
      <c r="G176">
        <f t="shared" si="8"/>
        <v>419366.66643179278</v>
      </c>
    </row>
    <row r="177" spans="1:7" x14ac:dyDescent="0.2">
      <c r="A177">
        <v>2018</v>
      </c>
      <c r="B177" s="1" t="s">
        <v>584</v>
      </c>
      <c r="C177" s="1" t="s">
        <v>251</v>
      </c>
      <c r="D177" s="10">
        <v>1192</v>
      </c>
      <c r="E177" s="20">
        <f t="shared" si="6"/>
        <v>1.8727068374851811E-4</v>
      </c>
      <c r="F177">
        <f t="shared" si="7"/>
        <v>24160.998244494447</v>
      </c>
      <c r="G177">
        <f t="shared" si="8"/>
        <v>25352.998244494447</v>
      </c>
    </row>
    <row r="178" spans="1:7" x14ac:dyDescent="0.2">
      <c r="A178">
        <v>2018</v>
      </c>
      <c r="B178" s="1" t="s">
        <v>585</v>
      </c>
      <c r="C178" s="1" t="s">
        <v>252</v>
      </c>
      <c r="E178" s="20">
        <f t="shared" si="6"/>
        <v>0</v>
      </c>
      <c r="F178">
        <f t="shared" si="7"/>
        <v>0</v>
      </c>
      <c r="G178">
        <f t="shared" si="8"/>
        <v>0</v>
      </c>
    </row>
    <row r="179" spans="1:7" x14ac:dyDescent="0.2">
      <c r="A179">
        <v>2018</v>
      </c>
      <c r="B179" s="1" t="s">
        <v>586</v>
      </c>
      <c r="C179" s="1" t="s">
        <v>253</v>
      </c>
      <c r="D179" s="10">
        <v>5416</v>
      </c>
      <c r="E179" s="20">
        <f t="shared" si="6"/>
        <v>8.5088760334058218E-4</v>
      </c>
      <c r="F179">
        <f t="shared" si="7"/>
        <v>109778.49537934724</v>
      </c>
      <c r="G179">
        <f t="shared" si="8"/>
        <v>115194.49537934724</v>
      </c>
    </row>
    <row r="180" spans="1:7" x14ac:dyDescent="0.2">
      <c r="A180">
        <v>2018</v>
      </c>
      <c r="B180" s="1" t="s">
        <v>587</v>
      </c>
      <c r="C180" s="1" t="s">
        <v>254</v>
      </c>
      <c r="D180" s="10">
        <v>2296</v>
      </c>
      <c r="E180" s="20">
        <f t="shared" si="6"/>
        <v>3.6071601500553487E-4</v>
      </c>
      <c r="F180">
        <f t="shared" si="7"/>
        <v>46538.298632012797</v>
      </c>
      <c r="G180">
        <f t="shared" si="8"/>
        <v>48834.298632012797</v>
      </c>
    </row>
    <row r="181" spans="1:7" x14ac:dyDescent="0.2">
      <c r="A181">
        <v>2018</v>
      </c>
      <c r="B181" s="1" t="s">
        <v>588</v>
      </c>
      <c r="C181" s="1" t="s">
        <v>255</v>
      </c>
      <c r="D181" s="10">
        <v>15143</v>
      </c>
      <c r="E181" s="20">
        <f t="shared" si="6"/>
        <v>2.3790603724864173E-3</v>
      </c>
      <c r="F181">
        <f t="shared" si="7"/>
        <v>306937.91645669413</v>
      </c>
      <c r="G181">
        <f t="shared" si="8"/>
        <v>322080.91645669413</v>
      </c>
    </row>
    <row r="182" spans="1:7" x14ac:dyDescent="0.2">
      <c r="A182">
        <v>2018</v>
      </c>
      <c r="B182" s="1" t="s">
        <v>589</v>
      </c>
      <c r="C182" s="1" t="s">
        <v>256</v>
      </c>
      <c r="D182" s="10">
        <v>6713</v>
      </c>
      <c r="E182" s="20">
        <f t="shared" si="6"/>
        <v>1.0546544463119144E-3</v>
      </c>
      <c r="F182">
        <f t="shared" si="7"/>
        <v>136067.76947591544</v>
      </c>
      <c r="G182">
        <f t="shared" si="8"/>
        <v>142780.76947591544</v>
      </c>
    </row>
    <row r="183" spans="1:7" x14ac:dyDescent="0.2">
      <c r="A183">
        <v>2018</v>
      </c>
      <c r="B183" s="1" t="s">
        <v>257</v>
      </c>
      <c r="C183" s="1" t="s">
        <v>258</v>
      </c>
      <c r="D183" s="1">
        <v>97</v>
      </c>
      <c r="E183" s="20">
        <f t="shared" si="6"/>
        <v>1.5239308996313973E-5</v>
      </c>
      <c r="F183">
        <f t="shared" si="7"/>
        <v>1966.121501439565</v>
      </c>
      <c r="G183">
        <f t="shared" si="8"/>
        <v>2063.1215014395648</v>
      </c>
    </row>
    <row r="184" spans="1:7" x14ac:dyDescent="0.2">
      <c r="A184">
        <v>2018</v>
      </c>
      <c r="B184" s="1" t="s">
        <v>259</v>
      </c>
      <c r="C184" s="1" t="s">
        <v>260</v>
      </c>
      <c r="D184" s="10">
        <v>13264</v>
      </c>
      <c r="E184" s="20">
        <f t="shared" si="6"/>
        <v>2.0838576755372014E-3</v>
      </c>
      <c r="F184">
        <f t="shared" si="7"/>
        <v>268851.91335148853</v>
      </c>
      <c r="G184">
        <f t="shared" si="8"/>
        <v>282115.91335148853</v>
      </c>
    </row>
    <row r="185" spans="1:7" x14ac:dyDescent="0.2">
      <c r="A185">
        <v>2018</v>
      </c>
      <c r="B185" s="1" t="s">
        <v>590</v>
      </c>
      <c r="C185" s="1" t="s">
        <v>261</v>
      </c>
      <c r="D185" s="10">
        <v>9396</v>
      </c>
      <c r="E185" s="20">
        <f t="shared" si="6"/>
        <v>1.4761705910243926E-3</v>
      </c>
      <c r="F185">
        <f t="shared" si="7"/>
        <v>190450.28481985722</v>
      </c>
      <c r="G185">
        <f t="shared" si="8"/>
        <v>199846.28481985722</v>
      </c>
    </row>
    <row r="186" spans="1:7" x14ac:dyDescent="0.2">
      <c r="A186">
        <v>2018</v>
      </c>
      <c r="B186" s="1" t="s">
        <v>591</v>
      </c>
      <c r="C186" s="1" t="s">
        <v>262</v>
      </c>
      <c r="D186" s="1">
        <v>681</v>
      </c>
      <c r="E186" s="20">
        <f t="shared" si="6"/>
        <v>1.0698937553082284E-4</v>
      </c>
      <c r="F186">
        <f t="shared" si="7"/>
        <v>13803.389097735502</v>
      </c>
      <c r="G186">
        <f t="shared" si="8"/>
        <v>14484.389097735502</v>
      </c>
    </row>
    <row r="187" spans="1:7" x14ac:dyDescent="0.2">
      <c r="A187">
        <v>2018</v>
      </c>
      <c r="B187" s="1" t="s">
        <v>592</v>
      </c>
      <c r="C187" s="1" t="s">
        <v>263</v>
      </c>
      <c r="D187" s="1">
        <v>349</v>
      </c>
      <c r="E187" s="20">
        <f t="shared" si="6"/>
        <v>5.4830091131067795E-5</v>
      </c>
      <c r="F187">
        <f t="shared" si="7"/>
        <v>7073.9835464165781</v>
      </c>
      <c r="G187">
        <f t="shared" si="8"/>
        <v>7422.9835464165781</v>
      </c>
    </row>
    <row r="188" spans="1:7" x14ac:dyDescent="0.2">
      <c r="A188">
        <v>2018</v>
      </c>
      <c r="B188" s="1" t="s">
        <v>593</v>
      </c>
      <c r="C188" s="1" t="s">
        <v>264</v>
      </c>
      <c r="D188" s="10">
        <v>5294</v>
      </c>
      <c r="E188" s="20">
        <f t="shared" si="6"/>
        <v>8.3172063738645534E-4</v>
      </c>
      <c r="F188">
        <f t="shared" si="7"/>
        <v>107305.64153217584</v>
      </c>
      <c r="G188">
        <f t="shared" si="8"/>
        <v>112599.64153217584</v>
      </c>
    </row>
    <row r="189" spans="1:7" x14ac:dyDescent="0.2">
      <c r="A189">
        <v>2018</v>
      </c>
      <c r="B189" s="1" t="s">
        <v>594</v>
      </c>
      <c r="C189" s="1" t="s">
        <v>265</v>
      </c>
      <c r="D189" s="10">
        <v>5133</v>
      </c>
      <c r="E189" s="20">
        <f t="shared" si="6"/>
        <v>8.0642652657814042E-4</v>
      </c>
      <c r="F189">
        <f t="shared" si="7"/>
        <v>104042.28522566275</v>
      </c>
      <c r="G189">
        <f t="shared" si="8"/>
        <v>109175.28522566275</v>
      </c>
    </row>
    <row r="190" spans="1:7" x14ac:dyDescent="0.2">
      <c r="A190">
        <v>2018</v>
      </c>
      <c r="B190" s="1" t="s">
        <v>595</v>
      </c>
      <c r="C190" s="1" t="s">
        <v>266</v>
      </c>
      <c r="D190" s="10">
        <v>6465</v>
      </c>
      <c r="E190" s="20">
        <f t="shared" si="6"/>
        <v>1.0156920892904107E-3</v>
      </c>
      <c r="F190">
        <f t="shared" si="7"/>
        <v>131040.98460625554</v>
      </c>
      <c r="G190">
        <f t="shared" si="8"/>
        <v>137505.98460625554</v>
      </c>
    </row>
    <row r="191" spans="1:7" x14ac:dyDescent="0.2">
      <c r="A191">
        <v>2018</v>
      </c>
      <c r="B191" s="1" t="s">
        <v>596</v>
      </c>
      <c r="C191" s="1" t="s">
        <v>267</v>
      </c>
      <c r="D191" s="10">
        <v>4060</v>
      </c>
      <c r="E191" s="20">
        <f t="shared" si="6"/>
        <v>6.378514899488116E-4</v>
      </c>
      <c r="F191">
        <f t="shared" si="7"/>
        <v>82293.332946851879</v>
      </c>
      <c r="G191">
        <f t="shared" si="8"/>
        <v>86353.332946851879</v>
      </c>
    </row>
    <row r="192" spans="1:7" x14ac:dyDescent="0.2">
      <c r="A192">
        <v>2018</v>
      </c>
      <c r="B192" s="1" t="s">
        <v>597</v>
      </c>
      <c r="C192" s="1" t="s">
        <v>268</v>
      </c>
      <c r="D192" s="10">
        <v>5550</v>
      </c>
      <c r="E192" s="20">
        <f t="shared" si="6"/>
        <v>8.7193984463445923E-4</v>
      </c>
      <c r="F192">
        <f t="shared" si="7"/>
        <v>112494.58075246995</v>
      </c>
      <c r="G192">
        <f t="shared" si="8"/>
        <v>118044.58075246995</v>
      </c>
    </row>
    <row r="193" spans="1:7" x14ac:dyDescent="0.2">
      <c r="A193">
        <v>2018</v>
      </c>
      <c r="B193" s="1" t="s">
        <v>269</v>
      </c>
      <c r="C193" s="1" t="s">
        <v>270</v>
      </c>
      <c r="E193" s="20">
        <f t="shared" si="6"/>
        <v>0</v>
      </c>
      <c r="F193">
        <f t="shared" si="7"/>
        <v>0</v>
      </c>
      <c r="G193">
        <f t="shared" si="8"/>
        <v>0</v>
      </c>
    </row>
    <row r="194" spans="1:7" x14ac:dyDescent="0.2">
      <c r="A194">
        <v>2018</v>
      </c>
      <c r="B194" s="1" t="s">
        <v>271</v>
      </c>
      <c r="C194" s="1" t="s">
        <v>272</v>
      </c>
      <c r="D194" s="10">
        <v>89027</v>
      </c>
      <c r="E194" s="20">
        <f t="shared" si="6"/>
        <v>1.3986700639328289E-2</v>
      </c>
      <c r="F194">
        <f t="shared" si="7"/>
        <v>1804514.4217387643</v>
      </c>
      <c r="G194">
        <f t="shared" si="8"/>
        <v>1893541.4217387643</v>
      </c>
    </row>
    <row r="195" spans="1:7" x14ac:dyDescent="0.2">
      <c r="A195">
        <v>2018</v>
      </c>
      <c r="B195" s="1" t="s">
        <v>598</v>
      </c>
      <c r="C195" s="1" t="s">
        <v>273</v>
      </c>
      <c r="D195" s="10">
        <v>23436</v>
      </c>
      <c r="E195" s="20">
        <f t="shared" ref="E195:E248" si="9">D195/$D$250</f>
        <v>3.6819427385321058E-3</v>
      </c>
      <c r="F195">
        <f t="shared" ref="F195:F248" si="10">E195*$D$252</f>
        <v>475031.17018286226</v>
      </c>
      <c r="G195">
        <f t="shared" ref="G195:G248" si="11">SUM(D195,F195)</f>
        <v>498467.17018286226</v>
      </c>
    </row>
    <row r="196" spans="1:7" x14ac:dyDescent="0.2">
      <c r="A196">
        <v>2018</v>
      </c>
      <c r="B196" s="1" t="s">
        <v>599</v>
      </c>
      <c r="C196" s="1" t="s">
        <v>274</v>
      </c>
      <c r="D196" s="10">
        <v>52434</v>
      </c>
      <c r="E196" s="20">
        <f t="shared" si="9"/>
        <v>8.237710597038421E-3</v>
      </c>
      <c r="F196">
        <f t="shared" si="10"/>
        <v>1062800.1526441458</v>
      </c>
      <c r="G196">
        <f t="shared" si="11"/>
        <v>1115234.1526441458</v>
      </c>
    </row>
    <row r="197" spans="1:7" x14ac:dyDescent="0.2">
      <c r="A197">
        <v>2018</v>
      </c>
      <c r="B197" s="1" t="s">
        <v>600</v>
      </c>
      <c r="C197" s="1" t="s">
        <v>275</v>
      </c>
      <c r="D197" s="10">
        <v>7752</v>
      </c>
      <c r="E197" s="20">
        <f t="shared" si="9"/>
        <v>1.2178878694786178E-3</v>
      </c>
      <c r="F197">
        <f t="shared" si="10"/>
        <v>157127.565764531</v>
      </c>
      <c r="G197">
        <f t="shared" si="11"/>
        <v>164879.565764531</v>
      </c>
    </row>
    <row r="198" spans="1:7" x14ac:dyDescent="0.2">
      <c r="A198">
        <v>2018</v>
      </c>
      <c r="B198" s="1" t="s">
        <v>276</v>
      </c>
      <c r="C198" s="1" t="s">
        <v>277</v>
      </c>
      <c r="D198" s="10">
        <v>10862</v>
      </c>
      <c r="E198" s="20">
        <f t="shared" si="9"/>
        <v>1.7064883950305399E-3</v>
      </c>
      <c r="F198">
        <f t="shared" si="10"/>
        <v>220165.06957357272</v>
      </c>
      <c r="G198">
        <f t="shared" si="11"/>
        <v>231027.06957357272</v>
      </c>
    </row>
    <row r="199" spans="1:7" x14ac:dyDescent="0.2">
      <c r="A199">
        <v>2018</v>
      </c>
      <c r="B199" s="1" t="s">
        <v>278</v>
      </c>
      <c r="C199" s="1" t="s">
        <v>279</v>
      </c>
      <c r="D199" s="10">
        <v>4262</v>
      </c>
      <c r="E199" s="20">
        <f t="shared" si="9"/>
        <v>6.6958695816793975E-4</v>
      </c>
      <c r="F199">
        <f t="shared" si="10"/>
        <v>86387.73030036522</v>
      </c>
      <c r="G199">
        <f t="shared" si="11"/>
        <v>90649.73030036522</v>
      </c>
    </row>
    <row r="200" spans="1:7" x14ac:dyDescent="0.2">
      <c r="A200">
        <v>2018</v>
      </c>
      <c r="B200" s="1" t="s">
        <v>280</v>
      </c>
      <c r="C200" s="1" t="s">
        <v>281</v>
      </c>
      <c r="D200" s="10">
        <v>8345</v>
      </c>
      <c r="E200" s="20">
        <f t="shared" si="9"/>
        <v>1.3110518925179393E-3</v>
      </c>
      <c r="F200">
        <f t="shared" si="10"/>
        <v>169147.25700529042</v>
      </c>
      <c r="G200">
        <f t="shared" si="11"/>
        <v>177492.25700529042</v>
      </c>
    </row>
    <row r="201" spans="1:7" x14ac:dyDescent="0.2">
      <c r="A201">
        <v>2018</v>
      </c>
      <c r="B201" s="1" t="s">
        <v>282</v>
      </c>
      <c r="C201" s="1" t="s">
        <v>283</v>
      </c>
      <c r="D201" s="10">
        <v>1226</v>
      </c>
      <c r="E201" s="20">
        <f t="shared" si="9"/>
        <v>1.926122972111436E-4</v>
      </c>
      <c r="F201">
        <f t="shared" si="10"/>
        <v>24850.154234689755</v>
      </c>
      <c r="G201">
        <f t="shared" si="11"/>
        <v>26076.154234689755</v>
      </c>
    </row>
    <row r="202" spans="1:7" x14ac:dyDescent="0.2">
      <c r="A202">
        <v>2018</v>
      </c>
      <c r="B202" s="1" t="s">
        <v>284</v>
      </c>
      <c r="C202" s="1" t="s">
        <v>285</v>
      </c>
      <c r="D202" s="10">
        <v>11510</v>
      </c>
      <c r="E202" s="20">
        <f t="shared" si="9"/>
        <v>1.8082932633770496E-3</v>
      </c>
      <c r="F202">
        <f t="shared" si="10"/>
        <v>233299.57197494217</v>
      </c>
      <c r="G202">
        <f t="shared" si="11"/>
        <v>244809.57197494217</v>
      </c>
    </row>
    <row r="203" spans="1:7" x14ac:dyDescent="0.2">
      <c r="A203">
        <v>2018</v>
      </c>
      <c r="B203" s="1" t="s">
        <v>286</v>
      </c>
      <c r="C203" s="1" t="s">
        <v>287</v>
      </c>
      <c r="E203" s="20">
        <f t="shared" si="9"/>
        <v>0</v>
      </c>
      <c r="F203">
        <f t="shared" si="10"/>
        <v>0</v>
      </c>
      <c r="G203">
        <f t="shared" si="11"/>
        <v>0</v>
      </c>
    </row>
    <row r="204" spans="1:7" x14ac:dyDescent="0.2">
      <c r="A204">
        <v>2018</v>
      </c>
      <c r="B204" s="1" t="s">
        <v>601</v>
      </c>
      <c r="C204" s="1" t="s">
        <v>289</v>
      </c>
      <c r="D204" s="10">
        <v>58855</v>
      </c>
      <c r="E204" s="20">
        <f t="shared" si="9"/>
        <v>9.2464900100830815E-3</v>
      </c>
      <c r="F204">
        <f t="shared" si="10"/>
        <v>1192949.2883219135</v>
      </c>
      <c r="G204">
        <f t="shared" si="11"/>
        <v>1251804.2883219135</v>
      </c>
    </row>
    <row r="205" spans="1:7" x14ac:dyDescent="0.2">
      <c r="A205">
        <v>2018</v>
      </c>
      <c r="B205" s="1" t="s">
        <v>293</v>
      </c>
      <c r="C205" s="1" t="s">
        <v>290</v>
      </c>
      <c r="D205" s="10">
        <v>5226</v>
      </c>
      <c r="E205" s="20">
        <f t="shared" si="9"/>
        <v>8.2103741046120435E-4</v>
      </c>
      <c r="F205">
        <f t="shared" si="10"/>
        <v>105927.32955178522</v>
      </c>
      <c r="G205">
        <f t="shared" si="11"/>
        <v>111153.32955178522</v>
      </c>
    </row>
    <row r="206" spans="1:7" x14ac:dyDescent="0.2">
      <c r="A206">
        <v>2018</v>
      </c>
      <c r="B206" s="1" t="s">
        <v>291</v>
      </c>
      <c r="C206" s="1" t="s">
        <v>292</v>
      </c>
      <c r="E206" s="20">
        <f t="shared" si="9"/>
        <v>0</v>
      </c>
      <c r="F206">
        <f t="shared" si="10"/>
        <v>0</v>
      </c>
      <c r="G206">
        <f t="shared" si="11"/>
        <v>0</v>
      </c>
    </row>
    <row r="207" spans="1:7" x14ac:dyDescent="0.2">
      <c r="A207">
        <v>2018</v>
      </c>
      <c r="B207" s="1" t="s">
        <v>602</v>
      </c>
      <c r="C207" s="1" t="s">
        <v>294</v>
      </c>
      <c r="E207" s="20">
        <f t="shared" si="9"/>
        <v>0</v>
      </c>
      <c r="F207">
        <f t="shared" si="10"/>
        <v>0</v>
      </c>
      <c r="G207">
        <f t="shared" si="11"/>
        <v>0</v>
      </c>
    </row>
    <row r="208" spans="1:7" x14ac:dyDescent="0.2">
      <c r="A208">
        <v>2018</v>
      </c>
      <c r="B208" s="1" t="s">
        <v>603</v>
      </c>
      <c r="C208" s="1" t="s">
        <v>296</v>
      </c>
      <c r="E208" s="20">
        <f t="shared" si="9"/>
        <v>0</v>
      </c>
      <c r="F208">
        <f t="shared" si="10"/>
        <v>0</v>
      </c>
      <c r="G208">
        <f t="shared" si="11"/>
        <v>0</v>
      </c>
    </row>
    <row r="209" spans="1:7" x14ac:dyDescent="0.2">
      <c r="A209">
        <v>2018</v>
      </c>
      <c r="B209" s="1" t="s">
        <v>297</v>
      </c>
      <c r="C209" s="1" t="s">
        <v>298</v>
      </c>
      <c r="E209" s="20">
        <f t="shared" si="9"/>
        <v>0</v>
      </c>
      <c r="F209">
        <f t="shared" si="10"/>
        <v>0</v>
      </c>
      <c r="G209">
        <f t="shared" si="11"/>
        <v>0</v>
      </c>
    </row>
    <row r="210" spans="1:7" x14ac:dyDescent="0.2">
      <c r="A210">
        <v>2018</v>
      </c>
      <c r="B210" s="1" t="s">
        <v>299</v>
      </c>
      <c r="C210" s="1" t="s">
        <v>300</v>
      </c>
      <c r="D210" s="10">
        <v>7697</v>
      </c>
      <c r="E210" s="20">
        <f t="shared" si="9"/>
        <v>1.2092470241714293E-3</v>
      </c>
      <c r="F210">
        <f t="shared" si="10"/>
        <v>156012.75460392091</v>
      </c>
      <c r="G210">
        <f t="shared" si="11"/>
        <v>163709.75460392091</v>
      </c>
    </row>
    <row r="211" spans="1:7" x14ac:dyDescent="0.2">
      <c r="A211">
        <v>2018</v>
      </c>
      <c r="B211" s="1" t="s">
        <v>301</v>
      </c>
      <c r="C211" s="1" t="s">
        <v>302</v>
      </c>
      <c r="D211" s="10">
        <v>1915</v>
      </c>
      <c r="E211" s="20">
        <f t="shared" si="9"/>
        <v>3.0085852296846659E-4</v>
      </c>
      <c r="F211">
        <f t="shared" si="10"/>
        <v>38815.69768305945</v>
      </c>
      <c r="G211">
        <f t="shared" si="11"/>
        <v>40730.69768305945</v>
      </c>
    </row>
    <row r="212" spans="1:7" x14ac:dyDescent="0.2">
      <c r="A212">
        <v>2018</v>
      </c>
      <c r="B212" s="1" t="s">
        <v>303</v>
      </c>
      <c r="C212" s="1" t="s">
        <v>304</v>
      </c>
      <c r="D212" s="10">
        <v>26339</v>
      </c>
      <c r="E212" s="20">
        <f t="shared" si="9"/>
        <v>4.1380222644733372E-3</v>
      </c>
      <c r="F212">
        <f t="shared" si="10"/>
        <v>533872.9301692443</v>
      </c>
      <c r="G212">
        <f t="shared" si="11"/>
        <v>560211.9301692443</v>
      </c>
    </row>
    <row r="213" spans="1:7" x14ac:dyDescent="0.2">
      <c r="A213">
        <v>2018</v>
      </c>
      <c r="B213" s="1" t="s">
        <v>305</v>
      </c>
      <c r="C213" s="1" t="s">
        <v>604</v>
      </c>
      <c r="E213" s="20">
        <f t="shared" si="9"/>
        <v>0</v>
      </c>
      <c r="F213">
        <f t="shared" si="10"/>
        <v>0</v>
      </c>
      <c r="G213">
        <f t="shared" si="11"/>
        <v>0</v>
      </c>
    </row>
    <row r="214" spans="1:7" x14ac:dyDescent="0.2">
      <c r="A214">
        <v>2018</v>
      </c>
      <c r="B214" s="1" t="s">
        <v>307</v>
      </c>
      <c r="C214" s="1" t="s">
        <v>308</v>
      </c>
      <c r="E214" s="20">
        <f t="shared" si="9"/>
        <v>0</v>
      </c>
      <c r="F214">
        <f t="shared" si="10"/>
        <v>0</v>
      </c>
      <c r="G214">
        <f t="shared" si="11"/>
        <v>0</v>
      </c>
    </row>
    <row r="215" spans="1:7" x14ac:dyDescent="0.2">
      <c r="A215">
        <v>2018</v>
      </c>
      <c r="B215" s="1" t="s">
        <v>309</v>
      </c>
      <c r="C215" s="1" t="s">
        <v>310</v>
      </c>
      <c r="E215" s="20">
        <f t="shared" si="9"/>
        <v>0</v>
      </c>
      <c r="F215">
        <f t="shared" si="10"/>
        <v>0</v>
      </c>
      <c r="G215">
        <f t="shared" si="11"/>
        <v>0</v>
      </c>
    </row>
    <row r="216" spans="1:7" x14ac:dyDescent="0.2">
      <c r="A216">
        <v>2018</v>
      </c>
      <c r="B216" s="1" t="s">
        <v>605</v>
      </c>
      <c r="C216" s="1" t="s">
        <v>311</v>
      </c>
      <c r="D216" s="1">
        <v>617</v>
      </c>
      <c r="E216" s="20">
        <f t="shared" si="9"/>
        <v>9.6934573718821871E-5</v>
      </c>
      <c r="F216">
        <f t="shared" si="10"/>
        <v>12506.154292661975</v>
      </c>
      <c r="G216">
        <f t="shared" si="11"/>
        <v>13123.154292661975</v>
      </c>
    </row>
    <row r="217" spans="1:7" x14ac:dyDescent="0.2">
      <c r="A217">
        <v>2018</v>
      </c>
      <c r="B217" s="1" t="s">
        <v>622</v>
      </c>
      <c r="C217" s="1" t="s">
        <v>623</v>
      </c>
      <c r="E217" s="20">
        <f t="shared" si="9"/>
        <v>0</v>
      </c>
      <c r="F217">
        <f t="shared" si="10"/>
        <v>0</v>
      </c>
      <c r="G217">
        <f t="shared" si="11"/>
        <v>0</v>
      </c>
    </row>
    <row r="218" spans="1:7" x14ac:dyDescent="0.2">
      <c r="A218">
        <v>2018</v>
      </c>
      <c r="B218" s="1" t="s">
        <v>312</v>
      </c>
      <c r="C218" s="1" t="s">
        <v>606</v>
      </c>
      <c r="D218" s="1">
        <v>931</v>
      </c>
      <c r="E218" s="20">
        <f t="shared" si="9"/>
        <v>1.4626594510895163E-4</v>
      </c>
      <c r="F218">
        <f t="shared" si="10"/>
        <v>18870.712555053968</v>
      </c>
      <c r="G218">
        <f t="shared" si="11"/>
        <v>19801.712555053968</v>
      </c>
    </row>
    <row r="219" spans="1:7" x14ac:dyDescent="0.2">
      <c r="A219">
        <v>2018</v>
      </c>
      <c r="B219" s="1" t="s">
        <v>607</v>
      </c>
      <c r="C219" s="1" t="s">
        <v>314</v>
      </c>
      <c r="D219" s="10">
        <v>5111</v>
      </c>
      <c r="E219" s="20">
        <f t="shared" si="9"/>
        <v>8.0297018845526514E-4</v>
      </c>
      <c r="F219">
        <f t="shared" si="10"/>
        <v>103596.36076141872</v>
      </c>
      <c r="G219">
        <f t="shared" si="11"/>
        <v>108707.36076141872</v>
      </c>
    </row>
    <row r="220" spans="1:7" x14ac:dyDescent="0.2">
      <c r="A220">
        <v>2018</v>
      </c>
      <c r="B220" s="1" t="s">
        <v>315</v>
      </c>
      <c r="C220" s="1" t="s">
        <v>316</v>
      </c>
      <c r="D220" s="10">
        <v>4725</v>
      </c>
      <c r="E220" s="20">
        <f t="shared" si="9"/>
        <v>7.4232716502663427E-4</v>
      </c>
      <c r="F220">
        <f t="shared" si="10"/>
        <v>95772.413343319015</v>
      </c>
      <c r="G220">
        <f t="shared" si="11"/>
        <v>100497.41334331901</v>
      </c>
    </row>
    <row r="221" spans="1:7" x14ac:dyDescent="0.2">
      <c r="A221">
        <v>2018</v>
      </c>
      <c r="B221" s="1" t="s">
        <v>317</v>
      </c>
      <c r="C221" s="1" t="s">
        <v>318</v>
      </c>
      <c r="E221" s="20">
        <f t="shared" si="9"/>
        <v>0</v>
      </c>
      <c r="F221">
        <f t="shared" si="10"/>
        <v>0</v>
      </c>
      <c r="G221">
        <f t="shared" si="11"/>
        <v>0</v>
      </c>
    </row>
    <row r="222" spans="1:7" x14ac:dyDescent="0.2">
      <c r="A222">
        <v>2018</v>
      </c>
      <c r="B222" s="1" t="s">
        <v>608</v>
      </c>
      <c r="C222" s="1" t="s">
        <v>319</v>
      </c>
      <c r="E222" s="20">
        <f t="shared" si="9"/>
        <v>0</v>
      </c>
      <c r="F222">
        <f t="shared" si="10"/>
        <v>0</v>
      </c>
      <c r="G222">
        <f t="shared" si="11"/>
        <v>0</v>
      </c>
    </row>
    <row r="223" spans="1:7" x14ac:dyDescent="0.2">
      <c r="A223">
        <v>2018</v>
      </c>
      <c r="B223" s="1" t="s">
        <v>609</v>
      </c>
      <c r="C223" s="1" t="s">
        <v>320</v>
      </c>
      <c r="E223" s="20">
        <f t="shared" si="9"/>
        <v>0</v>
      </c>
      <c r="F223">
        <f t="shared" si="10"/>
        <v>0</v>
      </c>
      <c r="G223">
        <f t="shared" si="11"/>
        <v>0</v>
      </c>
    </row>
    <row r="224" spans="1:7" x14ac:dyDescent="0.2">
      <c r="A224">
        <v>2018</v>
      </c>
      <c r="B224" s="1" t="s">
        <v>321</v>
      </c>
      <c r="C224" s="1" t="s">
        <v>322</v>
      </c>
      <c r="E224" s="20">
        <f t="shared" si="9"/>
        <v>0</v>
      </c>
      <c r="F224">
        <f t="shared" si="10"/>
        <v>0</v>
      </c>
      <c r="G224">
        <f t="shared" si="11"/>
        <v>0</v>
      </c>
    </row>
    <row r="225" spans="1:7" x14ac:dyDescent="0.2">
      <c r="A225">
        <v>2018</v>
      </c>
      <c r="B225" s="1" t="s">
        <v>610</v>
      </c>
      <c r="C225" s="1" t="s">
        <v>323</v>
      </c>
      <c r="D225" s="10">
        <v>18885</v>
      </c>
      <c r="E225" s="20">
        <f t="shared" si="9"/>
        <v>2.9669520659318491E-3</v>
      </c>
      <c r="F225">
        <f t="shared" si="10"/>
        <v>382785.61396583694</v>
      </c>
      <c r="G225">
        <f t="shared" si="11"/>
        <v>401670.61396583694</v>
      </c>
    </row>
    <row r="226" spans="1:7" x14ac:dyDescent="0.2">
      <c r="A226">
        <v>2018</v>
      </c>
      <c r="B226" s="1" t="s">
        <v>324</v>
      </c>
      <c r="C226" s="1" t="s">
        <v>325</v>
      </c>
      <c r="D226" s="10">
        <v>4976</v>
      </c>
      <c r="E226" s="20">
        <f t="shared" si="9"/>
        <v>7.8176084088307557E-4</v>
      </c>
      <c r="F226">
        <f t="shared" si="10"/>
        <v>100860.00609446675</v>
      </c>
      <c r="G226">
        <f t="shared" si="11"/>
        <v>105836.00609446675</v>
      </c>
    </row>
    <row r="227" spans="1:7" x14ac:dyDescent="0.2">
      <c r="A227">
        <v>2018</v>
      </c>
      <c r="B227" s="1" t="s">
        <v>326</v>
      </c>
      <c r="C227" s="1" t="s">
        <v>327</v>
      </c>
      <c r="D227" s="10">
        <v>1405</v>
      </c>
      <c r="E227" s="20">
        <f t="shared" si="9"/>
        <v>2.2073432102908384E-4</v>
      </c>
      <c r="F227">
        <f t="shared" si="10"/>
        <v>28478.357830129782</v>
      </c>
      <c r="G227">
        <f t="shared" si="11"/>
        <v>29883.357830129782</v>
      </c>
    </row>
    <row r="228" spans="1:7" x14ac:dyDescent="0.2">
      <c r="A228">
        <v>2018</v>
      </c>
      <c r="B228" s="1" t="s">
        <v>611</v>
      </c>
      <c r="C228" s="1" t="s">
        <v>328</v>
      </c>
      <c r="D228" s="1">
        <v>167</v>
      </c>
      <c r="E228" s="20">
        <f t="shared" si="9"/>
        <v>2.6236748478190035E-5</v>
      </c>
      <c r="F228">
        <f t="shared" si="10"/>
        <v>3384.9720694887351</v>
      </c>
      <c r="G228">
        <f t="shared" si="11"/>
        <v>3551.9720694887351</v>
      </c>
    </row>
    <row r="229" spans="1:7" x14ac:dyDescent="0.2">
      <c r="A229">
        <v>2018</v>
      </c>
      <c r="B229" s="1" t="s">
        <v>329</v>
      </c>
      <c r="C229" s="1" t="s">
        <v>330</v>
      </c>
      <c r="D229" s="10">
        <v>6249</v>
      </c>
      <c r="E229" s="20">
        <f t="shared" si="9"/>
        <v>9.8175713317490729E-4</v>
      </c>
      <c r="F229">
        <f t="shared" si="10"/>
        <v>126662.81713913237</v>
      </c>
      <c r="G229">
        <f t="shared" si="11"/>
        <v>132911.81713913236</v>
      </c>
    </row>
    <row r="230" spans="1:7" x14ac:dyDescent="0.2">
      <c r="A230">
        <v>2018</v>
      </c>
      <c r="B230" s="1" t="s">
        <v>612</v>
      </c>
      <c r="C230" s="1" t="s">
        <v>331</v>
      </c>
      <c r="D230" s="10">
        <v>6485</v>
      </c>
      <c r="E230" s="20">
        <f t="shared" si="9"/>
        <v>1.018834214856661E-3</v>
      </c>
      <c r="F230">
        <f t="shared" si="10"/>
        <v>131446.37048284101</v>
      </c>
      <c r="G230">
        <f t="shared" si="11"/>
        <v>137931.37048284101</v>
      </c>
    </row>
    <row r="231" spans="1:7" x14ac:dyDescent="0.2">
      <c r="A231">
        <v>2018</v>
      </c>
      <c r="B231" s="1" t="s">
        <v>332</v>
      </c>
      <c r="C231" s="1" t="s">
        <v>333</v>
      </c>
      <c r="D231" s="10">
        <v>5056</v>
      </c>
      <c r="E231" s="20">
        <f t="shared" si="9"/>
        <v>7.9432934314807677E-4</v>
      </c>
      <c r="F231">
        <f t="shared" si="10"/>
        <v>102481.54960080866</v>
      </c>
      <c r="G231">
        <f t="shared" si="11"/>
        <v>107537.54960080866</v>
      </c>
    </row>
    <row r="232" spans="1:7" x14ac:dyDescent="0.2">
      <c r="A232">
        <v>2018</v>
      </c>
      <c r="B232" s="1" t="s">
        <v>334</v>
      </c>
      <c r="C232" s="1" t="s">
        <v>335</v>
      </c>
      <c r="D232" s="10">
        <v>2211</v>
      </c>
      <c r="E232" s="20">
        <f t="shared" si="9"/>
        <v>3.4736198134897108E-4</v>
      </c>
      <c r="F232">
        <f t="shared" si="10"/>
        <v>44815.408656524516</v>
      </c>
      <c r="G232">
        <f t="shared" si="11"/>
        <v>47026.408656524516</v>
      </c>
    </row>
    <row r="233" spans="1:7" x14ac:dyDescent="0.2">
      <c r="A233">
        <v>2018</v>
      </c>
      <c r="B233" s="1" t="s">
        <v>613</v>
      </c>
      <c r="C233" s="1" t="s">
        <v>336</v>
      </c>
      <c r="D233" s="10">
        <v>4965</v>
      </c>
      <c r="E233" s="20">
        <f t="shared" si="9"/>
        <v>7.8003267182163787E-4</v>
      </c>
      <c r="F233">
        <f t="shared" si="10"/>
        <v>100637.04386234474</v>
      </c>
      <c r="G233">
        <f t="shared" si="11"/>
        <v>105602.04386234474</v>
      </c>
    </row>
    <row r="234" spans="1:7" x14ac:dyDescent="0.2">
      <c r="A234">
        <v>2018</v>
      </c>
      <c r="B234" s="1" t="s">
        <v>614</v>
      </c>
      <c r="C234" s="1" t="s">
        <v>338</v>
      </c>
      <c r="D234" s="10">
        <v>7118</v>
      </c>
      <c r="E234" s="20">
        <f t="shared" si="9"/>
        <v>1.118282489028483E-3</v>
      </c>
      <c r="F234">
        <f t="shared" si="10"/>
        <v>144276.83347677137</v>
      </c>
      <c r="G234">
        <f t="shared" si="11"/>
        <v>151394.83347677137</v>
      </c>
    </row>
    <row r="235" spans="1:7" x14ac:dyDescent="0.2">
      <c r="A235">
        <v>2018</v>
      </c>
      <c r="B235" s="1" t="s">
        <v>615</v>
      </c>
      <c r="C235" s="1" t="s">
        <v>340</v>
      </c>
      <c r="D235" s="10">
        <v>14182</v>
      </c>
      <c r="E235" s="20">
        <f t="shared" si="9"/>
        <v>2.2280812390280901E-3</v>
      </c>
      <c r="F235">
        <f t="shared" si="10"/>
        <v>287459.12508676189</v>
      </c>
      <c r="G235">
        <f t="shared" si="11"/>
        <v>301641.12508676189</v>
      </c>
    </row>
    <row r="236" spans="1:7" x14ac:dyDescent="0.2">
      <c r="A236">
        <v>2018</v>
      </c>
      <c r="B236" s="1" t="s">
        <v>616</v>
      </c>
      <c r="C236" s="1" t="s">
        <v>342</v>
      </c>
      <c r="D236" s="10">
        <v>1594</v>
      </c>
      <c r="E236" s="20">
        <f t="shared" si="9"/>
        <v>2.5042740763014921E-4</v>
      </c>
      <c r="F236">
        <f t="shared" si="10"/>
        <v>32309.254363862539</v>
      </c>
      <c r="G236">
        <f t="shared" si="11"/>
        <v>33903.254363862536</v>
      </c>
    </row>
    <row r="237" spans="1:7" x14ac:dyDescent="0.2">
      <c r="A237">
        <v>2018</v>
      </c>
      <c r="B237" s="1" t="s">
        <v>343</v>
      </c>
      <c r="C237" s="1" t="s">
        <v>344</v>
      </c>
      <c r="E237" s="20">
        <f t="shared" si="9"/>
        <v>0</v>
      </c>
      <c r="F237">
        <f t="shared" si="10"/>
        <v>0</v>
      </c>
      <c r="G237">
        <f t="shared" si="11"/>
        <v>0</v>
      </c>
    </row>
    <row r="238" spans="1:7" x14ac:dyDescent="0.2">
      <c r="A238">
        <v>2018</v>
      </c>
      <c r="B238" s="1" t="s">
        <v>345</v>
      </c>
      <c r="C238" s="1" t="s">
        <v>346</v>
      </c>
      <c r="D238" s="1">
        <v>716</v>
      </c>
      <c r="E238" s="20">
        <f t="shared" si="9"/>
        <v>1.1248809527176087E-4</v>
      </c>
      <c r="F238">
        <f t="shared" si="10"/>
        <v>14512.814381760087</v>
      </c>
      <c r="G238">
        <f t="shared" si="11"/>
        <v>15228.814381760087</v>
      </c>
    </row>
    <row r="239" spans="1:7" x14ac:dyDescent="0.2">
      <c r="A239">
        <v>2018</v>
      </c>
      <c r="B239" s="1" t="s">
        <v>347</v>
      </c>
      <c r="C239" s="1" t="s">
        <v>348</v>
      </c>
      <c r="D239" s="10">
        <v>1857</v>
      </c>
      <c r="E239" s="20">
        <f t="shared" si="9"/>
        <v>2.9174635882634067E-4</v>
      </c>
      <c r="F239">
        <f t="shared" si="10"/>
        <v>37640.078640961561</v>
      </c>
      <c r="G239">
        <f t="shared" si="11"/>
        <v>39497.078640961561</v>
      </c>
    </row>
    <row r="240" spans="1:7" x14ac:dyDescent="0.2">
      <c r="A240">
        <v>2018</v>
      </c>
      <c r="B240" s="1" t="s">
        <v>349</v>
      </c>
      <c r="C240" s="1" t="s">
        <v>350</v>
      </c>
      <c r="D240" s="10">
        <v>1200</v>
      </c>
      <c r="E240" s="20">
        <f t="shared" si="9"/>
        <v>1.8852753397501822E-4</v>
      </c>
      <c r="F240">
        <f t="shared" si="10"/>
        <v>24323.152595128638</v>
      </c>
      <c r="G240">
        <f t="shared" si="11"/>
        <v>25523.152595128638</v>
      </c>
    </row>
    <row r="241" spans="1:7" x14ac:dyDescent="0.2">
      <c r="A241">
        <v>2018</v>
      </c>
      <c r="B241" s="1" t="s">
        <v>617</v>
      </c>
      <c r="C241" s="1" t="s">
        <v>618</v>
      </c>
      <c r="E241" s="20">
        <f t="shared" si="9"/>
        <v>0</v>
      </c>
      <c r="F241">
        <f t="shared" si="10"/>
        <v>0</v>
      </c>
      <c r="G241">
        <f t="shared" si="11"/>
        <v>0</v>
      </c>
    </row>
    <row r="242" spans="1:7" x14ac:dyDescent="0.2">
      <c r="A242">
        <v>2018</v>
      </c>
      <c r="B242" s="1" t="s">
        <v>351</v>
      </c>
      <c r="C242" s="1" t="s">
        <v>352</v>
      </c>
      <c r="D242" s="10">
        <v>3272</v>
      </c>
      <c r="E242" s="20">
        <f t="shared" si="9"/>
        <v>5.1405174263854968E-4</v>
      </c>
      <c r="F242">
        <f t="shared" si="10"/>
        <v>66321.129409384084</v>
      </c>
      <c r="G242">
        <f t="shared" si="11"/>
        <v>69593.129409384084</v>
      </c>
    </row>
    <row r="243" spans="1:7" x14ac:dyDescent="0.2">
      <c r="A243">
        <v>2018</v>
      </c>
      <c r="B243" s="1" t="s">
        <v>353</v>
      </c>
      <c r="C243" s="1" t="s">
        <v>354</v>
      </c>
      <c r="D243" s="10">
        <v>7871</v>
      </c>
      <c r="E243" s="20">
        <f t="shared" si="9"/>
        <v>1.2365835165978069E-3</v>
      </c>
      <c r="F243">
        <f t="shared" si="10"/>
        <v>159539.61173021459</v>
      </c>
      <c r="G243">
        <f t="shared" si="11"/>
        <v>167410.61173021459</v>
      </c>
    </row>
    <row r="244" spans="1:7" x14ac:dyDescent="0.2">
      <c r="A244">
        <v>2018</v>
      </c>
      <c r="B244" s="1" t="s">
        <v>355</v>
      </c>
      <c r="C244" s="1" t="s">
        <v>356</v>
      </c>
      <c r="E244" s="20">
        <f t="shared" si="9"/>
        <v>0</v>
      </c>
      <c r="F244">
        <f t="shared" si="10"/>
        <v>0</v>
      </c>
      <c r="G244">
        <f t="shared" si="11"/>
        <v>0</v>
      </c>
    </row>
    <row r="245" spans="1:7" x14ac:dyDescent="0.2">
      <c r="A245">
        <v>2018</v>
      </c>
      <c r="B245" s="1" t="s">
        <v>619</v>
      </c>
      <c r="C245" s="1" t="s">
        <v>357</v>
      </c>
      <c r="E245" s="20">
        <f t="shared" si="9"/>
        <v>0</v>
      </c>
      <c r="F245">
        <f t="shared" si="10"/>
        <v>0</v>
      </c>
      <c r="G245">
        <f t="shared" si="11"/>
        <v>0</v>
      </c>
    </row>
    <row r="246" spans="1:7" x14ac:dyDescent="0.2">
      <c r="A246">
        <v>2018</v>
      </c>
      <c r="B246" s="1" t="s">
        <v>620</v>
      </c>
      <c r="C246" s="1" t="s">
        <v>358</v>
      </c>
      <c r="D246" s="1">
        <v>953</v>
      </c>
      <c r="E246" s="20">
        <f t="shared" si="9"/>
        <v>1.4972228323182696E-4</v>
      </c>
      <c r="F246">
        <f t="shared" si="10"/>
        <v>19316.637019297992</v>
      </c>
      <c r="G246">
        <f t="shared" si="11"/>
        <v>20269.637019297992</v>
      </c>
    </row>
    <row r="247" spans="1:7" x14ac:dyDescent="0.2">
      <c r="A247">
        <v>2018</v>
      </c>
      <c r="B247" s="1" t="s">
        <v>359</v>
      </c>
      <c r="C247" s="1" t="s">
        <v>360</v>
      </c>
      <c r="E247" s="20">
        <f t="shared" si="9"/>
        <v>0</v>
      </c>
      <c r="F247">
        <f t="shared" si="10"/>
        <v>0</v>
      </c>
      <c r="G247">
        <f t="shared" si="11"/>
        <v>0</v>
      </c>
    </row>
    <row r="248" spans="1:7" x14ac:dyDescent="0.2">
      <c r="A248">
        <v>2018</v>
      </c>
      <c r="B248" s="1" t="s">
        <v>361</v>
      </c>
      <c r="C248" s="1" t="s">
        <v>362</v>
      </c>
      <c r="D248" s="10">
        <v>13819</v>
      </c>
      <c r="E248" s="20">
        <f t="shared" si="9"/>
        <v>2.1710516600006472E-3</v>
      </c>
      <c r="F248">
        <f t="shared" si="10"/>
        <v>280101.37142673554</v>
      </c>
      <c r="G248">
        <f t="shared" si="11"/>
        <v>293920.37142673554</v>
      </c>
    </row>
    <row r="250" spans="1:7" x14ac:dyDescent="0.2">
      <c r="D250" s="1">
        <f>SUM(D2:D248)</f>
        <v>6365118</v>
      </c>
    </row>
    <row r="252" spans="1:7" x14ac:dyDescent="0.2">
      <c r="B252" s="1" t="s">
        <v>482</v>
      </c>
      <c r="C252" s="1" t="s">
        <v>1</v>
      </c>
      <c r="D252" s="10">
        <v>129016447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A77D-EF0C-A04D-BFB5-EC826A1834D9}">
  <sheetPr>
    <tabColor rgb="FFFFFF00"/>
  </sheetPr>
  <dimension ref="A1:G255"/>
  <sheetViews>
    <sheetView workbookViewId="0">
      <selection activeCell="F2" sqref="F2:G253"/>
    </sheetView>
  </sheetViews>
  <sheetFormatPr baseColWidth="10" defaultRowHeight="16" x14ac:dyDescent="0.2"/>
  <cols>
    <col min="2" max="2" width="38.6640625" style="1" bestFit="1" customWidth="1"/>
    <col min="3" max="3" width="13.5" style="1" bestFit="1" customWidth="1"/>
    <col min="4" max="4" width="18.83203125" style="1" bestFit="1" customWidth="1"/>
    <col min="5" max="5" width="10.83203125" style="1"/>
    <col min="6" max="6" width="17.1640625" bestFit="1" customWidth="1"/>
    <col min="7" max="7" width="16.83203125" bestFit="1" customWidth="1"/>
  </cols>
  <sheetData>
    <row r="1" spans="1:7" x14ac:dyDescent="0.2">
      <c r="A1" t="s">
        <v>639</v>
      </c>
      <c r="B1" s="1" t="s">
        <v>634</v>
      </c>
      <c r="C1" s="1" t="s">
        <v>364</v>
      </c>
      <c r="D1" s="1" t="s">
        <v>363</v>
      </c>
      <c r="F1" s="1" t="s">
        <v>637</v>
      </c>
      <c r="G1" s="1" t="s">
        <v>638</v>
      </c>
    </row>
    <row r="2" spans="1:7" x14ac:dyDescent="0.2">
      <c r="A2">
        <v>2019</v>
      </c>
      <c r="B2" s="1" t="s">
        <v>2</v>
      </c>
      <c r="C2" s="1" t="s">
        <v>3</v>
      </c>
      <c r="D2" s="22"/>
      <c r="E2" s="24">
        <f>D2/$D$253</f>
        <v>0</v>
      </c>
      <c r="F2" s="25">
        <f>E2*$D$255</f>
        <v>0</v>
      </c>
      <c r="G2" s="23">
        <f>SUM(F2,D2)</f>
        <v>0</v>
      </c>
    </row>
    <row r="3" spans="1:7" x14ac:dyDescent="0.2">
      <c r="A3">
        <v>2019</v>
      </c>
      <c r="B3" s="1" t="s">
        <v>4</v>
      </c>
      <c r="C3" s="1" t="s">
        <v>5</v>
      </c>
      <c r="D3" s="22"/>
      <c r="E3" s="24">
        <f t="shared" ref="E3:E66" si="0">D3/$D$253</f>
        <v>0</v>
      </c>
      <c r="F3" s="25">
        <f t="shared" ref="F3:F66" si="1">E3*$D$255</f>
        <v>0</v>
      </c>
      <c r="G3" s="23">
        <f t="shared" ref="G3:G66" si="2">SUM(F3,D3)</f>
        <v>0</v>
      </c>
    </row>
    <row r="4" spans="1:7" x14ac:dyDescent="0.2">
      <c r="A4">
        <v>2019</v>
      </c>
      <c r="B4" s="1" t="s">
        <v>6</v>
      </c>
      <c r="C4" s="1" t="s">
        <v>7</v>
      </c>
      <c r="D4" s="22">
        <v>7782</v>
      </c>
      <c r="E4" s="24">
        <f t="shared" si="0"/>
        <v>1.2576668873213214E-3</v>
      </c>
      <c r="F4" s="25">
        <f t="shared" si="1"/>
        <v>166721.85128695102</v>
      </c>
      <c r="G4" s="23">
        <f t="shared" si="2"/>
        <v>174503.85128695102</v>
      </c>
    </row>
    <row r="5" spans="1:7" x14ac:dyDescent="0.2">
      <c r="A5">
        <v>2019</v>
      </c>
      <c r="B5" s="1" t="s">
        <v>8</v>
      </c>
      <c r="C5" s="1" t="s">
        <v>9</v>
      </c>
      <c r="D5" s="22">
        <v>1945</v>
      </c>
      <c r="E5" s="24">
        <f t="shared" si="0"/>
        <v>3.1433591568234002E-4</v>
      </c>
      <c r="F5" s="25">
        <f t="shared" si="1"/>
        <v>41669.750803536335</v>
      </c>
      <c r="G5" s="23">
        <f t="shared" si="2"/>
        <v>43614.750803536335</v>
      </c>
    </row>
    <row r="6" spans="1:7" x14ac:dyDescent="0.2">
      <c r="A6">
        <v>2019</v>
      </c>
      <c r="B6" s="1" t="s">
        <v>483</v>
      </c>
      <c r="C6" s="1" t="s">
        <v>10</v>
      </c>
      <c r="D6" s="22">
        <v>26369</v>
      </c>
      <c r="E6" s="24">
        <f t="shared" si="0"/>
        <v>4.2615546327134319E-3</v>
      </c>
      <c r="F6" s="25">
        <f t="shared" si="1"/>
        <v>564930.41590665793</v>
      </c>
      <c r="G6" s="23">
        <f t="shared" si="2"/>
        <v>591299.41590665793</v>
      </c>
    </row>
    <row r="7" spans="1:7" x14ac:dyDescent="0.2">
      <c r="A7">
        <v>2019</v>
      </c>
      <c r="B7" s="1" t="s">
        <v>484</v>
      </c>
      <c r="C7" s="1" t="s">
        <v>11</v>
      </c>
      <c r="D7" s="22">
        <v>6981</v>
      </c>
      <c r="E7" s="24">
        <f t="shared" si="0"/>
        <v>1.1282154382408307E-3</v>
      </c>
      <c r="F7" s="25">
        <f t="shared" si="1"/>
        <v>149561.19812827103</v>
      </c>
      <c r="G7" s="23">
        <f t="shared" si="2"/>
        <v>156542.19812827103</v>
      </c>
    </row>
    <row r="8" spans="1:7" x14ac:dyDescent="0.2">
      <c r="A8">
        <v>2019</v>
      </c>
      <c r="B8" s="1" t="s">
        <v>12</v>
      </c>
      <c r="C8" s="1" t="s">
        <v>13</v>
      </c>
      <c r="D8" s="22"/>
      <c r="E8" s="24">
        <f t="shared" si="0"/>
        <v>0</v>
      </c>
      <c r="F8" s="25">
        <f t="shared" si="1"/>
        <v>0</v>
      </c>
      <c r="G8" s="23">
        <f t="shared" si="2"/>
        <v>0</v>
      </c>
    </row>
    <row r="9" spans="1:7" x14ac:dyDescent="0.2">
      <c r="A9">
        <v>2019</v>
      </c>
      <c r="B9" s="1" t="s">
        <v>14</v>
      </c>
      <c r="C9" s="1" t="s">
        <v>15</v>
      </c>
      <c r="D9" s="22"/>
      <c r="E9" s="24">
        <f t="shared" si="0"/>
        <v>0</v>
      </c>
      <c r="F9" s="25">
        <f t="shared" si="1"/>
        <v>0</v>
      </c>
      <c r="G9" s="23">
        <f t="shared" si="2"/>
        <v>0</v>
      </c>
    </row>
    <row r="10" spans="1:7" x14ac:dyDescent="0.2">
      <c r="A10">
        <v>2019</v>
      </c>
      <c r="B10" s="1" t="s">
        <v>16</v>
      </c>
      <c r="C10" s="1" t="s">
        <v>17</v>
      </c>
      <c r="D10" s="22"/>
      <c r="E10" s="24">
        <f t="shared" si="0"/>
        <v>0</v>
      </c>
      <c r="F10" s="25">
        <f t="shared" si="1"/>
        <v>0</v>
      </c>
      <c r="G10" s="23">
        <f t="shared" si="2"/>
        <v>0</v>
      </c>
    </row>
    <row r="11" spans="1:7" x14ac:dyDescent="0.2">
      <c r="A11">
        <v>2019</v>
      </c>
      <c r="B11" s="1" t="s">
        <v>18</v>
      </c>
      <c r="C11" s="1" t="s">
        <v>19</v>
      </c>
      <c r="D11" s="22"/>
      <c r="E11" s="24">
        <f t="shared" si="0"/>
        <v>0</v>
      </c>
      <c r="F11" s="25">
        <f t="shared" si="1"/>
        <v>0</v>
      </c>
      <c r="G11" s="23">
        <f t="shared" si="2"/>
        <v>0</v>
      </c>
    </row>
    <row r="12" spans="1:7" x14ac:dyDescent="0.2">
      <c r="A12">
        <v>2019</v>
      </c>
      <c r="B12" s="1" t="s">
        <v>20</v>
      </c>
      <c r="C12" s="1" t="s">
        <v>21</v>
      </c>
      <c r="D12" s="22"/>
      <c r="E12" s="24">
        <f t="shared" si="0"/>
        <v>0</v>
      </c>
      <c r="F12" s="25">
        <f t="shared" si="1"/>
        <v>0</v>
      </c>
      <c r="G12" s="23">
        <f t="shared" si="2"/>
        <v>0</v>
      </c>
    </row>
    <row r="13" spans="1:7" x14ac:dyDescent="0.2">
      <c r="A13">
        <v>2019</v>
      </c>
      <c r="B13" s="1" t="s">
        <v>22</v>
      </c>
      <c r="C13" s="1" t="s">
        <v>23</v>
      </c>
      <c r="D13" s="22"/>
      <c r="E13" s="24">
        <f t="shared" si="0"/>
        <v>0</v>
      </c>
      <c r="F13" s="25">
        <f t="shared" si="1"/>
        <v>0</v>
      </c>
      <c r="G13" s="23">
        <f t="shared" si="2"/>
        <v>0</v>
      </c>
    </row>
    <row r="14" spans="1:7" x14ac:dyDescent="0.2">
      <c r="A14">
        <v>2019</v>
      </c>
      <c r="B14" s="1" t="s">
        <v>24</v>
      </c>
      <c r="C14" s="1" t="s">
        <v>25</v>
      </c>
      <c r="D14" s="22"/>
      <c r="E14" s="24">
        <f t="shared" si="0"/>
        <v>0</v>
      </c>
      <c r="F14" s="25">
        <f t="shared" si="1"/>
        <v>0</v>
      </c>
      <c r="G14" s="23">
        <f t="shared" si="2"/>
        <v>0</v>
      </c>
    </row>
    <row r="15" spans="1:7" x14ac:dyDescent="0.2">
      <c r="A15">
        <v>2019</v>
      </c>
      <c r="B15" s="1" t="s">
        <v>26</v>
      </c>
      <c r="C15" s="1" t="s">
        <v>27</v>
      </c>
      <c r="D15" s="22"/>
      <c r="E15" s="24">
        <f t="shared" si="0"/>
        <v>0</v>
      </c>
      <c r="F15" s="25">
        <f t="shared" si="1"/>
        <v>0</v>
      </c>
      <c r="G15" s="23">
        <f t="shared" si="2"/>
        <v>0</v>
      </c>
    </row>
    <row r="16" spans="1:7" x14ac:dyDescent="0.2">
      <c r="A16">
        <v>2019</v>
      </c>
      <c r="B16" s="1" t="s">
        <v>28</v>
      </c>
      <c r="C16" s="1" t="s">
        <v>29</v>
      </c>
      <c r="D16" s="22"/>
      <c r="E16" s="24">
        <f t="shared" si="0"/>
        <v>0</v>
      </c>
      <c r="F16" s="25">
        <f t="shared" si="1"/>
        <v>0</v>
      </c>
      <c r="G16" s="23">
        <f t="shared" si="2"/>
        <v>0</v>
      </c>
    </row>
    <row r="17" spans="1:7" x14ac:dyDescent="0.2">
      <c r="A17">
        <v>2019</v>
      </c>
      <c r="B17" s="1" t="s">
        <v>30</v>
      </c>
      <c r="C17" s="1" t="s">
        <v>31</v>
      </c>
      <c r="D17" s="22"/>
      <c r="E17" s="24">
        <f t="shared" si="0"/>
        <v>0</v>
      </c>
      <c r="F17" s="25">
        <f t="shared" si="1"/>
        <v>0</v>
      </c>
      <c r="G17" s="23">
        <f t="shared" si="2"/>
        <v>0</v>
      </c>
    </row>
    <row r="18" spans="1:7" x14ac:dyDescent="0.2">
      <c r="A18">
        <v>2019</v>
      </c>
      <c r="B18" s="1" t="s">
        <v>32</v>
      </c>
      <c r="C18" s="1" t="s">
        <v>33</v>
      </c>
      <c r="D18" s="22">
        <v>5858</v>
      </c>
      <c r="E18" s="24">
        <f t="shared" si="0"/>
        <v>9.4672482985457484E-4</v>
      </c>
      <c r="F18" s="25">
        <f t="shared" si="1"/>
        <v>125502.00524787448</v>
      </c>
      <c r="G18" s="23">
        <f t="shared" si="2"/>
        <v>131360.00524787448</v>
      </c>
    </row>
    <row r="19" spans="1:7" x14ac:dyDescent="0.2">
      <c r="A19">
        <v>2019</v>
      </c>
      <c r="B19" s="1" t="s">
        <v>485</v>
      </c>
      <c r="C19" s="1" t="s">
        <v>486</v>
      </c>
      <c r="D19" s="22">
        <v>3084</v>
      </c>
      <c r="E19" s="24">
        <f t="shared" si="0"/>
        <v>4.9841232080428618E-4</v>
      </c>
      <c r="F19" s="25">
        <f t="shared" si="1"/>
        <v>66071.728266378428</v>
      </c>
      <c r="G19" s="23">
        <f t="shared" si="2"/>
        <v>69155.728266378428</v>
      </c>
    </row>
    <row r="20" spans="1:7" x14ac:dyDescent="0.2">
      <c r="A20">
        <v>2019</v>
      </c>
      <c r="B20" s="1" t="s">
        <v>34</v>
      </c>
      <c r="C20" s="1" t="s">
        <v>35</v>
      </c>
      <c r="D20" s="22">
        <v>6820</v>
      </c>
      <c r="E20" s="24">
        <f t="shared" si="0"/>
        <v>1.1021958585879482E-3</v>
      </c>
      <c r="F20" s="25">
        <f t="shared" si="1"/>
        <v>146111.92826741276</v>
      </c>
      <c r="G20" s="23">
        <f t="shared" si="2"/>
        <v>152931.92826741276</v>
      </c>
    </row>
    <row r="21" spans="1:7" x14ac:dyDescent="0.2">
      <c r="A21">
        <v>2019</v>
      </c>
      <c r="B21" s="1" t="s">
        <v>36</v>
      </c>
      <c r="C21" s="1" t="s">
        <v>37</v>
      </c>
      <c r="D21" s="22">
        <v>137736</v>
      </c>
      <c r="E21" s="24">
        <f t="shared" si="0"/>
        <v>2.2259831199189093E-2</v>
      </c>
      <c r="F21" s="25">
        <f t="shared" si="1"/>
        <v>2950861.0779824578</v>
      </c>
      <c r="G21" s="23">
        <f t="shared" si="2"/>
        <v>3088597.0779824578</v>
      </c>
    </row>
    <row r="22" spans="1:7" x14ac:dyDescent="0.2">
      <c r="A22">
        <v>2019</v>
      </c>
      <c r="B22" s="1" t="s">
        <v>38</v>
      </c>
      <c r="C22" s="1" t="s">
        <v>39</v>
      </c>
      <c r="D22" s="22">
        <v>127715</v>
      </c>
      <c r="E22" s="24">
        <f t="shared" si="0"/>
        <v>2.0640314381167126E-2</v>
      </c>
      <c r="F22" s="25">
        <f t="shared" si="1"/>
        <v>2736170.8091895338</v>
      </c>
      <c r="G22" s="23">
        <f t="shared" si="2"/>
        <v>2863885.8091895338</v>
      </c>
    </row>
    <row r="23" spans="1:7" x14ac:dyDescent="0.2">
      <c r="A23">
        <v>2019</v>
      </c>
      <c r="B23" s="1" t="s">
        <v>40</v>
      </c>
      <c r="C23" s="1" t="s">
        <v>41</v>
      </c>
      <c r="D23" s="22">
        <v>202991</v>
      </c>
      <c r="E23" s="24">
        <f t="shared" si="0"/>
        <v>3.2805841573405596E-2</v>
      </c>
      <c r="F23" s="25">
        <f t="shared" si="1"/>
        <v>4348886.5734502021</v>
      </c>
      <c r="G23" s="23">
        <f t="shared" si="2"/>
        <v>4551877.5734502021</v>
      </c>
    </row>
    <row r="24" spans="1:7" x14ac:dyDescent="0.2">
      <c r="A24">
        <v>2019</v>
      </c>
      <c r="B24" s="1" t="s">
        <v>42</v>
      </c>
      <c r="C24" s="1" t="s">
        <v>43</v>
      </c>
      <c r="D24" s="22">
        <v>78470</v>
      </c>
      <c r="E24" s="24">
        <f t="shared" si="0"/>
        <v>1.2681716865600628E-2</v>
      </c>
      <c r="F24" s="25">
        <f t="shared" si="1"/>
        <v>1681144.1365313604</v>
      </c>
      <c r="G24" s="23">
        <f t="shared" si="2"/>
        <v>1759614.1365313604</v>
      </c>
    </row>
    <row r="25" spans="1:7" x14ac:dyDescent="0.2">
      <c r="A25">
        <v>2019</v>
      </c>
      <c r="B25" s="1" t="s">
        <v>44</v>
      </c>
      <c r="C25" s="1" t="s">
        <v>45</v>
      </c>
      <c r="D25" s="22">
        <v>29387</v>
      </c>
      <c r="E25" s="24">
        <f t="shared" si="0"/>
        <v>4.7493005419829955E-3</v>
      </c>
      <c r="F25" s="25">
        <f t="shared" si="1"/>
        <v>629588.15777044848</v>
      </c>
      <c r="G25" s="23">
        <f t="shared" si="2"/>
        <v>658975.15777044848</v>
      </c>
    </row>
    <row r="26" spans="1:7" x14ac:dyDescent="0.2">
      <c r="A26">
        <v>2019</v>
      </c>
      <c r="B26" s="1" t="s">
        <v>46</v>
      </c>
      <c r="C26" s="1" t="s">
        <v>47</v>
      </c>
      <c r="D26" s="22">
        <v>33599</v>
      </c>
      <c r="E26" s="24">
        <f t="shared" si="0"/>
        <v>5.4300115326534415E-3</v>
      </c>
      <c r="F26" s="25">
        <f t="shared" si="1"/>
        <v>719826.1990992378</v>
      </c>
      <c r="G26" s="23">
        <f t="shared" si="2"/>
        <v>753425.1990992378</v>
      </c>
    </row>
    <row r="27" spans="1:7" x14ac:dyDescent="0.2">
      <c r="A27">
        <v>2019</v>
      </c>
      <c r="B27" s="1" t="s">
        <v>48</v>
      </c>
      <c r="C27" s="1" t="s">
        <v>49</v>
      </c>
      <c r="D27" s="22">
        <v>18582</v>
      </c>
      <c r="E27" s="24">
        <f t="shared" si="0"/>
        <v>3.0030796839122069E-3</v>
      </c>
      <c r="F27" s="25">
        <f t="shared" si="1"/>
        <v>398101.44443769264</v>
      </c>
      <c r="G27" s="23">
        <f t="shared" si="2"/>
        <v>416683.44443769264</v>
      </c>
    </row>
    <row r="28" spans="1:7" x14ac:dyDescent="0.2">
      <c r="A28">
        <v>2019</v>
      </c>
      <c r="B28" s="1" t="s">
        <v>50</v>
      </c>
      <c r="C28" s="1" t="s">
        <v>51</v>
      </c>
      <c r="D28" s="22">
        <v>1785</v>
      </c>
      <c r="E28" s="24">
        <f t="shared" si="0"/>
        <v>2.8847794832543802E-4</v>
      </c>
      <c r="F28" s="25">
        <f t="shared" si="1"/>
        <v>38241.9049790809</v>
      </c>
      <c r="G28" s="23">
        <f t="shared" si="2"/>
        <v>40026.9049790809</v>
      </c>
    </row>
    <row r="29" spans="1:7" x14ac:dyDescent="0.2">
      <c r="A29">
        <v>2019</v>
      </c>
      <c r="B29" s="1" t="s">
        <v>52</v>
      </c>
      <c r="C29" s="1" t="s">
        <v>53</v>
      </c>
      <c r="D29" s="22">
        <v>23281</v>
      </c>
      <c r="E29" s="24">
        <f t="shared" si="0"/>
        <v>3.7624958627252231E-3</v>
      </c>
      <c r="F29" s="25">
        <f t="shared" si="1"/>
        <v>498772.99149466812</v>
      </c>
      <c r="G29" s="23">
        <f t="shared" si="2"/>
        <v>522053.99149466812</v>
      </c>
    </row>
    <row r="30" spans="1:7" x14ac:dyDescent="0.2">
      <c r="A30">
        <v>2019</v>
      </c>
      <c r="B30" s="1" t="s">
        <v>54</v>
      </c>
      <c r="C30" s="1" t="s">
        <v>55</v>
      </c>
      <c r="D30" s="22"/>
      <c r="E30" s="24">
        <f t="shared" si="0"/>
        <v>0</v>
      </c>
      <c r="F30" s="25">
        <f t="shared" si="1"/>
        <v>0</v>
      </c>
      <c r="G30" s="23">
        <f t="shared" si="2"/>
        <v>0</v>
      </c>
    </row>
    <row r="31" spans="1:7" x14ac:dyDescent="0.2">
      <c r="A31">
        <v>2019</v>
      </c>
      <c r="B31" s="1" t="s">
        <v>56</v>
      </c>
      <c r="C31" s="1" t="s">
        <v>57</v>
      </c>
      <c r="D31" s="22">
        <v>3135</v>
      </c>
      <c r="E31" s="24">
        <f t="shared" si="0"/>
        <v>5.0665454789929878E-4</v>
      </c>
      <c r="F31" s="25">
        <f t="shared" si="1"/>
        <v>67164.354122923614</v>
      </c>
      <c r="G31" s="23">
        <f t="shared" si="2"/>
        <v>70299.354122923614</v>
      </c>
    </row>
    <row r="32" spans="1:7" x14ac:dyDescent="0.2">
      <c r="A32">
        <v>2019</v>
      </c>
      <c r="B32" s="1" t="s">
        <v>58</v>
      </c>
      <c r="C32" s="1" t="s">
        <v>59</v>
      </c>
      <c r="D32" s="22">
        <v>3465</v>
      </c>
      <c r="E32" s="24">
        <f t="shared" si="0"/>
        <v>5.5998660557290915E-4</v>
      </c>
      <c r="F32" s="25">
        <f t="shared" si="1"/>
        <v>74234.286135862931</v>
      </c>
      <c r="G32" s="23">
        <f t="shared" si="2"/>
        <v>77699.286135862931</v>
      </c>
    </row>
    <row r="33" spans="1:7" x14ac:dyDescent="0.2">
      <c r="A33">
        <v>2019</v>
      </c>
      <c r="B33" s="1" t="s">
        <v>60</v>
      </c>
      <c r="C33" s="1" t="s">
        <v>61</v>
      </c>
      <c r="D33" s="22"/>
      <c r="E33" s="24">
        <f t="shared" si="0"/>
        <v>0</v>
      </c>
      <c r="F33" s="25">
        <f t="shared" si="1"/>
        <v>0</v>
      </c>
      <c r="G33" s="23">
        <f t="shared" si="2"/>
        <v>0</v>
      </c>
    </row>
    <row r="34" spans="1:7" x14ac:dyDescent="0.2">
      <c r="A34">
        <v>2019</v>
      </c>
      <c r="B34" s="1" t="s">
        <v>62</v>
      </c>
      <c r="C34" s="1" t="s">
        <v>63</v>
      </c>
      <c r="D34" s="22">
        <v>40465</v>
      </c>
      <c r="E34" s="24">
        <f t="shared" si="0"/>
        <v>6.539641556856499E-3</v>
      </c>
      <c r="F34" s="25">
        <f t="shared" si="1"/>
        <v>866923.63304118149</v>
      </c>
      <c r="G34" s="23">
        <f t="shared" si="2"/>
        <v>907388.63304118149</v>
      </c>
    </row>
    <row r="35" spans="1:7" x14ac:dyDescent="0.2">
      <c r="A35">
        <v>2019</v>
      </c>
      <c r="B35" s="1" t="s">
        <v>64</v>
      </c>
      <c r="C35" s="1" t="s">
        <v>65</v>
      </c>
      <c r="D35" s="22">
        <v>11306</v>
      </c>
      <c r="E35" s="24">
        <f t="shared" si="0"/>
        <v>1.8271886183570882E-3</v>
      </c>
      <c r="F35" s="25">
        <f t="shared" si="1"/>
        <v>242220.1555705819</v>
      </c>
      <c r="G35" s="23">
        <f t="shared" si="2"/>
        <v>253526.1555705819</v>
      </c>
    </row>
    <row r="36" spans="1:7" x14ac:dyDescent="0.2">
      <c r="A36">
        <v>2019</v>
      </c>
      <c r="B36" s="1" t="s">
        <v>66</v>
      </c>
      <c r="C36" s="1" t="s">
        <v>67</v>
      </c>
      <c r="D36" s="22">
        <v>6238</v>
      </c>
      <c r="E36" s="24">
        <f t="shared" si="0"/>
        <v>1.008137502327217E-3</v>
      </c>
      <c r="F36" s="25">
        <f t="shared" si="1"/>
        <v>133643.13908095611</v>
      </c>
      <c r="G36" s="23">
        <f t="shared" si="2"/>
        <v>139881.13908095611</v>
      </c>
    </row>
    <row r="37" spans="1:7" x14ac:dyDescent="0.2">
      <c r="A37">
        <v>2019</v>
      </c>
      <c r="B37" s="1" t="s">
        <v>68</v>
      </c>
      <c r="C37" s="1" t="s">
        <v>69</v>
      </c>
      <c r="D37" s="22">
        <v>8211</v>
      </c>
      <c r="E37" s="24">
        <f t="shared" si="0"/>
        <v>1.326998562297015E-3</v>
      </c>
      <c r="F37" s="25">
        <f t="shared" si="1"/>
        <v>175912.76290377215</v>
      </c>
      <c r="G37" s="23">
        <f t="shared" si="2"/>
        <v>184123.76290377215</v>
      </c>
    </row>
    <row r="38" spans="1:7" x14ac:dyDescent="0.2">
      <c r="A38">
        <v>2019</v>
      </c>
      <c r="B38" s="1" t="s">
        <v>70</v>
      </c>
      <c r="C38" s="1" t="s">
        <v>71</v>
      </c>
      <c r="D38" s="22">
        <v>2184</v>
      </c>
      <c r="E38" s="24">
        <f t="shared" si="0"/>
        <v>3.5296125442171243E-4</v>
      </c>
      <c r="F38" s="25">
        <f t="shared" si="1"/>
        <v>46790.095503816636</v>
      </c>
      <c r="G38" s="23">
        <f t="shared" si="2"/>
        <v>48974.095503816636</v>
      </c>
    </row>
    <row r="39" spans="1:7" x14ac:dyDescent="0.2">
      <c r="A39">
        <v>2019</v>
      </c>
      <c r="B39" s="1" t="s">
        <v>72</v>
      </c>
      <c r="C39" s="1" t="s">
        <v>73</v>
      </c>
      <c r="D39" s="22">
        <v>8316</v>
      </c>
      <c r="E39" s="24">
        <f t="shared" si="0"/>
        <v>1.343967853374982E-3</v>
      </c>
      <c r="F39" s="25">
        <f t="shared" si="1"/>
        <v>178162.28672607103</v>
      </c>
      <c r="G39" s="23">
        <f t="shared" si="2"/>
        <v>186478.28672607103</v>
      </c>
    </row>
    <row r="40" spans="1:7" x14ac:dyDescent="0.2">
      <c r="A40">
        <v>2019</v>
      </c>
      <c r="B40" s="1" t="s">
        <v>74</v>
      </c>
      <c r="C40" s="1" t="s">
        <v>75</v>
      </c>
      <c r="D40" s="22">
        <v>40776</v>
      </c>
      <c r="E40" s="24">
        <f t="shared" si="0"/>
        <v>6.5899029809064766E-3</v>
      </c>
      <c r="F40" s="25">
        <f t="shared" si="1"/>
        <v>873586.50836246659</v>
      </c>
      <c r="G40" s="23">
        <f t="shared" si="2"/>
        <v>914362.50836246659</v>
      </c>
    </row>
    <row r="41" spans="1:7" x14ac:dyDescent="0.2">
      <c r="A41">
        <v>2019</v>
      </c>
      <c r="B41" s="1" t="s">
        <v>76</v>
      </c>
      <c r="C41" s="1" t="s">
        <v>77</v>
      </c>
      <c r="D41" s="22">
        <v>9444</v>
      </c>
      <c r="E41" s="24">
        <f t="shared" si="0"/>
        <v>1.526266523241141E-3</v>
      </c>
      <c r="F41" s="25">
        <f t="shared" si="1"/>
        <v>202328.59978848184</v>
      </c>
      <c r="G41" s="23">
        <f t="shared" si="2"/>
        <v>211772.59978848184</v>
      </c>
    </row>
    <row r="42" spans="1:7" x14ac:dyDescent="0.2">
      <c r="A42">
        <v>2019</v>
      </c>
      <c r="B42" s="1" t="s">
        <v>78</v>
      </c>
      <c r="C42" s="1" t="s">
        <v>79</v>
      </c>
      <c r="D42" s="22">
        <v>19260</v>
      </c>
      <c r="E42" s="24">
        <f t="shared" si="0"/>
        <v>3.1126528205870792E-3</v>
      </c>
      <c r="F42" s="25">
        <f t="shared" si="1"/>
        <v>412626.94111882255</v>
      </c>
      <c r="G42" s="23">
        <f t="shared" si="2"/>
        <v>431886.94111882255</v>
      </c>
    </row>
    <row r="43" spans="1:7" x14ac:dyDescent="0.2">
      <c r="A43">
        <v>2019</v>
      </c>
      <c r="B43" s="1" t="s">
        <v>80</v>
      </c>
      <c r="C43" s="1" t="s">
        <v>81</v>
      </c>
      <c r="D43" s="22">
        <v>2039</v>
      </c>
      <c r="E43" s="24">
        <f t="shared" si="0"/>
        <v>3.2952747150451998E-4</v>
      </c>
      <c r="F43" s="25">
        <f t="shared" si="1"/>
        <v>43683.6102254039</v>
      </c>
      <c r="G43" s="23">
        <f t="shared" si="2"/>
        <v>45722.6102254039</v>
      </c>
    </row>
    <row r="44" spans="1:7" x14ac:dyDescent="0.2">
      <c r="A44">
        <v>2019</v>
      </c>
      <c r="B44" s="1" t="s">
        <v>82</v>
      </c>
      <c r="C44" s="1" t="s">
        <v>83</v>
      </c>
      <c r="D44" s="22">
        <v>30474</v>
      </c>
      <c r="E44" s="24">
        <f t="shared" si="0"/>
        <v>4.9249731077139489E-3</v>
      </c>
      <c r="F44" s="25">
        <f t="shared" si="1"/>
        <v>652876.0853403426</v>
      </c>
      <c r="G44" s="23">
        <f t="shared" si="2"/>
        <v>683350.0853403426</v>
      </c>
    </row>
    <row r="45" spans="1:7" x14ac:dyDescent="0.2">
      <c r="A45">
        <v>2019</v>
      </c>
      <c r="B45" s="1" t="s">
        <v>84</v>
      </c>
      <c r="C45" s="1" t="s">
        <v>85</v>
      </c>
      <c r="D45" s="22">
        <v>3419</v>
      </c>
      <c r="E45" s="24">
        <f t="shared" si="0"/>
        <v>5.5255243995779978E-4</v>
      </c>
      <c r="F45" s="25">
        <f t="shared" si="1"/>
        <v>73248.780461331989</v>
      </c>
      <c r="G45" s="23">
        <f t="shared" si="2"/>
        <v>76667.780461331989</v>
      </c>
    </row>
    <row r="46" spans="1:7" x14ac:dyDescent="0.2">
      <c r="A46">
        <v>2019</v>
      </c>
      <c r="B46" s="1" t="s">
        <v>86</v>
      </c>
      <c r="C46" s="1" t="s">
        <v>87</v>
      </c>
      <c r="D46" s="22">
        <v>358678</v>
      </c>
      <c r="E46" s="24">
        <f t="shared" si="0"/>
        <v>5.7966775097743117E-2</v>
      </c>
      <c r="F46" s="25">
        <f t="shared" si="1"/>
        <v>7684330.5289001577</v>
      </c>
      <c r="G46" s="23">
        <f t="shared" si="2"/>
        <v>8043008.5289001577</v>
      </c>
    </row>
    <row r="47" spans="1:7" x14ac:dyDescent="0.2">
      <c r="A47">
        <v>2019</v>
      </c>
      <c r="B47" s="1" t="s">
        <v>88</v>
      </c>
      <c r="C47" s="1" t="s">
        <v>89</v>
      </c>
      <c r="D47" s="22">
        <v>6197</v>
      </c>
      <c r="E47" s="24">
        <f t="shared" si="0"/>
        <v>1.0015113981920109E-3</v>
      </c>
      <c r="F47" s="25">
        <f t="shared" si="1"/>
        <v>132764.75358843943</v>
      </c>
      <c r="G47" s="23">
        <f t="shared" si="2"/>
        <v>138961.75358843943</v>
      </c>
    </row>
    <row r="48" spans="1:7" x14ac:dyDescent="0.2">
      <c r="A48">
        <v>2019</v>
      </c>
      <c r="B48" s="1" t="s">
        <v>90</v>
      </c>
      <c r="C48" s="1" t="s">
        <v>91</v>
      </c>
      <c r="D48" s="22">
        <v>41514</v>
      </c>
      <c r="E48" s="24">
        <f t="shared" si="0"/>
        <v>6.7091728553401878E-3</v>
      </c>
      <c r="F48" s="25">
        <f t="shared" si="1"/>
        <v>889397.44722776732</v>
      </c>
      <c r="G48" s="23">
        <f t="shared" si="2"/>
        <v>930911.44722776732</v>
      </c>
    </row>
    <row r="49" spans="1:7" x14ac:dyDescent="0.2">
      <c r="A49">
        <v>2019</v>
      </c>
      <c r="B49" s="1" t="s">
        <v>92</v>
      </c>
      <c r="C49" s="1" t="s">
        <v>93</v>
      </c>
      <c r="D49" s="22"/>
      <c r="E49" s="24">
        <f t="shared" si="0"/>
        <v>0</v>
      </c>
      <c r="F49" s="25">
        <f t="shared" si="1"/>
        <v>0</v>
      </c>
      <c r="G49" s="23">
        <f t="shared" si="2"/>
        <v>0</v>
      </c>
    </row>
    <row r="50" spans="1:7" x14ac:dyDescent="0.2">
      <c r="A50">
        <v>2019</v>
      </c>
      <c r="B50" s="1" t="s">
        <v>94</v>
      </c>
      <c r="C50" s="1" t="s">
        <v>95</v>
      </c>
      <c r="D50" s="22">
        <v>17324</v>
      </c>
      <c r="E50" s="24">
        <f t="shared" si="0"/>
        <v>2.7997714155685652E-3</v>
      </c>
      <c r="F50" s="25">
        <f t="shared" si="1"/>
        <v>371150.00664291182</v>
      </c>
      <c r="G50" s="23">
        <f t="shared" si="2"/>
        <v>388474.00664291182</v>
      </c>
    </row>
    <row r="51" spans="1:7" x14ac:dyDescent="0.2">
      <c r="A51">
        <v>2019</v>
      </c>
      <c r="B51" s="1" t="s">
        <v>96</v>
      </c>
      <c r="C51" s="1" t="s">
        <v>97</v>
      </c>
      <c r="D51" s="22">
        <v>7976</v>
      </c>
      <c r="E51" s="24">
        <f t="shared" si="0"/>
        <v>1.2890196727415651E-3</v>
      </c>
      <c r="F51" s="25">
        <f t="shared" si="1"/>
        <v>170878.11434910324</v>
      </c>
      <c r="G51" s="23">
        <f t="shared" si="2"/>
        <v>178854.11434910324</v>
      </c>
    </row>
    <row r="52" spans="1:7" x14ac:dyDescent="0.2">
      <c r="A52">
        <v>2019</v>
      </c>
      <c r="B52" s="1" t="s">
        <v>487</v>
      </c>
      <c r="C52" s="1" t="s">
        <v>98</v>
      </c>
      <c r="D52" s="22">
        <v>6018</v>
      </c>
      <c r="E52" s="24">
        <f t="shared" si="0"/>
        <v>9.7258279721147678E-4</v>
      </c>
      <c r="F52" s="25">
        <f t="shared" si="1"/>
        <v>128929.85107232991</v>
      </c>
      <c r="G52" s="23">
        <f t="shared" si="2"/>
        <v>134947.85107232991</v>
      </c>
    </row>
    <row r="53" spans="1:7" x14ac:dyDescent="0.2">
      <c r="A53">
        <v>2019</v>
      </c>
      <c r="B53" s="1" t="s">
        <v>488</v>
      </c>
      <c r="C53" s="1" t="s">
        <v>99</v>
      </c>
      <c r="D53" s="22">
        <v>26407</v>
      </c>
      <c r="E53" s="24">
        <f t="shared" si="0"/>
        <v>4.2676958999606955E-3</v>
      </c>
      <c r="F53" s="25">
        <f t="shared" si="1"/>
        <v>565744.52928996598</v>
      </c>
      <c r="G53" s="23">
        <f t="shared" si="2"/>
        <v>592151.52928996598</v>
      </c>
    </row>
    <row r="54" spans="1:7" x14ac:dyDescent="0.2">
      <c r="A54">
        <v>2019</v>
      </c>
      <c r="B54" s="1" t="s">
        <v>626</v>
      </c>
      <c r="C54" s="1" t="s">
        <v>627</v>
      </c>
      <c r="D54" s="22"/>
      <c r="E54" s="24">
        <f t="shared" si="0"/>
        <v>0</v>
      </c>
      <c r="F54" s="25">
        <f t="shared" si="1"/>
        <v>0</v>
      </c>
      <c r="G54" s="23">
        <f t="shared" si="2"/>
        <v>0</v>
      </c>
    </row>
    <row r="55" spans="1:7" x14ac:dyDescent="0.2">
      <c r="A55">
        <v>2019</v>
      </c>
      <c r="B55" s="1" t="s">
        <v>489</v>
      </c>
      <c r="C55" s="1" t="s">
        <v>100</v>
      </c>
      <c r="D55" s="22"/>
      <c r="E55" s="24">
        <f t="shared" si="0"/>
        <v>0</v>
      </c>
      <c r="F55" s="25">
        <f t="shared" si="1"/>
        <v>0</v>
      </c>
      <c r="G55" s="23">
        <f t="shared" si="2"/>
        <v>0</v>
      </c>
    </row>
    <row r="56" spans="1:7" x14ac:dyDescent="0.2">
      <c r="A56">
        <v>2019</v>
      </c>
      <c r="B56" s="1" t="s">
        <v>490</v>
      </c>
      <c r="C56" s="1" t="s">
        <v>491</v>
      </c>
      <c r="D56" s="22">
        <v>3110</v>
      </c>
      <c r="E56" s="24">
        <f t="shared" si="0"/>
        <v>5.0261424049978282E-4</v>
      </c>
      <c r="F56" s="25">
        <f t="shared" si="1"/>
        <v>66628.753212852447</v>
      </c>
      <c r="G56" s="23">
        <f t="shared" si="2"/>
        <v>69738.753212852447</v>
      </c>
    </row>
    <row r="57" spans="1:7" x14ac:dyDescent="0.2">
      <c r="A57">
        <v>2019</v>
      </c>
      <c r="B57" s="1" t="s">
        <v>492</v>
      </c>
      <c r="C57" s="1" t="s">
        <v>101</v>
      </c>
      <c r="D57" s="22"/>
      <c r="E57" s="24">
        <f t="shared" si="0"/>
        <v>0</v>
      </c>
      <c r="F57" s="25">
        <f t="shared" si="1"/>
        <v>0</v>
      </c>
      <c r="G57" s="23">
        <f t="shared" si="2"/>
        <v>0</v>
      </c>
    </row>
    <row r="58" spans="1:7" x14ac:dyDescent="0.2">
      <c r="A58">
        <v>2019</v>
      </c>
      <c r="B58" s="1" t="s">
        <v>493</v>
      </c>
      <c r="C58" s="1" t="s">
        <v>102</v>
      </c>
      <c r="D58" s="22">
        <v>327731</v>
      </c>
      <c r="E58" s="24">
        <f t="shared" si="0"/>
        <v>5.2965359374030324E-2</v>
      </c>
      <c r="F58" s="25">
        <f t="shared" si="1"/>
        <v>7021320.8743412681</v>
      </c>
      <c r="G58" s="23">
        <f t="shared" si="2"/>
        <v>7349051.8743412681</v>
      </c>
    </row>
    <row r="59" spans="1:7" x14ac:dyDescent="0.2">
      <c r="A59">
        <v>2019</v>
      </c>
      <c r="B59" s="1" t="s">
        <v>494</v>
      </c>
      <c r="C59" s="1" t="s">
        <v>103</v>
      </c>
      <c r="D59" s="22">
        <v>43453</v>
      </c>
      <c r="E59" s="24">
        <f t="shared" si="0"/>
        <v>7.0225390972466434E-3</v>
      </c>
      <c r="F59" s="25">
        <f t="shared" si="1"/>
        <v>930938.65381288656</v>
      </c>
      <c r="G59" s="23">
        <f t="shared" si="2"/>
        <v>974391.65381288656</v>
      </c>
    </row>
    <row r="60" spans="1:7" x14ac:dyDescent="0.2">
      <c r="A60">
        <v>2019</v>
      </c>
      <c r="B60" s="1" t="s">
        <v>495</v>
      </c>
      <c r="C60" s="1" t="s">
        <v>104</v>
      </c>
      <c r="D60" s="22">
        <v>127910</v>
      </c>
      <c r="E60" s="24">
        <f t="shared" si="0"/>
        <v>2.067182877888335E-2</v>
      </c>
      <c r="F60" s="25">
        <f t="shared" si="1"/>
        <v>2740348.4962880886</v>
      </c>
      <c r="G60" s="23">
        <f t="shared" si="2"/>
        <v>2868258.4962880886</v>
      </c>
    </row>
    <row r="61" spans="1:7" x14ac:dyDescent="0.2">
      <c r="A61">
        <v>2019</v>
      </c>
      <c r="B61" s="1" t="s">
        <v>496</v>
      </c>
      <c r="C61" s="1" t="s">
        <v>105</v>
      </c>
      <c r="D61" s="22">
        <v>49617</v>
      </c>
      <c r="E61" s="24">
        <f t="shared" si="0"/>
        <v>8.0187172896712938E-3</v>
      </c>
      <c r="F61" s="25">
        <f t="shared" si="1"/>
        <v>1062996.4142000321</v>
      </c>
      <c r="G61" s="23">
        <f t="shared" si="2"/>
        <v>1112613.4142000321</v>
      </c>
    </row>
    <row r="62" spans="1:7" x14ac:dyDescent="0.2">
      <c r="A62">
        <v>2019</v>
      </c>
      <c r="B62" s="1" t="s">
        <v>628</v>
      </c>
      <c r="C62" s="1" t="s">
        <v>629</v>
      </c>
      <c r="D62" s="22">
        <v>3294</v>
      </c>
      <c r="E62" s="24">
        <f t="shared" si="0"/>
        <v>5.3235090296022006E-4</v>
      </c>
      <c r="F62" s="25">
        <f t="shared" si="1"/>
        <v>70570.775910976183</v>
      </c>
      <c r="G62" s="23">
        <f t="shared" si="2"/>
        <v>73864.775910976183</v>
      </c>
    </row>
    <row r="63" spans="1:7" x14ac:dyDescent="0.2">
      <c r="A63">
        <v>2019</v>
      </c>
      <c r="B63" s="1" t="s">
        <v>497</v>
      </c>
      <c r="C63" s="1" t="s">
        <v>106</v>
      </c>
      <c r="D63" s="22">
        <v>123522</v>
      </c>
      <c r="E63" s="24">
        <f t="shared" si="0"/>
        <v>1.9962674024120313E-2</v>
      </c>
      <c r="F63" s="25">
        <f t="shared" si="1"/>
        <v>2646339.8245523986</v>
      </c>
      <c r="G63" s="23">
        <f t="shared" si="2"/>
        <v>2769861.8245523986</v>
      </c>
    </row>
    <row r="64" spans="1:7" x14ac:dyDescent="0.2">
      <c r="A64">
        <v>2019</v>
      </c>
      <c r="B64" s="1" t="s">
        <v>498</v>
      </c>
      <c r="C64" s="1" t="s">
        <v>499</v>
      </c>
      <c r="D64" s="22">
        <v>5270</v>
      </c>
      <c r="E64" s="24">
        <f t="shared" si="0"/>
        <v>8.5169679981795989E-4</v>
      </c>
      <c r="F64" s="25">
        <f t="shared" si="1"/>
        <v>112904.67184300076</v>
      </c>
      <c r="G64" s="23">
        <f t="shared" si="2"/>
        <v>118174.67184300076</v>
      </c>
    </row>
    <row r="65" spans="1:7" x14ac:dyDescent="0.2">
      <c r="A65">
        <v>2019</v>
      </c>
      <c r="B65" s="1" t="s">
        <v>107</v>
      </c>
      <c r="C65" s="1" t="s">
        <v>108</v>
      </c>
      <c r="D65" s="22">
        <v>3273</v>
      </c>
      <c r="E65" s="24">
        <f t="shared" si="0"/>
        <v>5.2895704474462666E-4</v>
      </c>
      <c r="F65" s="25">
        <f t="shared" si="1"/>
        <v>70120.871146516409</v>
      </c>
      <c r="G65" s="23">
        <f t="shared" si="2"/>
        <v>73393.871146516409</v>
      </c>
    </row>
    <row r="66" spans="1:7" x14ac:dyDescent="0.2">
      <c r="A66">
        <v>2019</v>
      </c>
      <c r="B66" s="1" t="s">
        <v>500</v>
      </c>
      <c r="C66" s="1" t="s">
        <v>501</v>
      </c>
      <c r="D66" s="22">
        <v>4327</v>
      </c>
      <c r="E66" s="24">
        <f t="shared" si="0"/>
        <v>6.9929640470821873E-4</v>
      </c>
      <c r="F66" s="25">
        <f t="shared" si="1"/>
        <v>92701.805515116575</v>
      </c>
      <c r="G66" s="23">
        <f t="shared" si="2"/>
        <v>97028.805515116575</v>
      </c>
    </row>
    <row r="67" spans="1:7" x14ac:dyDescent="0.2">
      <c r="A67">
        <v>2019</v>
      </c>
      <c r="B67" s="1" t="s">
        <v>109</v>
      </c>
      <c r="C67" s="1" t="s">
        <v>110</v>
      </c>
      <c r="D67" s="22">
        <v>138680</v>
      </c>
      <c r="E67" s="24">
        <f t="shared" ref="E67:E130" si="3">D67/$D$253</f>
        <v>2.2412393206594817E-2</v>
      </c>
      <c r="F67" s="25">
        <f t="shared" ref="F67:F130" si="4">E67*$D$255</f>
        <v>2971085.3683467451</v>
      </c>
      <c r="G67" s="23">
        <f t="shared" ref="G67:G130" si="5">SUM(F67,D67)</f>
        <v>3109765.3683467451</v>
      </c>
    </row>
    <row r="68" spans="1:7" x14ac:dyDescent="0.2">
      <c r="A68">
        <v>2019</v>
      </c>
      <c r="B68" s="1" t="s">
        <v>502</v>
      </c>
      <c r="C68" s="1" t="s">
        <v>111</v>
      </c>
      <c r="D68" s="22">
        <v>21579</v>
      </c>
      <c r="E68" s="24">
        <f t="shared" si="3"/>
        <v>3.4874317349661778E-3</v>
      </c>
      <c r="F68" s="25">
        <f t="shared" si="4"/>
        <v>462309.28153702343</v>
      </c>
      <c r="G68" s="23">
        <f t="shared" si="5"/>
        <v>483888.28153702343</v>
      </c>
    </row>
    <row r="69" spans="1:7" x14ac:dyDescent="0.2">
      <c r="A69">
        <v>2019</v>
      </c>
      <c r="B69" s="1" t="s">
        <v>503</v>
      </c>
      <c r="C69" s="1" t="s">
        <v>112</v>
      </c>
      <c r="D69" s="22">
        <v>24612</v>
      </c>
      <c r="E69" s="24">
        <f t="shared" si="3"/>
        <v>3.9776018286754511E-3</v>
      </c>
      <c r="F69" s="25">
        <f t="shared" si="4"/>
        <v>527288.3839468566</v>
      </c>
      <c r="G69" s="23">
        <f t="shared" si="5"/>
        <v>551900.3839468566</v>
      </c>
    </row>
    <row r="70" spans="1:7" x14ac:dyDescent="0.2">
      <c r="A70">
        <v>2019</v>
      </c>
      <c r="B70" s="1" t="s">
        <v>504</v>
      </c>
      <c r="C70" s="1" t="s">
        <v>113</v>
      </c>
      <c r="D70" s="22">
        <v>7307</v>
      </c>
      <c r="E70" s="24">
        <f t="shared" si="3"/>
        <v>1.1809010467305186E-3</v>
      </c>
      <c r="F70" s="25">
        <f t="shared" si="4"/>
        <v>156545.43399559899</v>
      </c>
      <c r="G70" s="23">
        <f t="shared" si="5"/>
        <v>163852.43399559899</v>
      </c>
    </row>
    <row r="71" spans="1:7" x14ac:dyDescent="0.2">
      <c r="A71">
        <v>2019</v>
      </c>
      <c r="B71" s="1" t="s">
        <v>114</v>
      </c>
      <c r="C71" s="1" t="s">
        <v>115</v>
      </c>
      <c r="D71" s="22">
        <v>16286</v>
      </c>
      <c r="E71" s="24">
        <f t="shared" si="3"/>
        <v>2.6320178523406633E-3</v>
      </c>
      <c r="F71" s="25">
        <f t="shared" si="4"/>
        <v>348911.85685675719</v>
      </c>
      <c r="G71" s="23">
        <f t="shared" si="5"/>
        <v>365197.85685675719</v>
      </c>
    </row>
    <row r="72" spans="1:7" x14ac:dyDescent="0.2">
      <c r="A72">
        <v>2019</v>
      </c>
      <c r="B72" s="1" t="s">
        <v>505</v>
      </c>
      <c r="C72" s="1" t="s">
        <v>116</v>
      </c>
      <c r="D72" s="22">
        <v>39691</v>
      </c>
      <c r="E72" s="24">
        <f t="shared" si="3"/>
        <v>6.4145536397674854E-3</v>
      </c>
      <c r="F72" s="25">
        <f t="shared" si="4"/>
        <v>850341.42886537826</v>
      </c>
      <c r="G72" s="23">
        <f t="shared" si="5"/>
        <v>890032.42886537826</v>
      </c>
    </row>
    <row r="73" spans="1:7" x14ac:dyDescent="0.2">
      <c r="A73">
        <v>2019</v>
      </c>
      <c r="B73" s="1" t="s">
        <v>506</v>
      </c>
      <c r="C73" s="1" t="s">
        <v>117</v>
      </c>
      <c r="D73" s="22">
        <v>70942</v>
      </c>
      <c r="E73" s="24">
        <f t="shared" si="3"/>
        <v>1.146509950145839E-2</v>
      </c>
      <c r="F73" s="25">
        <f t="shared" si="4"/>
        <v>1519863.9904907325</v>
      </c>
      <c r="G73" s="23">
        <f t="shared" si="5"/>
        <v>1590805.9904907325</v>
      </c>
    </row>
    <row r="74" spans="1:7" x14ac:dyDescent="0.2">
      <c r="A74">
        <v>2019</v>
      </c>
      <c r="B74" s="1" t="s">
        <v>118</v>
      </c>
      <c r="C74" s="1" t="s">
        <v>119</v>
      </c>
      <c r="D74" s="22">
        <v>26538</v>
      </c>
      <c r="E74" s="24">
        <f t="shared" si="3"/>
        <v>4.2888671107341597E-3</v>
      </c>
      <c r="F74" s="25">
        <f t="shared" si="4"/>
        <v>568551.07805873896</v>
      </c>
      <c r="G74" s="23">
        <f t="shared" si="5"/>
        <v>595089.07805873896</v>
      </c>
    </row>
    <row r="75" spans="1:7" x14ac:dyDescent="0.2">
      <c r="A75">
        <v>2019</v>
      </c>
      <c r="B75" s="1" t="s">
        <v>507</v>
      </c>
      <c r="C75" s="1" t="s">
        <v>120</v>
      </c>
      <c r="D75" s="22">
        <v>43206</v>
      </c>
      <c r="E75" s="24">
        <f t="shared" si="3"/>
        <v>6.982620860139426E-3</v>
      </c>
      <c r="F75" s="25">
        <f t="shared" si="4"/>
        <v>925646.91682138352</v>
      </c>
      <c r="G75" s="23">
        <f t="shared" si="5"/>
        <v>968852.91682138352</v>
      </c>
    </row>
    <row r="76" spans="1:7" x14ac:dyDescent="0.2">
      <c r="A76">
        <v>2019</v>
      </c>
      <c r="B76" s="1" t="s">
        <v>121</v>
      </c>
      <c r="C76" s="1" t="s">
        <v>122</v>
      </c>
      <c r="D76" s="22"/>
      <c r="E76" s="24">
        <f t="shared" si="3"/>
        <v>0</v>
      </c>
      <c r="F76" s="25">
        <f t="shared" si="4"/>
        <v>0</v>
      </c>
      <c r="G76" s="23">
        <f t="shared" si="5"/>
        <v>0</v>
      </c>
    </row>
    <row r="77" spans="1:7" x14ac:dyDescent="0.2">
      <c r="A77">
        <v>2019</v>
      </c>
      <c r="B77" s="1" t="s">
        <v>123</v>
      </c>
      <c r="C77" s="1" t="s">
        <v>124</v>
      </c>
      <c r="D77" s="22">
        <v>6165</v>
      </c>
      <c r="E77" s="24">
        <f t="shared" si="3"/>
        <v>9.9633980472063058E-4</v>
      </c>
      <c r="F77" s="25">
        <f t="shared" si="4"/>
        <v>132079.18442354834</v>
      </c>
      <c r="G77" s="23">
        <f t="shared" si="5"/>
        <v>138244.18442354834</v>
      </c>
    </row>
    <row r="78" spans="1:7" x14ac:dyDescent="0.2">
      <c r="A78">
        <v>2019</v>
      </c>
      <c r="B78" s="1" t="s">
        <v>508</v>
      </c>
      <c r="C78" s="1" t="s">
        <v>125</v>
      </c>
      <c r="D78" s="22">
        <v>105864</v>
      </c>
      <c r="E78" s="24">
        <f t="shared" si="3"/>
        <v>1.7108924101694213E-2</v>
      </c>
      <c r="F78" s="25">
        <f t="shared" si="4"/>
        <v>2268034.1897509359</v>
      </c>
      <c r="G78" s="23">
        <f t="shared" si="5"/>
        <v>2373898.1897509359</v>
      </c>
    </row>
    <row r="79" spans="1:7" x14ac:dyDescent="0.2">
      <c r="A79">
        <v>2019</v>
      </c>
      <c r="B79" s="1" t="s">
        <v>509</v>
      </c>
      <c r="C79" s="1" t="s">
        <v>126</v>
      </c>
      <c r="D79" s="22">
        <v>46551</v>
      </c>
      <c r="E79" s="24">
        <f t="shared" si="3"/>
        <v>7.5232139901946589E-3</v>
      </c>
      <c r="F79" s="25">
        <f t="shared" si="4"/>
        <v>997310.31858890492</v>
      </c>
      <c r="G79" s="23">
        <f t="shared" si="5"/>
        <v>1043861.3185889049</v>
      </c>
    </row>
    <row r="80" spans="1:7" x14ac:dyDescent="0.2">
      <c r="A80">
        <v>2019</v>
      </c>
      <c r="B80" s="1" t="s">
        <v>127</v>
      </c>
      <c r="C80" s="1" t="s">
        <v>128</v>
      </c>
      <c r="D80" s="22">
        <v>1370</v>
      </c>
      <c r="E80" s="24">
        <f t="shared" si="3"/>
        <v>2.2140884549347344E-4</v>
      </c>
      <c r="F80" s="25">
        <f t="shared" si="4"/>
        <v>29350.929871899629</v>
      </c>
      <c r="G80" s="23">
        <f t="shared" si="5"/>
        <v>30720.929871899629</v>
      </c>
    </row>
    <row r="81" spans="1:7" x14ac:dyDescent="0.2">
      <c r="A81">
        <v>2019</v>
      </c>
      <c r="B81" s="1" t="s">
        <v>129</v>
      </c>
      <c r="C81" s="1" t="s">
        <v>130</v>
      </c>
      <c r="D81" s="22">
        <v>11475</v>
      </c>
      <c r="E81" s="24">
        <f t="shared" si="3"/>
        <v>1.854501096377816E-3</v>
      </c>
      <c r="F81" s="25">
        <f t="shared" si="4"/>
        <v>245840.81772266296</v>
      </c>
      <c r="G81" s="23">
        <f t="shared" si="5"/>
        <v>257315.81772266296</v>
      </c>
    </row>
    <row r="82" spans="1:7" x14ac:dyDescent="0.2">
      <c r="A82">
        <v>2019</v>
      </c>
      <c r="B82" s="1" t="s">
        <v>510</v>
      </c>
      <c r="C82" s="1" t="s">
        <v>131</v>
      </c>
      <c r="D82" s="22">
        <v>55128</v>
      </c>
      <c r="E82" s="24">
        <f t="shared" si="3"/>
        <v>8.9093626528205863E-3</v>
      </c>
      <c r="F82" s="25">
        <f t="shared" si="4"/>
        <v>1181064.2788161188</v>
      </c>
      <c r="G82" s="23">
        <f t="shared" si="5"/>
        <v>1236192.2788161188</v>
      </c>
    </row>
    <row r="83" spans="1:7" x14ac:dyDescent="0.2">
      <c r="A83">
        <v>2019</v>
      </c>
      <c r="B83" s="1" t="s">
        <v>511</v>
      </c>
      <c r="C83" s="1" t="s">
        <v>132</v>
      </c>
      <c r="D83" s="22">
        <v>78884</v>
      </c>
      <c r="E83" s="24">
        <f t="shared" si="3"/>
        <v>1.2748624356136613E-2</v>
      </c>
      <c r="F83" s="25">
        <f t="shared" si="4"/>
        <v>1690013.6876021391</v>
      </c>
      <c r="G83" s="23">
        <f t="shared" si="5"/>
        <v>1768897.6876021391</v>
      </c>
    </row>
    <row r="84" spans="1:7" x14ac:dyDescent="0.2">
      <c r="A84">
        <v>2019</v>
      </c>
      <c r="B84" s="1" t="s">
        <v>133</v>
      </c>
      <c r="C84" s="1" t="s">
        <v>134</v>
      </c>
      <c r="D84" s="22">
        <v>20104</v>
      </c>
      <c r="E84" s="24">
        <f t="shared" si="3"/>
        <v>3.2490535983947374E-3</v>
      </c>
      <c r="F84" s="25">
        <f t="shared" si="4"/>
        <v>430708.82784282492</v>
      </c>
      <c r="G84" s="23">
        <f t="shared" si="5"/>
        <v>450812.82784282492</v>
      </c>
    </row>
    <row r="85" spans="1:7" x14ac:dyDescent="0.2">
      <c r="A85">
        <v>2019</v>
      </c>
      <c r="B85" s="1" t="s">
        <v>512</v>
      </c>
      <c r="C85" s="1" t="s">
        <v>135</v>
      </c>
      <c r="D85" s="22">
        <v>46186</v>
      </c>
      <c r="E85" s="24">
        <f t="shared" si="3"/>
        <v>7.4642255021617259E-3</v>
      </c>
      <c r="F85" s="25">
        <f t="shared" si="4"/>
        <v>989490.5453018659</v>
      </c>
      <c r="G85" s="23">
        <f t="shared" si="5"/>
        <v>1035676.5453018659</v>
      </c>
    </row>
    <row r="86" spans="1:7" x14ac:dyDescent="0.2">
      <c r="A86">
        <v>2019</v>
      </c>
      <c r="B86" s="1" t="s">
        <v>136</v>
      </c>
      <c r="C86" s="1" t="s">
        <v>137</v>
      </c>
      <c r="D86" s="22">
        <v>28097</v>
      </c>
      <c r="E86" s="24">
        <f t="shared" si="3"/>
        <v>4.5408206801679733E-3</v>
      </c>
      <c r="F86" s="25">
        <f t="shared" si="4"/>
        <v>601951.15081077651</v>
      </c>
      <c r="G86" s="23">
        <f t="shared" si="5"/>
        <v>630048.15081077651</v>
      </c>
    </row>
    <row r="87" spans="1:7" x14ac:dyDescent="0.2">
      <c r="A87">
        <v>2019</v>
      </c>
      <c r="B87" s="1" t="s">
        <v>513</v>
      </c>
      <c r="C87" s="1" t="s">
        <v>138</v>
      </c>
      <c r="D87" s="22">
        <v>16697</v>
      </c>
      <c r="E87" s="24">
        <f t="shared" si="3"/>
        <v>2.6984405059887052E-3</v>
      </c>
      <c r="F87" s="25">
        <f t="shared" si="4"/>
        <v>357717.13581832708</v>
      </c>
      <c r="G87" s="23">
        <f t="shared" si="5"/>
        <v>374414.13581832708</v>
      </c>
    </row>
    <row r="88" spans="1:7" x14ac:dyDescent="0.2">
      <c r="A88">
        <v>2019</v>
      </c>
      <c r="B88" s="1" t="s">
        <v>514</v>
      </c>
      <c r="C88" s="1" t="s">
        <v>139</v>
      </c>
      <c r="D88" s="22">
        <v>57665</v>
      </c>
      <c r="E88" s="24">
        <f t="shared" si="3"/>
        <v>9.3193730477234647E-3</v>
      </c>
      <c r="F88" s="25">
        <f t="shared" si="4"/>
        <v>1235417.0591701402</v>
      </c>
      <c r="G88" s="23">
        <f t="shared" si="5"/>
        <v>1293082.0591701402</v>
      </c>
    </row>
    <row r="89" spans="1:7" x14ac:dyDescent="0.2">
      <c r="A89">
        <v>2019</v>
      </c>
      <c r="B89" s="1" t="s">
        <v>140</v>
      </c>
      <c r="C89" s="1" t="s">
        <v>141</v>
      </c>
      <c r="D89" s="22">
        <v>17835</v>
      </c>
      <c r="E89" s="24">
        <f t="shared" si="3"/>
        <v>2.8823552988146706E-3</v>
      </c>
      <c r="F89" s="25">
        <f t="shared" si="4"/>
        <v>382097.68924476631</v>
      </c>
      <c r="G89" s="23">
        <f t="shared" si="5"/>
        <v>399932.68924476631</v>
      </c>
    </row>
    <row r="90" spans="1:7" x14ac:dyDescent="0.2">
      <c r="A90">
        <v>2019</v>
      </c>
      <c r="B90" s="1" t="s">
        <v>515</v>
      </c>
      <c r="C90" s="1" t="s">
        <v>142</v>
      </c>
      <c r="D90" s="22">
        <v>51278</v>
      </c>
      <c r="E90" s="24">
        <f t="shared" si="3"/>
        <v>8.2871553132951321E-3</v>
      </c>
      <c r="F90" s="25">
        <f t="shared" si="4"/>
        <v>1098581.73866516</v>
      </c>
      <c r="G90" s="23">
        <f t="shared" si="5"/>
        <v>1149859.73866516</v>
      </c>
    </row>
    <row r="91" spans="1:7" x14ac:dyDescent="0.2">
      <c r="A91">
        <v>2019</v>
      </c>
      <c r="B91" s="1" t="s">
        <v>516</v>
      </c>
      <c r="C91" s="1" t="s">
        <v>143</v>
      </c>
      <c r="D91" s="22">
        <v>4661</v>
      </c>
      <c r="E91" s="24">
        <f t="shared" si="3"/>
        <v>7.5327491156575166E-4</v>
      </c>
      <c r="F91" s="25">
        <f t="shared" si="4"/>
        <v>99857.433673667285</v>
      </c>
      <c r="G91" s="23">
        <f t="shared" si="5"/>
        <v>104518.43367366728</v>
      </c>
    </row>
    <row r="92" spans="1:7" x14ac:dyDescent="0.2">
      <c r="A92">
        <v>2019</v>
      </c>
      <c r="B92" s="1" t="s">
        <v>517</v>
      </c>
      <c r="C92" s="1" t="s">
        <v>144</v>
      </c>
      <c r="D92" s="22">
        <v>7638</v>
      </c>
      <c r="E92" s="24">
        <f t="shared" si="3"/>
        <v>1.2343947167001096E-3</v>
      </c>
      <c r="F92" s="25">
        <f t="shared" si="4"/>
        <v>163636.79004494115</v>
      </c>
      <c r="G92" s="23">
        <f t="shared" si="5"/>
        <v>171274.79004494115</v>
      </c>
    </row>
    <row r="93" spans="1:7" x14ac:dyDescent="0.2">
      <c r="A93">
        <v>2019</v>
      </c>
      <c r="B93" s="1" t="s">
        <v>518</v>
      </c>
      <c r="C93" s="1" t="s">
        <v>145</v>
      </c>
      <c r="D93" s="22">
        <v>23305</v>
      </c>
      <c r="E93" s="24">
        <f t="shared" si="3"/>
        <v>3.7663745578287583E-3</v>
      </c>
      <c r="F93" s="25">
        <f t="shared" si="4"/>
        <v>499287.1683683364</v>
      </c>
      <c r="G93" s="23">
        <f t="shared" si="5"/>
        <v>522592.1683683364</v>
      </c>
    </row>
    <row r="94" spans="1:7" x14ac:dyDescent="0.2">
      <c r="A94">
        <v>2019</v>
      </c>
      <c r="B94" s="1" t="s">
        <v>146</v>
      </c>
      <c r="C94" s="1" t="s">
        <v>147</v>
      </c>
      <c r="D94" s="22">
        <v>37313</v>
      </c>
      <c r="E94" s="24">
        <f t="shared" si="3"/>
        <v>6.0302395999255291E-3</v>
      </c>
      <c r="F94" s="25">
        <f t="shared" si="4"/>
        <v>799395.07029940945</v>
      </c>
      <c r="G94" s="23">
        <f t="shared" si="5"/>
        <v>836708.07029940945</v>
      </c>
    </row>
    <row r="95" spans="1:7" x14ac:dyDescent="0.2">
      <c r="A95">
        <v>2019</v>
      </c>
      <c r="B95" s="1" t="s">
        <v>519</v>
      </c>
      <c r="C95" s="1" t="s">
        <v>148</v>
      </c>
      <c r="D95" s="22">
        <v>67541</v>
      </c>
      <c r="E95" s="24">
        <f t="shared" si="3"/>
        <v>1.0915456082828241E-2</v>
      </c>
      <c r="F95" s="25">
        <f t="shared" si="4"/>
        <v>1447000.8426846517</v>
      </c>
      <c r="G95" s="23">
        <f t="shared" si="5"/>
        <v>1514541.8426846517</v>
      </c>
    </row>
    <row r="96" spans="1:7" x14ac:dyDescent="0.2">
      <c r="A96">
        <v>2019</v>
      </c>
      <c r="B96" s="1" t="s">
        <v>520</v>
      </c>
      <c r="C96" s="1" t="s">
        <v>149</v>
      </c>
      <c r="D96" s="22">
        <v>7134</v>
      </c>
      <c r="E96" s="24">
        <f t="shared" si="3"/>
        <v>1.1529421195258683E-3</v>
      </c>
      <c r="F96" s="25">
        <f t="shared" si="4"/>
        <v>152839.07569790652</v>
      </c>
      <c r="G96" s="23">
        <f t="shared" si="5"/>
        <v>159973.07569790652</v>
      </c>
    </row>
    <row r="97" spans="1:7" x14ac:dyDescent="0.2">
      <c r="A97">
        <v>2019</v>
      </c>
      <c r="B97" s="1" t="s">
        <v>521</v>
      </c>
      <c r="C97" s="1" t="s">
        <v>150</v>
      </c>
      <c r="D97" s="22">
        <v>26144</v>
      </c>
      <c r="E97" s="24">
        <f t="shared" si="3"/>
        <v>4.2251918661177883E-3</v>
      </c>
      <c r="F97" s="25">
        <f t="shared" si="4"/>
        <v>560110.00771601743</v>
      </c>
      <c r="G97" s="23">
        <f t="shared" si="5"/>
        <v>586254.00771601743</v>
      </c>
    </row>
    <row r="98" spans="1:7" x14ac:dyDescent="0.2">
      <c r="A98">
        <v>2019</v>
      </c>
      <c r="B98" s="1" t="s">
        <v>151</v>
      </c>
      <c r="C98" s="1" t="s">
        <v>152</v>
      </c>
      <c r="D98" s="22">
        <v>11331</v>
      </c>
      <c r="E98" s="24">
        <f t="shared" si="3"/>
        <v>1.831228925756604E-3</v>
      </c>
      <c r="F98" s="25">
        <f t="shared" si="4"/>
        <v>242755.75648065304</v>
      </c>
      <c r="G98" s="23">
        <f t="shared" si="5"/>
        <v>254086.75648065304</v>
      </c>
    </row>
    <row r="99" spans="1:7" x14ac:dyDescent="0.2">
      <c r="A99">
        <v>2019</v>
      </c>
      <c r="B99" s="1" t="s">
        <v>522</v>
      </c>
      <c r="C99" s="1" t="s">
        <v>153</v>
      </c>
      <c r="D99" s="22">
        <v>82934</v>
      </c>
      <c r="E99" s="24">
        <f t="shared" si="3"/>
        <v>1.3403154154858194E-2</v>
      </c>
      <c r="F99" s="25">
        <f t="shared" si="4"/>
        <v>1776781.035033667</v>
      </c>
      <c r="G99" s="23">
        <f t="shared" si="5"/>
        <v>1859715.035033667</v>
      </c>
    </row>
    <row r="100" spans="1:7" x14ac:dyDescent="0.2">
      <c r="A100">
        <v>2019</v>
      </c>
      <c r="B100" s="1" t="s">
        <v>523</v>
      </c>
      <c r="C100" s="1" t="s">
        <v>154</v>
      </c>
      <c r="D100" s="22">
        <v>50138</v>
      </c>
      <c r="E100" s="24">
        <f t="shared" si="3"/>
        <v>8.1029172958772058E-3</v>
      </c>
      <c r="F100" s="25">
        <f t="shared" si="4"/>
        <v>1074158.3371659152</v>
      </c>
      <c r="G100" s="23">
        <f t="shared" si="5"/>
        <v>1124296.3371659152</v>
      </c>
    </row>
    <row r="101" spans="1:7" x14ac:dyDescent="0.2">
      <c r="A101">
        <v>2019</v>
      </c>
      <c r="B101" s="1" t="s">
        <v>524</v>
      </c>
      <c r="C101" s="1" t="s">
        <v>155</v>
      </c>
      <c r="D101" s="22">
        <v>26067</v>
      </c>
      <c r="E101" s="24">
        <f t="shared" si="3"/>
        <v>4.2127477193272794E-3</v>
      </c>
      <c r="F101" s="25">
        <f t="shared" si="4"/>
        <v>558460.35691299837</v>
      </c>
      <c r="G101" s="23">
        <f t="shared" si="5"/>
        <v>584527.35691299837</v>
      </c>
    </row>
    <row r="102" spans="1:7" x14ac:dyDescent="0.2">
      <c r="A102">
        <v>2019</v>
      </c>
      <c r="B102" s="1" t="s">
        <v>525</v>
      </c>
      <c r="C102" s="1" t="s">
        <v>156</v>
      </c>
      <c r="D102" s="22">
        <v>32573</v>
      </c>
      <c r="E102" s="24">
        <f t="shared" si="3"/>
        <v>5.2641973169773072E-3</v>
      </c>
      <c r="F102" s="25">
        <f t="shared" si="4"/>
        <v>697845.13774991722</v>
      </c>
      <c r="G102" s="23">
        <f t="shared" si="5"/>
        <v>730418.13774991722</v>
      </c>
    </row>
    <row r="103" spans="1:7" x14ac:dyDescent="0.2">
      <c r="A103">
        <v>2019</v>
      </c>
      <c r="B103" s="1" t="s">
        <v>526</v>
      </c>
      <c r="C103" s="1" t="s">
        <v>157</v>
      </c>
      <c r="D103" s="22">
        <v>147450</v>
      </c>
      <c r="E103" s="24">
        <f t="shared" si="3"/>
        <v>2.3829733042345008E-2</v>
      </c>
      <c r="F103" s="25">
        <f t="shared" si="4"/>
        <v>3158974.1675997083</v>
      </c>
      <c r="G103" s="23">
        <f t="shared" si="5"/>
        <v>3306424.1675997083</v>
      </c>
    </row>
    <row r="104" spans="1:7" x14ac:dyDescent="0.2">
      <c r="A104">
        <v>2019</v>
      </c>
      <c r="B104" s="1" t="s">
        <v>527</v>
      </c>
      <c r="C104" s="1" t="s">
        <v>158</v>
      </c>
      <c r="D104" s="22">
        <v>48590</v>
      </c>
      <c r="E104" s="24">
        <f t="shared" si="3"/>
        <v>7.8527414616991788E-3</v>
      </c>
      <c r="F104" s="25">
        <f t="shared" si="4"/>
        <v>1040993.9288143087</v>
      </c>
      <c r="G104" s="23">
        <f t="shared" si="5"/>
        <v>1089583.9288143087</v>
      </c>
    </row>
    <row r="105" spans="1:7" x14ac:dyDescent="0.2">
      <c r="A105">
        <v>2019</v>
      </c>
      <c r="B105" s="1" t="s">
        <v>528</v>
      </c>
      <c r="C105" s="1" t="s">
        <v>159</v>
      </c>
      <c r="D105" s="22">
        <v>51818</v>
      </c>
      <c r="E105" s="24">
        <f t="shared" si="3"/>
        <v>8.374425953124676E-3</v>
      </c>
      <c r="F105" s="25">
        <f t="shared" si="4"/>
        <v>1110150.7183226971</v>
      </c>
      <c r="G105" s="23">
        <f t="shared" si="5"/>
        <v>1161968.7183226971</v>
      </c>
    </row>
    <row r="106" spans="1:7" x14ac:dyDescent="0.2">
      <c r="A106">
        <v>2019</v>
      </c>
      <c r="B106" s="1" t="s">
        <v>160</v>
      </c>
      <c r="C106" s="1" t="s">
        <v>161</v>
      </c>
      <c r="D106" s="22">
        <v>23889</v>
      </c>
      <c r="E106" s="24">
        <f t="shared" si="3"/>
        <v>3.8607561386814503E-3</v>
      </c>
      <c r="F106" s="25">
        <f t="shared" si="4"/>
        <v>511798.80562759872</v>
      </c>
      <c r="G106" s="23">
        <f t="shared" si="5"/>
        <v>535687.80562759866</v>
      </c>
    </row>
    <row r="107" spans="1:7" x14ac:dyDescent="0.2">
      <c r="A107">
        <v>2019</v>
      </c>
      <c r="B107" s="1" t="s">
        <v>162</v>
      </c>
      <c r="C107" s="1" t="s">
        <v>163</v>
      </c>
      <c r="D107" s="22">
        <v>47757</v>
      </c>
      <c r="E107" s="24">
        <f t="shared" si="3"/>
        <v>7.7181184191473075E-3</v>
      </c>
      <c r="F107" s="25">
        <f t="shared" si="4"/>
        <v>1023147.7064907376</v>
      </c>
      <c r="G107" s="23">
        <f t="shared" si="5"/>
        <v>1070904.7064907376</v>
      </c>
    </row>
    <row r="108" spans="1:7" x14ac:dyDescent="0.2">
      <c r="A108">
        <v>2019</v>
      </c>
      <c r="B108" s="1" t="s">
        <v>529</v>
      </c>
      <c r="C108" s="1" t="s">
        <v>164</v>
      </c>
      <c r="D108" s="22">
        <v>93746</v>
      </c>
      <c r="E108" s="24">
        <f t="shared" si="3"/>
        <v>1.5150506299000848E-2</v>
      </c>
      <c r="F108" s="25">
        <f t="shared" si="4"/>
        <v>2008417.7166212427</v>
      </c>
      <c r="G108" s="23">
        <f t="shared" si="5"/>
        <v>2102163.7166212425</v>
      </c>
    </row>
    <row r="109" spans="1:7" x14ac:dyDescent="0.2">
      <c r="A109">
        <v>2019</v>
      </c>
      <c r="B109" s="1" t="s">
        <v>530</v>
      </c>
      <c r="C109" s="1" t="s">
        <v>165</v>
      </c>
      <c r="D109" s="22">
        <v>83501</v>
      </c>
      <c r="E109" s="24">
        <f t="shared" si="3"/>
        <v>1.3494788326679216E-2</v>
      </c>
      <c r="F109" s="25">
        <f t="shared" si="4"/>
        <v>1788928.4636740808</v>
      </c>
      <c r="G109" s="23">
        <f t="shared" si="5"/>
        <v>1872429.4636740808</v>
      </c>
    </row>
    <row r="110" spans="1:7" x14ac:dyDescent="0.2">
      <c r="A110">
        <v>2019</v>
      </c>
      <c r="B110" s="1" t="s">
        <v>531</v>
      </c>
      <c r="C110" s="1" t="s">
        <v>166</v>
      </c>
      <c r="D110" s="22">
        <v>31132</v>
      </c>
      <c r="E110" s="24">
        <f t="shared" si="3"/>
        <v>5.0313139984692083E-3</v>
      </c>
      <c r="F110" s="25">
        <f t="shared" si="4"/>
        <v>666973.10129341553</v>
      </c>
      <c r="G110" s="23">
        <f t="shared" si="5"/>
        <v>698105.10129341553</v>
      </c>
    </row>
    <row r="111" spans="1:7" x14ac:dyDescent="0.2">
      <c r="A111">
        <v>2019</v>
      </c>
      <c r="B111" s="1" t="s">
        <v>167</v>
      </c>
      <c r="C111" s="1" t="s">
        <v>168</v>
      </c>
      <c r="D111" s="22"/>
      <c r="E111" s="24">
        <f t="shared" si="3"/>
        <v>0</v>
      </c>
      <c r="F111" s="25">
        <f t="shared" si="4"/>
        <v>0</v>
      </c>
      <c r="G111" s="23">
        <f t="shared" si="5"/>
        <v>0</v>
      </c>
    </row>
    <row r="112" spans="1:7" x14ac:dyDescent="0.2">
      <c r="A112">
        <v>2019</v>
      </c>
      <c r="B112" s="1" t="s">
        <v>532</v>
      </c>
      <c r="C112" s="1" t="s">
        <v>169</v>
      </c>
      <c r="D112" s="22">
        <v>25632</v>
      </c>
      <c r="E112" s="24">
        <f t="shared" si="3"/>
        <v>4.1424463705757022E-3</v>
      </c>
      <c r="F112" s="25">
        <f t="shared" si="4"/>
        <v>549140.90107776015</v>
      </c>
      <c r="G112" s="23">
        <f t="shared" si="5"/>
        <v>574772.90107776015</v>
      </c>
    </row>
    <row r="113" spans="1:7" x14ac:dyDescent="0.2">
      <c r="A113">
        <v>2019</v>
      </c>
      <c r="B113" s="1" t="s">
        <v>533</v>
      </c>
      <c r="C113" s="1" t="s">
        <v>170</v>
      </c>
      <c r="D113" s="22">
        <v>42015</v>
      </c>
      <c r="E113" s="24">
        <f t="shared" si="3"/>
        <v>6.7901406156264865E-3</v>
      </c>
      <c r="F113" s="25">
        <f t="shared" si="4"/>
        <v>900130.88946559338</v>
      </c>
      <c r="G113" s="23">
        <f t="shared" si="5"/>
        <v>942145.88946559338</v>
      </c>
    </row>
    <row r="114" spans="1:7" x14ac:dyDescent="0.2">
      <c r="A114">
        <v>2019</v>
      </c>
      <c r="B114" s="1" t="s">
        <v>534</v>
      </c>
      <c r="C114" s="1" t="s">
        <v>171</v>
      </c>
      <c r="D114" s="22">
        <v>22408</v>
      </c>
      <c r="E114" s="24">
        <f t="shared" si="3"/>
        <v>3.6214083283341264E-3</v>
      </c>
      <c r="F114" s="25">
        <f t="shared" si="4"/>
        <v>480069.80771498312</v>
      </c>
      <c r="G114" s="23">
        <f t="shared" si="5"/>
        <v>502477.80771498312</v>
      </c>
    </row>
    <row r="115" spans="1:7" x14ac:dyDescent="0.2">
      <c r="A115">
        <v>2019</v>
      </c>
      <c r="B115" s="1" t="s">
        <v>535</v>
      </c>
      <c r="C115" s="1" t="s">
        <v>172</v>
      </c>
      <c r="D115" s="22">
        <v>46593</v>
      </c>
      <c r="E115" s="24">
        <f t="shared" si="3"/>
        <v>7.5300017066258452E-3</v>
      </c>
      <c r="F115" s="25">
        <f t="shared" si="4"/>
        <v>998210.12811782432</v>
      </c>
      <c r="G115" s="23">
        <f t="shared" si="5"/>
        <v>1044803.1281178243</v>
      </c>
    </row>
    <row r="116" spans="1:7" x14ac:dyDescent="0.2">
      <c r="A116">
        <v>2019</v>
      </c>
      <c r="B116" s="1" t="s">
        <v>536</v>
      </c>
      <c r="C116" s="1" t="s">
        <v>173</v>
      </c>
      <c r="D116" s="22">
        <v>99554</v>
      </c>
      <c r="E116" s="24">
        <f t="shared" si="3"/>
        <v>1.6089150514056391E-2</v>
      </c>
      <c r="F116" s="25">
        <f t="shared" si="4"/>
        <v>2132848.520048975</v>
      </c>
      <c r="G116" s="23">
        <f t="shared" si="5"/>
        <v>2232402.520048975</v>
      </c>
    </row>
    <row r="117" spans="1:7" x14ac:dyDescent="0.2">
      <c r="A117">
        <v>2019</v>
      </c>
      <c r="B117" s="1" t="s">
        <v>537</v>
      </c>
      <c r="C117" s="1" t="s">
        <v>174</v>
      </c>
      <c r="D117" s="22">
        <v>37777</v>
      </c>
      <c r="E117" s="24">
        <f t="shared" si="3"/>
        <v>6.1052277052605448E-3</v>
      </c>
      <c r="F117" s="25">
        <f t="shared" si="4"/>
        <v>809335.82319033018</v>
      </c>
      <c r="G117" s="23">
        <f t="shared" si="5"/>
        <v>847112.82319033018</v>
      </c>
    </row>
    <row r="118" spans="1:7" x14ac:dyDescent="0.2">
      <c r="A118">
        <v>2019</v>
      </c>
      <c r="B118" s="1" t="s">
        <v>175</v>
      </c>
      <c r="C118" s="1" t="s">
        <v>176</v>
      </c>
      <c r="D118" s="22">
        <v>40396</v>
      </c>
      <c r="E118" s="24">
        <f t="shared" si="3"/>
        <v>6.5284903084338345E-3</v>
      </c>
      <c r="F118" s="25">
        <f t="shared" si="4"/>
        <v>865445.37452938501</v>
      </c>
      <c r="G118" s="23">
        <f t="shared" si="5"/>
        <v>905841.37452938501</v>
      </c>
    </row>
    <row r="119" spans="1:7" x14ac:dyDescent="0.2">
      <c r="A119">
        <v>2019</v>
      </c>
      <c r="B119" s="1" t="s">
        <v>538</v>
      </c>
      <c r="C119" s="1" t="s">
        <v>177</v>
      </c>
      <c r="D119" s="22">
        <v>21347</v>
      </c>
      <c r="E119" s="24">
        <f t="shared" si="3"/>
        <v>3.44993768229867E-3</v>
      </c>
      <c r="F119" s="25">
        <f t="shared" si="4"/>
        <v>457338.90509156307</v>
      </c>
      <c r="G119" s="23">
        <f t="shared" si="5"/>
        <v>478685.90509156307</v>
      </c>
    </row>
    <row r="120" spans="1:7" x14ac:dyDescent="0.2">
      <c r="A120">
        <v>2019</v>
      </c>
      <c r="B120" s="1" t="s">
        <v>539</v>
      </c>
      <c r="C120" s="1" t="s">
        <v>178</v>
      </c>
      <c r="D120" s="22">
        <v>9582</v>
      </c>
      <c r="E120" s="24">
        <f t="shared" si="3"/>
        <v>1.548569020086469E-3</v>
      </c>
      <c r="F120" s="25">
        <f t="shared" si="4"/>
        <v>205285.11681207464</v>
      </c>
      <c r="G120" s="23">
        <f t="shared" si="5"/>
        <v>214867.11681207464</v>
      </c>
    </row>
    <row r="121" spans="1:7" x14ac:dyDescent="0.2">
      <c r="A121">
        <v>2019</v>
      </c>
      <c r="B121" s="1" t="s">
        <v>540</v>
      </c>
      <c r="C121" s="1" t="s">
        <v>179</v>
      </c>
      <c r="D121" s="22"/>
      <c r="E121" s="24">
        <f t="shared" si="3"/>
        <v>0</v>
      </c>
      <c r="F121" s="25">
        <f t="shared" si="4"/>
        <v>0</v>
      </c>
      <c r="G121" s="23">
        <f t="shared" si="5"/>
        <v>0</v>
      </c>
    </row>
    <row r="122" spans="1:7" x14ac:dyDescent="0.2">
      <c r="A122">
        <v>2019</v>
      </c>
      <c r="B122" s="1" t="s">
        <v>180</v>
      </c>
      <c r="C122" s="1" t="s">
        <v>181</v>
      </c>
      <c r="D122" s="22"/>
      <c r="E122" s="24">
        <f t="shared" si="3"/>
        <v>0</v>
      </c>
      <c r="F122" s="25">
        <f t="shared" si="4"/>
        <v>0</v>
      </c>
      <c r="G122" s="23">
        <f t="shared" si="5"/>
        <v>0</v>
      </c>
    </row>
    <row r="123" spans="1:7" x14ac:dyDescent="0.2">
      <c r="A123">
        <v>2019</v>
      </c>
      <c r="B123" s="1" t="s">
        <v>541</v>
      </c>
      <c r="C123" s="1" t="s">
        <v>182</v>
      </c>
      <c r="D123" s="22">
        <v>5189</v>
      </c>
      <c r="E123" s="24">
        <f t="shared" si="3"/>
        <v>8.3860620384352831E-4</v>
      </c>
      <c r="F123" s="25">
        <f t="shared" si="4"/>
        <v>111169.32489437021</v>
      </c>
      <c r="G123" s="23">
        <f t="shared" si="5"/>
        <v>116358.32489437021</v>
      </c>
    </row>
    <row r="124" spans="1:7" x14ac:dyDescent="0.2">
      <c r="A124">
        <v>2019</v>
      </c>
      <c r="B124" s="1" t="s">
        <v>542</v>
      </c>
      <c r="C124" s="1" t="s">
        <v>183</v>
      </c>
      <c r="D124" s="22">
        <v>950</v>
      </c>
      <c r="E124" s="24">
        <f t="shared" si="3"/>
        <v>1.5353168118160569E-4</v>
      </c>
      <c r="F124" s="25">
        <f t="shared" si="4"/>
        <v>20352.834582704123</v>
      </c>
      <c r="G124" s="23">
        <f t="shared" si="5"/>
        <v>21302.834582704123</v>
      </c>
    </row>
    <row r="125" spans="1:7" x14ac:dyDescent="0.2">
      <c r="A125">
        <v>2019</v>
      </c>
      <c r="B125" s="1" t="s">
        <v>543</v>
      </c>
      <c r="C125" s="1" t="s">
        <v>184</v>
      </c>
      <c r="D125" s="22"/>
      <c r="E125" s="24">
        <f t="shared" si="3"/>
        <v>0</v>
      </c>
      <c r="F125" s="25">
        <f t="shared" si="4"/>
        <v>0</v>
      </c>
      <c r="G125" s="23">
        <f t="shared" si="5"/>
        <v>0</v>
      </c>
    </row>
    <row r="126" spans="1:7" x14ac:dyDescent="0.2">
      <c r="A126">
        <v>2019</v>
      </c>
      <c r="B126" s="1" t="s">
        <v>544</v>
      </c>
      <c r="C126" s="1" t="s">
        <v>185</v>
      </c>
      <c r="D126" s="22">
        <v>149</v>
      </c>
      <c r="E126" s="24">
        <f t="shared" si="3"/>
        <v>2.4080232101114996E-5</v>
      </c>
      <c r="F126" s="25">
        <f t="shared" si="4"/>
        <v>3192.1814240241206</v>
      </c>
      <c r="G126" s="23">
        <f t="shared" si="5"/>
        <v>3341.1814240241206</v>
      </c>
    </row>
    <row r="127" spans="1:7" x14ac:dyDescent="0.2">
      <c r="A127">
        <v>2019</v>
      </c>
      <c r="B127" s="1" t="s">
        <v>545</v>
      </c>
      <c r="C127" s="1" t="s">
        <v>186</v>
      </c>
      <c r="D127" s="22">
        <v>4160</v>
      </c>
      <c r="E127" s="24">
        <f t="shared" si="3"/>
        <v>6.7230715127945221E-4</v>
      </c>
      <c r="F127" s="25">
        <f t="shared" si="4"/>
        <v>89123.991435841206</v>
      </c>
      <c r="G127" s="23">
        <f t="shared" si="5"/>
        <v>93283.991435841206</v>
      </c>
    </row>
    <row r="128" spans="1:7" x14ac:dyDescent="0.2">
      <c r="A128">
        <v>2019</v>
      </c>
      <c r="B128" s="1" t="s">
        <v>546</v>
      </c>
      <c r="C128" s="1" t="s">
        <v>187</v>
      </c>
      <c r="D128" s="22"/>
      <c r="E128" s="24">
        <f t="shared" si="3"/>
        <v>0</v>
      </c>
      <c r="F128" s="25">
        <f t="shared" si="4"/>
        <v>0</v>
      </c>
      <c r="G128" s="23">
        <f t="shared" si="5"/>
        <v>0</v>
      </c>
    </row>
    <row r="129" spans="1:7" x14ac:dyDescent="0.2">
      <c r="A129">
        <v>2019</v>
      </c>
      <c r="B129" s="1" t="s">
        <v>547</v>
      </c>
      <c r="C129" s="1" t="s">
        <v>188</v>
      </c>
      <c r="D129" s="22">
        <v>49742</v>
      </c>
      <c r="E129" s="24">
        <f t="shared" si="3"/>
        <v>8.038918826668873E-3</v>
      </c>
      <c r="F129" s="25">
        <f t="shared" si="4"/>
        <v>1065674.4187503878</v>
      </c>
      <c r="G129" s="23">
        <f t="shared" si="5"/>
        <v>1115416.4187503878</v>
      </c>
    </row>
    <row r="130" spans="1:7" x14ac:dyDescent="0.2">
      <c r="A130">
        <v>2019</v>
      </c>
      <c r="B130" s="1" t="s">
        <v>548</v>
      </c>
      <c r="C130" s="1" t="s">
        <v>189</v>
      </c>
      <c r="D130" s="22">
        <v>49465</v>
      </c>
      <c r="E130" s="24">
        <f t="shared" si="3"/>
        <v>7.9941522206822373E-3</v>
      </c>
      <c r="F130" s="25">
        <f t="shared" si="4"/>
        <v>1059739.9606667995</v>
      </c>
      <c r="G130" s="23">
        <f t="shared" si="5"/>
        <v>1109204.9606667995</v>
      </c>
    </row>
    <row r="131" spans="1:7" x14ac:dyDescent="0.2">
      <c r="A131">
        <v>2019</v>
      </c>
      <c r="B131" s="1" t="s">
        <v>549</v>
      </c>
      <c r="C131" s="1" t="s">
        <v>190</v>
      </c>
      <c r="D131" s="22">
        <v>45878</v>
      </c>
      <c r="E131" s="24">
        <f t="shared" ref="E131:E194" si="6">D131/$D$253</f>
        <v>7.4144489149996894E-3</v>
      </c>
      <c r="F131" s="25">
        <f t="shared" ref="F131:F194" si="7">E131*$D$255</f>
        <v>982891.9420897892</v>
      </c>
      <c r="G131" s="23">
        <f t="shared" ref="G131:G194" si="8">SUM(F131,D131)</f>
        <v>1028769.9420897892</v>
      </c>
    </row>
    <row r="132" spans="1:7" x14ac:dyDescent="0.2">
      <c r="A132">
        <v>2019</v>
      </c>
      <c r="B132" s="1" t="s">
        <v>550</v>
      </c>
      <c r="C132" s="1" t="s">
        <v>191</v>
      </c>
      <c r="D132" s="22">
        <v>21818</v>
      </c>
      <c r="E132" s="24">
        <f t="shared" si="6"/>
        <v>3.5260570737055503E-3</v>
      </c>
      <c r="F132" s="25">
        <f t="shared" si="7"/>
        <v>467429.62623730378</v>
      </c>
      <c r="G132" s="23">
        <f t="shared" si="8"/>
        <v>489247.62623730378</v>
      </c>
    </row>
    <row r="133" spans="1:7" x14ac:dyDescent="0.2">
      <c r="A133">
        <v>2019</v>
      </c>
      <c r="B133" s="1" t="s">
        <v>551</v>
      </c>
      <c r="C133" s="1" t="s">
        <v>192</v>
      </c>
      <c r="D133" s="22">
        <v>133459</v>
      </c>
      <c r="E133" s="24">
        <f t="shared" si="6"/>
        <v>2.1568615409279908E-2</v>
      </c>
      <c r="F133" s="25">
        <f t="shared" si="7"/>
        <v>2859230.4742874838</v>
      </c>
      <c r="G133" s="23">
        <f t="shared" si="8"/>
        <v>2992689.4742874838</v>
      </c>
    </row>
    <row r="134" spans="1:7" x14ac:dyDescent="0.2">
      <c r="A134">
        <v>2019</v>
      </c>
      <c r="B134" s="1" t="s">
        <v>552</v>
      </c>
      <c r="C134" s="1" t="s">
        <v>193</v>
      </c>
      <c r="D134" s="22">
        <v>80945</v>
      </c>
      <c r="E134" s="24">
        <f t="shared" si="6"/>
        <v>1.3081707298152707E-2</v>
      </c>
      <c r="F134" s="25">
        <f t="shared" si="7"/>
        <v>1734168.6266284056</v>
      </c>
      <c r="G134" s="23">
        <f t="shared" si="8"/>
        <v>1815113.6266284056</v>
      </c>
    </row>
    <row r="135" spans="1:7" x14ac:dyDescent="0.2">
      <c r="A135">
        <v>2019</v>
      </c>
      <c r="B135" s="1" t="s">
        <v>553</v>
      </c>
      <c r="C135" s="1" t="s">
        <v>194</v>
      </c>
      <c r="D135" s="22">
        <v>72477</v>
      </c>
      <c r="E135" s="24">
        <f t="shared" si="6"/>
        <v>1.1713174375788667E-2</v>
      </c>
      <c r="F135" s="25">
        <f t="shared" si="7"/>
        <v>1552749.8863691017</v>
      </c>
      <c r="G135" s="23">
        <f t="shared" si="8"/>
        <v>1625226.8863691017</v>
      </c>
    </row>
    <row r="136" spans="1:7" x14ac:dyDescent="0.2">
      <c r="A136">
        <v>2019</v>
      </c>
      <c r="B136" s="1" t="s">
        <v>554</v>
      </c>
      <c r="C136" s="1" t="s">
        <v>195</v>
      </c>
      <c r="D136" s="22">
        <v>76544</v>
      </c>
      <c r="E136" s="24">
        <f t="shared" si="6"/>
        <v>1.2370451583541921E-2</v>
      </c>
      <c r="F136" s="25">
        <f t="shared" si="7"/>
        <v>1639881.4424194782</v>
      </c>
      <c r="G136" s="23">
        <f t="shared" si="8"/>
        <v>1716425.4424194782</v>
      </c>
    </row>
    <row r="137" spans="1:7" x14ac:dyDescent="0.2">
      <c r="A137">
        <v>2019</v>
      </c>
      <c r="B137" s="1" t="s">
        <v>555</v>
      </c>
      <c r="C137" s="1" t="s">
        <v>196</v>
      </c>
      <c r="D137" s="22">
        <v>57128</v>
      </c>
      <c r="E137" s="24">
        <f t="shared" si="6"/>
        <v>9.2325872447818619E-3</v>
      </c>
      <c r="F137" s="25">
        <f t="shared" si="7"/>
        <v>1223912.3516218117</v>
      </c>
      <c r="G137" s="23">
        <f t="shared" si="8"/>
        <v>1281040.3516218117</v>
      </c>
    </row>
    <row r="138" spans="1:7" x14ac:dyDescent="0.2">
      <c r="A138">
        <v>2019</v>
      </c>
      <c r="B138" s="1" t="s">
        <v>556</v>
      </c>
      <c r="C138" s="1" t="s">
        <v>197</v>
      </c>
      <c r="D138" s="22">
        <v>59369</v>
      </c>
      <c r="E138" s="24">
        <f t="shared" si="6"/>
        <v>9.5947604000744709E-3</v>
      </c>
      <c r="F138" s="25">
        <f t="shared" si="7"/>
        <v>1271923.6172005907</v>
      </c>
      <c r="G138" s="23">
        <f t="shared" si="8"/>
        <v>1331292.6172005907</v>
      </c>
    </row>
    <row r="139" spans="1:7" x14ac:dyDescent="0.2">
      <c r="A139">
        <v>2019</v>
      </c>
      <c r="B139" s="1" t="s">
        <v>557</v>
      </c>
      <c r="C139" s="1" t="s">
        <v>198</v>
      </c>
      <c r="D139" s="22">
        <v>67476</v>
      </c>
      <c r="E139" s="24">
        <f t="shared" si="6"/>
        <v>1.09049512835895E-2</v>
      </c>
      <c r="F139" s="25">
        <f t="shared" si="7"/>
        <v>1445608.2803184667</v>
      </c>
      <c r="G139" s="23">
        <f t="shared" si="8"/>
        <v>1513084.2803184667</v>
      </c>
    </row>
    <row r="140" spans="1:7" x14ac:dyDescent="0.2">
      <c r="A140">
        <v>2019</v>
      </c>
      <c r="B140" s="1" t="s">
        <v>558</v>
      </c>
      <c r="C140" s="1" t="s">
        <v>199</v>
      </c>
      <c r="D140" s="22">
        <v>24696</v>
      </c>
      <c r="E140" s="24">
        <f t="shared" si="6"/>
        <v>3.9911772615378246E-3</v>
      </c>
      <c r="F140" s="25">
        <f t="shared" si="7"/>
        <v>529088.00300469575</v>
      </c>
      <c r="G140" s="23">
        <f t="shared" si="8"/>
        <v>553784.00300469575</v>
      </c>
    </row>
    <row r="141" spans="1:7" x14ac:dyDescent="0.2">
      <c r="A141">
        <v>2019</v>
      </c>
      <c r="B141" s="1" t="s">
        <v>559</v>
      </c>
      <c r="C141" s="1" t="s">
        <v>200</v>
      </c>
      <c r="D141" s="22">
        <v>61144</v>
      </c>
      <c r="E141" s="24">
        <f t="shared" si="6"/>
        <v>9.881622225440102E-3</v>
      </c>
      <c r="F141" s="25">
        <f t="shared" si="7"/>
        <v>1309951.281815643</v>
      </c>
      <c r="G141" s="23">
        <f t="shared" si="8"/>
        <v>1371095.281815643</v>
      </c>
    </row>
    <row r="142" spans="1:7" x14ac:dyDescent="0.2">
      <c r="A142">
        <v>2019</v>
      </c>
      <c r="B142" s="1" t="s">
        <v>560</v>
      </c>
      <c r="C142" s="1" t="s">
        <v>201</v>
      </c>
      <c r="D142" s="22">
        <v>34979</v>
      </c>
      <c r="E142" s="24">
        <f t="shared" si="6"/>
        <v>5.6530365011067214E-3</v>
      </c>
      <c r="F142" s="25">
        <f t="shared" si="7"/>
        <v>749391.36933516583</v>
      </c>
      <c r="G142" s="23">
        <f t="shared" si="8"/>
        <v>784370.36933516583</v>
      </c>
    </row>
    <row r="143" spans="1:7" x14ac:dyDescent="0.2">
      <c r="A143">
        <v>2019</v>
      </c>
      <c r="B143" s="1" t="s">
        <v>561</v>
      </c>
      <c r="C143" s="1" t="s">
        <v>202</v>
      </c>
      <c r="D143" s="22">
        <v>52317</v>
      </c>
      <c r="E143" s="24">
        <f t="shared" si="6"/>
        <v>8.4550704888190151E-3</v>
      </c>
      <c r="F143" s="25">
        <f t="shared" si="7"/>
        <v>1120841.3124877175</v>
      </c>
      <c r="G143" s="23">
        <f t="shared" si="8"/>
        <v>1173158.3124877175</v>
      </c>
    </row>
    <row r="144" spans="1:7" x14ac:dyDescent="0.2">
      <c r="A144">
        <v>2019</v>
      </c>
      <c r="B144" s="1" t="s">
        <v>562</v>
      </c>
      <c r="C144" s="1" t="s">
        <v>203</v>
      </c>
      <c r="D144" s="22">
        <v>24161</v>
      </c>
      <c r="E144" s="24">
        <f t="shared" si="6"/>
        <v>3.9047146831881841E-3</v>
      </c>
      <c r="F144" s="25">
        <f t="shared" si="7"/>
        <v>517626.14352917299</v>
      </c>
      <c r="G144" s="23">
        <f t="shared" si="8"/>
        <v>541787.14352917299</v>
      </c>
    </row>
    <row r="145" spans="1:7" x14ac:dyDescent="0.2">
      <c r="A145">
        <v>2019</v>
      </c>
      <c r="B145" s="1" t="s">
        <v>563</v>
      </c>
      <c r="C145" s="1" t="s">
        <v>204</v>
      </c>
      <c r="D145" s="22">
        <v>8235</v>
      </c>
      <c r="E145" s="24">
        <f t="shared" si="6"/>
        <v>1.3308772574005502E-3</v>
      </c>
      <c r="F145" s="25">
        <f t="shared" si="7"/>
        <v>176426.93977744045</v>
      </c>
      <c r="G145" s="23">
        <f t="shared" si="8"/>
        <v>184661.93977744045</v>
      </c>
    </row>
    <row r="146" spans="1:7" x14ac:dyDescent="0.2">
      <c r="A146">
        <v>2019</v>
      </c>
      <c r="B146" s="1" t="s">
        <v>564</v>
      </c>
      <c r="C146" s="1" t="s">
        <v>205</v>
      </c>
      <c r="D146" s="22">
        <v>43014</v>
      </c>
      <c r="E146" s="24">
        <f t="shared" si="6"/>
        <v>6.9515912993111436E-3</v>
      </c>
      <c r="F146" s="25">
        <f t="shared" si="7"/>
        <v>921533.501832037</v>
      </c>
      <c r="G146" s="23">
        <f t="shared" si="8"/>
        <v>964547.501832037</v>
      </c>
    </row>
    <row r="147" spans="1:7" x14ac:dyDescent="0.2">
      <c r="A147">
        <v>2019</v>
      </c>
      <c r="B147" s="1" t="s">
        <v>565</v>
      </c>
      <c r="C147" s="1" t="s">
        <v>206</v>
      </c>
      <c r="D147" s="22">
        <v>40125</v>
      </c>
      <c r="E147" s="24">
        <f t="shared" si="6"/>
        <v>6.4846933762230819E-3</v>
      </c>
      <c r="F147" s="25">
        <f t="shared" si="7"/>
        <v>859639.46066421364</v>
      </c>
      <c r="G147" s="23">
        <f t="shared" si="8"/>
        <v>899764.46066421364</v>
      </c>
    </row>
    <row r="148" spans="1:7" x14ac:dyDescent="0.2">
      <c r="A148">
        <v>2019</v>
      </c>
      <c r="B148" s="1" t="s">
        <v>566</v>
      </c>
      <c r="C148" s="1" t="s">
        <v>207</v>
      </c>
      <c r="D148" s="22">
        <v>51164</v>
      </c>
      <c r="E148" s="24">
        <f t="shared" si="6"/>
        <v>8.2687315115533393E-3</v>
      </c>
      <c r="F148" s="25">
        <f t="shared" si="7"/>
        <v>1096139.3985152354</v>
      </c>
      <c r="G148" s="23">
        <f t="shared" si="8"/>
        <v>1147303.3985152354</v>
      </c>
    </row>
    <row r="149" spans="1:7" x14ac:dyDescent="0.2">
      <c r="A149">
        <v>2019</v>
      </c>
      <c r="B149" s="1" t="s">
        <v>567</v>
      </c>
      <c r="C149" s="1" t="s">
        <v>208</v>
      </c>
      <c r="D149" s="22">
        <v>21651</v>
      </c>
      <c r="E149" s="24">
        <f t="shared" si="6"/>
        <v>3.4990678202767838E-3</v>
      </c>
      <c r="F149" s="25">
        <f t="shared" si="7"/>
        <v>463851.81215802842</v>
      </c>
      <c r="G149" s="23">
        <f t="shared" si="8"/>
        <v>485502.81215802842</v>
      </c>
    </row>
    <row r="150" spans="1:7" x14ac:dyDescent="0.2">
      <c r="A150">
        <v>2019</v>
      </c>
      <c r="B150" s="1" t="s">
        <v>624</v>
      </c>
      <c r="C150" s="1" t="s">
        <v>625</v>
      </c>
      <c r="D150" s="22">
        <v>39233</v>
      </c>
      <c r="E150" s="24">
        <f t="shared" si="6"/>
        <v>6.3405352082083529E-3</v>
      </c>
      <c r="F150" s="25">
        <f t="shared" si="7"/>
        <v>840529.22019287455</v>
      </c>
      <c r="G150" s="23">
        <f t="shared" si="8"/>
        <v>879762.22019287455</v>
      </c>
    </row>
    <row r="151" spans="1:7" x14ac:dyDescent="0.2">
      <c r="A151">
        <v>2019</v>
      </c>
      <c r="B151" s="1" t="s">
        <v>568</v>
      </c>
      <c r="C151" s="1" t="s">
        <v>569</v>
      </c>
      <c r="D151" s="22">
        <v>65200</v>
      </c>
      <c r="E151" s="24">
        <f t="shared" si="6"/>
        <v>1.0537121697937569E-2</v>
      </c>
      <c r="F151" s="25">
        <f t="shared" si="7"/>
        <v>1396847.1734655884</v>
      </c>
      <c r="G151" s="23">
        <f t="shared" si="8"/>
        <v>1462047.1734655884</v>
      </c>
    </row>
    <row r="152" spans="1:7" x14ac:dyDescent="0.2">
      <c r="A152">
        <v>2019</v>
      </c>
      <c r="B152" s="1" t="s">
        <v>570</v>
      </c>
      <c r="C152" s="1" t="s">
        <v>209</v>
      </c>
      <c r="D152" s="22">
        <v>63393</v>
      </c>
      <c r="E152" s="24">
        <f t="shared" si="6"/>
        <v>1.0245088279100556E-2</v>
      </c>
      <c r="F152" s="25">
        <f t="shared" si="7"/>
        <v>1358133.9396856446</v>
      </c>
      <c r="G152" s="23">
        <f t="shared" si="8"/>
        <v>1421526.9396856446</v>
      </c>
    </row>
    <row r="153" spans="1:7" x14ac:dyDescent="0.2">
      <c r="A153">
        <v>2019</v>
      </c>
      <c r="B153" s="1" t="s">
        <v>571</v>
      </c>
      <c r="C153" s="1" t="s">
        <v>210</v>
      </c>
      <c r="D153" s="22">
        <v>8507</v>
      </c>
      <c r="E153" s="24">
        <f t="shared" si="6"/>
        <v>1.3748358019072837E-3</v>
      </c>
      <c r="F153" s="25">
        <f t="shared" si="7"/>
        <v>182254.27767901472</v>
      </c>
      <c r="G153" s="23">
        <f t="shared" si="8"/>
        <v>190761.27767901472</v>
      </c>
    </row>
    <row r="154" spans="1:7" x14ac:dyDescent="0.2">
      <c r="A154">
        <v>2019</v>
      </c>
      <c r="B154" s="1" t="s">
        <v>630</v>
      </c>
      <c r="C154" s="1" t="s">
        <v>631</v>
      </c>
      <c r="D154" s="22">
        <v>11912</v>
      </c>
      <c r="E154" s="24">
        <f t="shared" si="6"/>
        <v>1.9251256697213545E-3</v>
      </c>
      <c r="F154" s="25">
        <f t="shared" si="7"/>
        <v>255203.12163070685</v>
      </c>
      <c r="G154" s="23">
        <f t="shared" si="8"/>
        <v>267115.12163070682</v>
      </c>
    </row>
    <row r="155" spans="1:7" x14ac:dyDescent="0.2">
      <c r="A155">
        <v>2019</v>
      </c>
      <c r="B155" s="1" t="s">
        <v>621</v>
      </c>
      <c r="C155" s="1" t="s">
        <v>211</v>
      </c>
      <c r="D155" s="22"/>
      <c r="E155" s="24">
        <f t="shared" si="6"/>
        <v>0</v>
      </c>
      <c r="F155" s="25">
        <f t="shared" si="7"/>
        <v>0</v>
      </c>
      <c r="G155" s="23">
        <f t="shared" si="8"/>
        <v>0</v>
      </c>
    </row>
    <row r="156" spans="1:7" x14ac:dyDescent="0.2">
      <c r="A156">
        <v>2019</v>
      </c>
      <c r="B156" s="1" t="s">
        <v>573</v>
      </c>
      <c r="C156" s="1" t="s">
        <v>212</v>
      </c>
      <c r="D156" s="22"/>
      <c r="E156" s="24">
        <f t="shared" si="6"/>
        <v>0</v>
      </c>
      <c r="F156" s="25">
        <f t="shared" si="7"/>
        <v>0</v>
      </c>
      <c r="G156" s="23">
        <f t="shared" si="8"/>
        <v>0</v>
      </c>
    </row>
    <row r="157" spans="1:7" x14ac:dyDescent="0.2">
      <c r="A157">
        <v>2019</v>
      </c>
      <c r="B157" s="1" t="s">
        <v>574</v>
      </c>
      <c r="C157" s="1" t="s">
        <v>213</v>
      </c>
      <c r="D157" s="22"/>
      <c r="E157" s="24">
        <f t="shared" si="6"/>
        <v>0</v>
      </c>
      <c r="F157" s="25">
        <f t="shared" si="7"/>
        <v>0</v>
      </c>
      <c r="G157" s="23">
        <f t="shared" si="8"/>
        <v>0</v>
      </c>
    </row>
    <row r="158" spans="1:7" x14ac:dyDescent="0.2">
      <c r="A158">
        <v>2019</v>
      </c>
      <c r="B158" s="1" t="s">
        <v>575</v>
      </c>
      <c r="C158" s="1" t="s">
        <v>214</v>
      </c>
      <c r="D158" s="22"/>
      <c r="E158" s="24">
        <f t="shared" si="6"/>
        <v>0</v>
      </c>
      <c r="F158" s="25">
        <f t="shared" si="7"/>
        <v>0</v>
      </c>
      <c r="G158" s="23">
        <f t="shared" si="8"/>
        <v>0</v>
      </c>
    </row>
    <row r="159" spans="1:7" x14ac:dyDescent="0.2">
      <c r="A159">
        <v>2019</v>
      </c>
      <c r="B159" s="1" t="s">
        <v>576</v>
      </c>
      <c r="C159" s="1" t="s">
        <v>215</v>
      </c>
      <c r="D159" s="22">
        <v>22778</v>
      </c>
      <c r="E159" s="24">
        <f t="shared" si="6"/>
        <v>3.6812048778469622E-3</v>
      </c>
      <c r="F159" s="25">
        <f t="shared" si="7"/>
        <v>487996.70118403633</v>
      </c>
      <c r="G159" s="23">
        <f t="shared" si="8"/>
        <v>510774.70118403633</v>
      </c>
    </row>
    <row r="160" spans="1:7" x14ac:dyDescent="0.2">
      <c r="A160">
        <v>2019</v>
      </c>
      <c r="B160" s="1" t="s">
        <v>216</v>
      </c>
      <c r="C160" s="1" t="s">
        <v>217</v>
      </c>
      <c r="D160" s="22">
        <v>38869</v>
      </c>
      <c r="E160" s="24">
        <f t="shared" si="6"/>
        <v>6.2817083324714007E-3</v>
      </c>
      <c r="F160" s="25">
        <f t="shared" si="7"/>
        <v>832730.87094223837</v>
      </c>
      <c r="G160" s="23">
        <f t="shared" si="8"/>
        <v>871599.87094223837</v>
      </c>
    </row>
    <row r="161" spans="1:7" x14ac:dyDescent="0.2">
      <c r="A161">
        <v>2019</v>
      </c>
      <c r="B161" s="1" t="s">
        <v>218</v>
      </c>
      <c r="C161" s="1" t="s">
        <v>219</v>
      </c>
      <c r="D161" s="22"/>
      <c r="E161" s="24">
        <f t="shared" si="6"/>
        <v>0</v>
      </c>
      <c r="F161" s="25">
        <f t="shared" si="7"/>
        <v>0</v>
      </c>
      <c r="G161" s="23">
        <f t="shared" si="8"/>
        <v>0</v>
      </c>
    </row>
    <row r="162" spans="1:7" x14ac:dyDescent="0.2">
      <c r="A162">
        <v>2019</v>
      </c>
      <c r="B162" s="1" t="s">
        <v>220</v>
      </c>
      <c r="C162" s="1" t="s">
        <v>221</v>
      </c>
      <c r="D162" s="22"/>
      <c r="E162" s="24">
        <f t="shared" si="6"/>
        <v>0</v>
      </c>
      <c r="F162" s="25">
        <f t="shared" si="7"/>
        <v>0</v>
      </c>
      <c r="G162" s="23">
        <f t="shared" si="8"/>
        <v>0</v>
      </c>
    </row>
    <row r="163" spans="1:7" x14ac:dyDescent="0.2">
      <c r="A163">
        <v>2019</v>
      </c>
      <c r="B163" s="1" t="s">
        <v>222</v>
      </c>
      <c r="C163" s="1" t="s">
        <v>223</v>
      </c>
      <c r="D163" s="22">
        <v>7221</v>
      </c>
      <c r="E163" s="24">
        <f t="shared" si="6"/>
        <v>1.1670023892761839E-3</v>
      </c>
      <c r="F163" s="25">
        <f t="shared" si="7"/>
        <v>154702.96686495419</v>
      </c>
      <c r="G163" s="23">
        <f t="shared" si="8"/>
        <v>161923.96686495419</v>
      </c>
    </row>
    <row r="164" spans="1:7" x14ac:dyDescent="0.2">
      <c r="A164">
        <v>2019</v>
      </c>
      <c r="B164" s="1" t="s">
        <v>224</v>
      </c>
      <c r="C164" s="1" t="s">
        <v>225</v>
      </c>
      <c r="D164" s="22"/>
      <c r="E164" s="24">
        <f t="shared" si="6"/>
        <v>0</v>
      </c>
      <c r="F164" s="25">
        <f t="shared" si="7"/>
        <v>0</v>
      </c>
      <c r="G164" s="23">
        <f t="shared" si="8"/>
        <v>0</v>
      </c>
    </row>
    <row r="165" spans="1:7" x14ac:dyDescent="0.2">
      <c r="A165">
        <v>2019</v>
      </c>
      <c r="B165" s="1" t="s">
        <v>577</v>
      </c>
      <c r="C165" s="1" t="s">
        <v>227</v>
      </c>
      <c r="D165" s="22">
        <v>34456</v>
      </c>
      <c r="E165" s="24">
        <f t="shared" si="6"/>
        <v>5.568513270308848E-3</v>
      </c>
      <c r="F165" s="25">
        <f t="shared" si="7"/>
        <v>738186.59829647711</v>
      </c>
      <c r="G165" s="23">
        <f t="shared" si="8"/>
        <v>772642.59829647711</v>
      </c>
    </row>
    <row r="166" spans="1:7" x14ac:dyDescent="0.2">
      <c r="A166">
        <v>2019</v>
      </c>
      <c r="B166" s="1" t="s">
        <v>578</v>
      </c>
      <c r="C166" s="1" t="s">
        <v>228</v>
      </c>
      <c r="D166" s="22">
        <v>10533</v>
      </c>
      <c r="E166" s="24">
        <f t="shared" si="6"/>
        <v>1.7022623135640553E-3</v>
      </c>
      <c r="F166" s="25">
        <f t="shared" si="7"/>
        <v>225659.3754311816</v>
      </c>
      <c r="G166" s="23">
        <f t="shared" si="8"/>
        <v>236192.3754311816</v>
      </c>
    </row>
    <row r="167" spans="1:7" x14ac:dyDescent="0.2">
      <c r="A167">
        <v>2019</v>
      </c>
      <c r="B167" s="1" t="s">
        <v>229</v>
      </c>
      <c r="C167" s="1" t="s">
        <v>230</v>
      </c>
      <c r="D167" s="22"/>
      <c r="E167" s="24">
        <f t="shared" si="6"/>
        <v>0</v>
      </c>
      <c r="F167" s="25">
        <f t="shared" si="7"/>
        <v>0</v>
      </c>
      <c r="G167" s="23">
        <f t="shared" si="8"/>
        <v>0</v>
      </c>
    </row>
    <row r="168" spans="1:7" x14ac:dyDescent="0.2">
      <c r="A168">
        <v>2019</v>
      </c>
      <c r="B168" s="1" t="s">
        <v>231</v>
      </c>
      <c r="C168" s="1" t="s">
        <v>232</v>
      </c>
      <c r="D168" s="22"/>
      <c r="E168" s="24">
        <f t="shared" si="6"/>
        <v>0</v>
      </c>
      <c r="F168" s="25">
        <f t="shared" si="7"/>
        <v>0</v>
      </c>
      <c r="G168" s="23">
        <f t="shared" si="8"/>
        <v>0</v>
      </c>
    </row>
    <row r="169" spans="1:7" x14ac:dyDescent="0.2">
      <c r="A169">
        <v>2019</v>
      </c>
      <c r="B169" s="1" t="s">
        <v>579</v>
      </c>
      <c r="C169" s="1" t="s">
        <v>233</v>
      </c>
      <c r="D169" s="22"/>
      <c r="E169" s="24">
        <f t="shared" si="6"/>
        <v>0</v>
      </c>
      <c r="F169" s="25">
        <f t="shared" si="7"/>
        <v>0</v>
      </c>
      <c r="G169" s="23">
        <f t="shared" si="8"/>
        <v>0</v>
      </c>
    </row>
    <row r="170" spans="1:7" x14ac:dyDescent="0.2">
      <c r="A170">
        <v>2019</v>
      </c>
      <c r="B170" s="1" t="s">
        <v>580</v>
      </c>
      <c r="C170" s="1" t="s">
        <v>234</v>
      </c>
      <c r="D170" s="22">
        <v>11751</v>
      </c>
      <c r="E170" s="24">
        <f t="shared" si="6"/>
        <v>1.8991060900684718E-3</v>
      </c>
      <c r="F170" s="25">
        <f t="shared" si="7"/>
        <v>251753.85176984855</v>
      </c>
      <c r="G170" s="23">
        <f t="shared" si="8"/>
        <v>263504.85176984855</v>
      </c>
    </row>
    <row r="171" spans="1:7" x14ac:dyDescent="0.2">
      <c r="A171">
        <v>2019</v>
      </c>
      <c r="B171" s="1" t="s">
        <v>581</v>
      </c>
      <c r="C171" s="1" t="s">
        <v>235</v>
      </c>
      <c r="D171" s="22">
        <v>1544</v>
      </c>
      <c r="E171" s="24">
        <f t="shared" si="6"/>
        <v>2.4952938499410438E-4</v>
      </c>
      <c r="F171" s="25">
        <f t="shared" si="7"/>
        <v>33078.712205994911</v>
      </c>
      <c r="G171" s="23">
        <f t="shared" si="8"/>
        <v>34622.712205994911</v>
      </c>
    </row>
    <row r="172" spans="1:7" x14ac:dyDescent="0.2">
      <c r="A172">
        <v>2019</v>
      </c>
      <c r="B172" s="1" t="s">
        <v>582</v>
      </c>
      <c r="C172" s="1" t="s">
        <v>236</v>
      </c>
      <c r="D172" s="22">
        <v>13337</v>
      </c>
      <c r="E172" s="24">
        <f t="shared" si="6"/>
        <v>2.1554231914937632E-3</v>
      </c>
      <c r="F172" s="25">
        <f t="shared" si="7"/>
        <v>285732.37350476306</v>
      </c>
      <c r="G172" s="23">
        <f t="shared" si="8"/>
        <v>299069.37350476306</v>
      </c>
    </row>
    <row r="173" spans="1:7" x14ac:dyDescent="0.2">
      <c r="A173">
        <v>2019</v>
      </c>
      <c r="B173" s="1" t="s">
        <v>583</v>
      </c>
      <c r="C173" s="1" t="s">
        <v>237</v>
      </c>
      <c r="D173" s="22">
        <v>6689</v>
      </c>
      <c r="E173" s="24">
        <f t="shared" si="6"/>
        <v>1.0810246478144847E-3</v>
      </c>
      <c r="F173" s="25">
        <f t="shared" si="7"/>
        <v>143305.37949863987</v>
      </c>
      <c r="G173" s="23">
        <f t="shared" si="8"/>
        <v>149994.37949863987</v>
      </c>
    </row>
    <row r="174" spans="1:7" x14ac:dyDescent="0.2">
      <c r="A174">
        <v>2019</v>
      </c>
      <c r="B174" s="1" t="s">
        <v>238</v>
      </c>
      <c r="C174" s="1" t="s">
        <v>239</v>
      </c>
      <c r="D174" s="22">
        <v>4737</v>
      </c>
      <c r="E174" s="24">
        <f t="shared" si="6"/>
        <v>7.6555744606028012E-4</v>
      </c>
      <c r="F174" s="25">
        <f t="shared" si="7"/>
        <v>101485.66044028361</v>
      </c>
      <c r="G174" s="23">
        <f t="shared" si="8"/>
        <v>106222.66044028361</v>
      </c>
    </row>
    <row r="175" spans="1:7" x14ac:dyDescent="0.2">
      <c r="A175">
        <v>2019</v>
      </c>
      <c r="B175" s="1" t="s">
        <v>240</v>
      </c>
      <c r="C175" s="1" t="s">
        <v>241</v>
      </c>
      <c r="D175" s="22">
        <v>25</v>
      </c>
      <c r="E175" s="24">
        <f t="shared" si="6"/>
        <v>4.0403073995159391E-6</v>
      </c>
      <c r="F175" s="25">
        <f t="shared" si="7"/>
        <v>535.60091007116114</v>
      </c>
      <c r="G175" s="23">
        <f t="shared" si="8"/>
        <v>560.60091007116114</v>
      </c>
    </row>
    <row r="176" spans="1:7" x14ac:dyDescent="0.2">
      <c r="A176">
        <v>2019</v>
      </c>
      <c r="B176" s="1" t="s">
        <v>242</v>
      </c>
      <c r="C176" s="1" t="s">
        <v>243</v>
      </c>
      <c r="D176" s="22"/>
      <c r="E176" s="24">
        <f t="shared" si="6"/>
        <v>0</v>
      </c>
      <c r="F176" s="25">
        <f t="shared" si="7"/>
        <v>0</v>
      </c>
      <c r="G176" s="23">
        <f t="shared" si="8"/>
        <v>0</v>
      </c>
    </row>
    <row r="177" spans="1:7" x14ac:dyDescent="0.2">
      <c r="A177">
        <v>2019</v>
      </c>
      <c r="B177" s="1" t="s">
        <v>244</v>
      </c>
      <c r="C177" s="1" t="s">
        <v>245</v>
      </c>
      <c r="D177" s="22"/>
      <c r="E177" s="24">
        <f t="shared" si="6"/>
        <v>0</v>
      </c>
      <c r="F177" s="25">
        <f t="shared" si="7"/>
        <v>0</v>
      </c>
      <c r="G177" s="23">
        <f t="shared" si="8"/>
        <v>0</v>
      </c>
    </row>
    <row r="178" spans="1:7" x14ac:dyDescent="0.2">
      <c r="A178">
        <v>2019</v>
      </c>
      <c r="B178" s="1" t="s">
        <v>246</v>
      </c>
      <c r="C178" s="1" t="s">
        <v>247</v>
      </c>
      <c r="D178" s="22"/>
      <c r="E178" s="24">
        <f t="shared" si="6"/>
        <v>0</v>
      </c>
      <c r="F178" s="25">
        <f t="shared" si="7"/>
        <v>0</v>
      </c>
      <c r="G178" s="23">
        <f t="shared" si="8"/>
        <v>0</v>
      </c>
    </row>
    <row r="179" spans="1:7" x14ac:dyDescent="0.2">
      <c r="A179">
        <v>2019</v>
      </c>
      <c r="B179" s="1" t="s">
        <v>248</v>
      </c>
      <c r="C179" s="1" t="s">
        <v>249</v>
      </c>
      <c r="D179" s="22">
        <v>20780</v>
      </c>
      <c r="E179" s="24">
        <f t="shared" si="6"/>
        <v>3.3583035104776484E-3</v>
      </c>
      <c r="F179" s="25">
        <f t="shared" si="7"/>
        <v>445191.47645114915</v>
      </c>
      <c r="G179" s="23">
        <f t="shared" si="8"/>
        <v>465971.47645114915</v>
      </c>
    </row>
    <row r="180" spans="1:7" x14ac:dyDescent="0.2">
      <c r="A180">
        <v>2019</v>
      </c>
      <c r="B180" s="1" t="s">
        <v>584</v>
      </c>
      <c r="C180" s="1" t="s">
        <v>251</v>
      </c>
      <c r="D180" s="22">
        <v>1255</v>
      </c>
      <c r="E180" s="24">
        <f t="shared" si="6"/>
        <v>2.0282343145570014E-4</v>
      </c>
      <c r="F180" s="25">
        <f t="shared" si="7"/>
        <v>26887.16568557229</v>
      </c>
      <c r="G180" s="23">
        <f t="shared" si="8"/>
        <v>28142.16568557229</v>
      </c>
    </row>
    <row r="181" spans="1:7" x14ac:dyDescent="0.2">
      <c r="A181">
        <v>2019</v>
      </c>
      <c r="B181" s="1" t="s">
        <v>585</v>
      </c>
      <c r="C181" s="1" t="s">
        <v>252</v>
      </c>
      <c r="D181" s="22"/>
      <c r="E181" s="24">
        <f t="shared" si="6"/>
        <v>0</v>
      </c>
      <c r="F181" s="25">
        <f t="shared" si="7"/>
        <v>0</v>
      </c>
      <c r="G181" s="23">
        <f t="shared" si="8"/>
        <v>0</v>
      </c>
    </row>
    <row r="182" spans="1:7" x14ac:dyDescent="0.2">
      <c r="A182">
        <v>2019</v>
      </c>
      <c r="B182" s="1" t="s">
        <v>586</v>
      </c>
      <c r="C182" s="1" t="s">
        <v>253</v>
      </c>
      <c r="D182" s="22">
        <v>9019</v>
      </c>
      <c r="E182" s="24">
        <f t="shared" si="6"/>
        <v>1.4575812974493702E-3</v>
      </c>
      <c r="F182" s="25">
        <f t="shared" si="7"/>
        <v>193223.38431727208</v>
      </c>
      <c r="G182" s="23">
        <f t="shared" si="8"/>
        <v>202242.38431727208</v>
      </c>
    </row>
    <row r="183" spans="1:7" x14ac:dyDescent="0.2">
      <c r="A183">
        <v>2019</v>
      </c>
      <c r="B183" s="1" t="s">
        <v>587</v>
      </c>
      <c r="C183" s="1" t="s">
        <v>254</v>
      </c>
      <c r="D183" s="22">
        <v>1745</v>
      </c>
      <c r="E183" s="24">
        <f t="shared" si="6"/>
        <v>2.8201345648621256E-4</v>
      </c>
      <c r="F183" s="25">
        <f t="shared" si="7"/>
        <v>37384.943522967049</v>
      </c>
      <c r="G183" s="23">
        <f t="shared" si="8"/>
        <v>39129.943522967049</v>
      </c>
    </row>
    <row r="184" spans="1:7" x14ac:dyDescent="0.2">
      <c r="A184">
        <v>2019</v>
      </c>
      <c r="B184" s="1" t="s">
        <v>588</v>
      </c>
      <c r="C184" s="1" t="s">
        <v>255</v>
      </c>
      <c r="D184" s="22">
        <v>15634</v>
      </c>
      <c r="E184" s="24">
        <f t="shared" si="6"/>
        <v>2.5266466353612875E-3</v>
      </c>
      <c r="F184" s="25">
        <f t="shared" si="7"/>
        <v>334943.38512210129</v>
      </c>
      <c r="G184" s="23">
        <f t="shared" si="8"/>
        <v>350577.38512210129</v>
      </c>
    </row>
    <row r="185" spans="1:7" x14ac:dyDescent="0.2">
      <c r="A185">
        <v>2019</v>
      </c>
      <c r="B185" s="1" t="s">
        <v>589</v>
      </c>
      <c r="C185" s="1" t="s">
        <v>256</v>
      </c>
      <c r="D185" s="22">
        <v>5001</v>
      </c>
      <c r="E185" s="24">
        <f t="shared" si="6"/>
        <v>8.0822309219916839E-4</v>
      </c>
      <c r="F185" s="25">
        <f t="shared" si="7"/>
        <v>107141.60605063506</v>
      </c>
      <c r="G185" s="23">
        <f t="shared" si="8"/>
        <v>112142.60605063506</v>
      </c>
    </row>
    <row r="186" spans="1:7" x14ac:dyDescent="0.2">
      <c r="A186">
        <v>2019</v>
      </c>
      <c r="B186" s="1" t="s">
        <v>257</v>
      </c>
      <c r="C186" s="1" t="s">
        <v>258</v>
      </c>
      <c r="D186" s="22">
        <v>264</v>
      </c>
      <c r="E186" s="24">
        <f t="shared" si="6"/>
        <v>4.2665646138888317E-5</v>
      </c>
      <c r="F186" s="25">
        <f t="shared" si="7"/>
        <v>5655.9456103514622</v>
      </c>
      <c r="G186" s="23">
        <f t="shared" si="8"/>
        <v>5919.9456103514622</v>
      </c>
    </row>
    <row r="187" spans="1:7" x14ac:dyDescent="0.2">
      <c r="A187">
        <v>2019</v>
      </c>
      <c r="B187" s="1" t="s">
        <v>259</v>
      </c>
      <c r="C187" s="1" t="s">
        <v>260</v>
      </c>
      <c r="D187" s="22">
        <v>14696</v>
      </c>
      <c r="E187" s="24">
        <f t="shared" si="6"/>
        <v>2.3750543017314494E-3</v>
      </c>
      <c r="F187" s="25">
        <f t="shared" si="7"/>
        <v>314847.63897623133</v>
      </c>
      <c r="G187" s="23">
        <f t="shared" si="8"/>
        <v>329543.63897623133</v>
      </c>
    </row>
    <row r="188" spans="1:7" x14ac:dyDescent="0.2">
      <c r="A188">
        <v>2019</v>
      </c>
      <c r="B188" s="1" t="s">
        <v>590</v>
      </c>
      <c r="C188" s="1" t="s">
        <v>261</v>
      </c>
      <c r="D188" s="22">
        <v>10240</v>
      </c>
      <c r="E188" s="24">
        <f t="shared" si="6"/>
        <v>1.6549099108417286E-3</v>
      </c>
      <c r="F188" s="25">
        <f t="shared" si="7"/>
        <v>219382.1327651476</v>
      </c>
      <c r="G188" s="23">
        <f t="shared" si="8"/>
        <v>229622.1327651476</v>
      </c>
    </row>
    <row r="189" spans="1:7" x14ac:dyDescent="0.2">
      <c r="A189">
        <v>2019</v>
      </c>
      <c r="B189" s="1" t="s">
        <v>591</v>
      </c>
      <c r="C189" s="1" t="s">
        <v>262</v>
      </c>
      <c r="D189" s="22">
        <v>915</v>
      </c>
      <c r="E189" s="24">
        <f t="shared" si="6"/>
        <v>1.4787525082228336E-4</v>
      </c>
      <c r="F189" s="25">
        <f t="shared" si="7"/>
        <v>19602.993308604495</v>
      </c>
      <c r="G189" s="23">
        <f t="shared" si="8"/>
        <v>20517.993308604495</v>
      </c>
    </row>
    <row r="190" spans="1:7" x14ac:dyDescent="0.2">
      <c r="A190">
        <v>2019</v>
      </c>
      <c r="B190" s="1" t="s">
        <v>592</v>
      </c>
      <c r="C190" s="1" t="s">
        <v>263</v>
      </c>
      <c r="D190" s="22">
        <v>33</v>
      </c>
      <c r="E190" s="24">
        <f t="shared" si="6"/>
        <v>5.3332057673610396E-6</v>
      </c>
      <c r="F190" s="25">
        <f t="shared" si="7"/>
        <v>706.99320129393277</v>
      </c>
      <c r="G190" s="23">
        <f t="shared" si="8"/>
        <v>739.99320129393277</v>
      </c>
    </row>
    <row r="191" spans="1:7" x14ac:dyDescent="0.2">
      <c r="A191">
        <v>2019</v>
      </c>
      <c r="B191" s="1" t="s">
        <v>593</v>
      </c>
      <c r="C191" s="1" t="s">
        <v>264</v>
      </c>
      <c r="D191" s="22">
        <v>4843</v>
      </c>
      <c r="E191" s="24">
        <f t="shared" si="6"/>
        <v>7.8268834943422767E-4</v>
      </c>
      <c r="F191" s="25">
        <f t="shared" si="7"/>
        <v>103756.60829898533</v>
      </c>
      <c r="G191" s="23">
        <f t="shared" si="8"/>
        <v>108599.60829898533</v>
      </c>
    </row>
    <row r="192" spans="1:7" x14ac:dyDescent="0.2">
      <c r="A192">
        <v>2019</v>
      </c>
      <c r="B192" s="1" t="s">
        <v>594</v>
      </c>
      <c r="C192" s="1" t="s">
        <v>265</v>
      </c>
      <c r="D192" s="22">
        <v>4773</v>
      </c>
      <c r="E192" s="24">
        <f t="shared" si="6"/>
        <v>7.7137548871558301E-4</v>
      </c>
      <c r="F192" s="25">
        <f t="shared" si="7"/>
        <v>102256.92575078607</v>
      </c>
      <c r="G192" s="23">
        <f t="shared" si="8"/>
        <v>107029.92575078607</v>
      </c>
    </row>
    <row r="193" spans="1:7" x14ac:dyDescent="0.2">
      <c r="A193">
        <v>2019</v>
      </c>
      <c r="B193" s="1" t="s">
        <v>595</v>
      </c>
      <c r="C193" s="1" t="s">
        <v>266</v>
      </c>
      <c r="D193" s="22">
        <v>5915</v>
      </c>
      <c r="E193" s="24">
        <f t="shared" si="6"/>
        <v>9.5593673072547113E-4</v>
      </c>
      <c r="F193" s="25">
        <f t="shared" si="7"/>
        <v>126723.17532283672</v>
      </c>
      <c r="G193" s="23">
        <f t="shared" si="8"/>
        <v>132638.17532283673</v>
      </c>
    </row>
    <row r="194" spans="1:7" x14ac:dyDescent="0.2">
      <c r="A194">
        <v>2019</v>
      </c>
      <c r="B194" s="1" t="s">
        <v>596</v>
      </c>
      <c r="C194" s="1" t="s">
        <v>267</v>
      </c>
      <c r="D194" s="22">
        <v>2497</v>
      </c>
      <c r="E194" s="24">
        <f t="shared" si="6"/>
        <v>4.0354590306365196E-4</v>
      </c>
      <c r="F194" s="25">
        <f t="shared" si="7"/>
        <v>53495.818897907571</v>
      </c>
      <c r="G194" s="23">
        <f t="shared" si="8"/>
        <v>55992.818897907571</v>
      </c>
    </row>
    <row r="195" spans="1:7" x14ac:dyDescent="0.2">
      <c r="A195">
        <v>2019</v>
      </c>
      <c r="B195" s="1" t="s">
        <v>597</v>
      </c>
      <c r="C195" s="1" t="s">
        <v>268</v>
      </c>
      <c r="D195" s="22">
        <v>5220</v>
      </c>
      <c r="E195" s="24">
        <f t="shared" ref="E195:E251" si="9">D195/$D$253</f>
        <v>8.4361618501892807E-4</v>
      </c>
      <c r="F195" s="25">
        <f t="shared" ref="F195:F251" si="10">E195*$D$255</f>
        <v>111833.47002285846</v>
      </c>
      <c r="G195" s="23">
        <f t="shared" ref="G195:G251" si="11">SUM(F195,D195)</f>
        <v>117053.47002285846</v>
      </c>
    </row>
    <row r="196" spans="1:7" x14ac:dyDescent="0.2">
      <c r="A196">
        <v>2019</v>
      </c>
      <c r="B196" s="1" t="s">
        <v>269</v>
      </c>
      <c r="C196" s="1" t="s">
        <v>270</v>
      </c>
      <c r="D196" s="22"/>
      <c r="E196" s="24">
        <f t="shared" si="9"/>
        <v>0</v>
      </c>
      <c r="F196" s="25">
        <f t="shared" si="10"/>
        <v>0</v>
      </c>
      <c r="G196" s="23">
        <f t="shared" si="11"/>
        <v>0</v>
      </c>
    </row>
    <row r="197" spans="1:7" x14ac:dyDescent="0.2">
      <c r="A197">
        <v>2019</v>
      </c>
      <c r="B197" s="1" t="s">
        <v>271</v>
      </c>
      <c r="C197" s="1" t="s">
        <v>272</v>
      </c>
      <c r="D197" s="22">
        <v>97100</v>
      </c>
      <c r="E197" s="24">
        <f t="shared" si="9"/>
        <v>1.5692553939719908E-2</v>
      </c>
      <c r="F197" s="25">
        <f t="shared" si="10"/>
        <v>2080273.93471639</v>
      </c>
      <c r="G197" s="23">
        <f t="shared" si="11"/>
        <v>2177373.93471639</v>
      </c>
    </row>
    <row r="198" spans="1:7" x14ac:dyDescent="0.2">
      <c r="A198">
        <v>2019</v>
      </c>
      <c r="B198" s="1" t="s">
        <v>598</v>
      </c>
      <c r="C198" s="1" t="s">
        <v>273</v>
      </c>
      <c r="D198" s="22">
        <v>20661</v>
      </c>
      <c r="E198" s="24">
        <f t="shared" si="9"/>
        <v>3.3390716472559527E-3</v>
      </c>
      <c r="F198" s="25">
        <f t="shared" si="10"/>
        <v>442642.01611921046</v>
      </c>
      <c r="G198" s="23">
        <f t="shared" si="11"/>
        <v>463303.01611921046</v>
      </c>
    </row>
    <row r="199" spans="1:7" x14ac:dyDescent="0.2">
      <c r="A199">
        <v>2019</v>
      </c>
      <c r="B199" s="1" t="s">
        <v>599</v>
      </c>
      <c r="C199" s="1" t="s">
        <v>274</v>
      </c>
      <c r="D199" s="22">
        <v>51507</v>
      </c>
      <c r="E199" s="24">
        <f t="shared" si="9"/>
        <v>8.3241645290746992E-3</v>
      </c>
      <c r="F199" s="25">
        <f t="shared" si="10"/>
        <v>1103487.843001412</v>
      </c>
      <c r="G199" s="23">
        <f t="shared" si="11"/>
        <v>1154994.843001412</v>
      </c>
    </row>
    <row r="200" spans="1:7" x14ac:dyDescent="0.2">
      <c r="A200">
        <v>2019</v>
      </c>
      <c r="B200" s="1" t="s">
        <v>600</v>
      </c>
      <c r="C200" s="1" t="s">
        <v>275</v>
      </c>
      <c r="D200" s="22">
        <v>9716</v>
      </c>
      <c r="E200" s="24">
        <f t="shared" si="9"/>
        <v>1.5702250677478745E-3</v>
      </c>
      <c r="F200" s="25">
        <f t="shared" si="10"/>
        <v>208155.93769005607</v>
      </c>
      <c r="G200" s="23">
        <f t="shared" si="11"/>
        <v>217871.93769005607</v>
      </c>
    </row>
    <row r="201" spans="1:7" x14ac:dyDescent="0.2">
      <c r="A201">
        <v>2019</v>
      </c>
      <c r="B201" s="1" t="s">
        <v>276</v>
      </c>
      <c r="C201" s="1" t="s">
        <v>277</v>
      </c>
      <c r="D201" s="22">
        <v>8494</v>
      </c>
      <c r="E201" s="24">
        <f t="shared" si="9"/>
        <v>1.3727348420595354E-3</v>
      </c>
      <c r="F201" s="25">
        <f t="shared" si="10"/>
        <v>181975.76520577772</v>
      </c>
      <c r="G201" s="23">
        <f t="shared" si="11"/>
        <v>190469.76520577772</v>
      </c>
    </row>
    <row r="202" spans="1:7" x14ac:dyDescent="0.2">
      <c r="A202">
        <v>2019</v>
      </c>
      <c r="B202" s="1" t="s">
        <v>278</v>
      </c>
      <c r="C202" s="1" t="s">
        <v>279</v>
      </c>
      <c r="D202" s="22">
        <v>4215</v>
      </c>
      <c r="E202" s="24">
        <f t="shared" si="9"/>
        <v>6.8119582755838727E-4</v>
      </c>
      <c r="F202" s="25">
        <f t="shared" si="10"/>
        <v>90302.313437997756</v>
      </c>
      <c r="G202" s="23">
        <f t="shared" si="11"/>
        <v>94517.313437997756</v>
      </c>
    </row>
    <row r="203" spans="1:7" x14ac:dyDescent="0.2">
      <c r="A203">
        <v>2019</v>
      </c>
      <c r="B203" s="1" t="s">
        <v>280</v>
      </c>
      <c r="C203" s="1" t="s">
        <v>281</v>
      </c>
      <c r="D203" s="22">
        <v>10010</v>
      </c>
      <c r="E203" s="24">
        <f t="shared" si="9"/>
        <v>1.6177390827661819E-3</v>
      </c>
      <c r="F203" s="25">
        <f t="shared" si="10"/>
        <v>214454.60439249291</v>
      </c>
      <c r="G203" s="23">
        <f t="shared" si="11"/>
        <v>224464.60439249291</v>
      </c>
    </row>
    <row r="204" spans="1:7" x14ac:dyDescent="0.2">
      <c r="A204">
        <v>2019</v>
      </c>
      <c r="B204" s="1" t="s">
        <v>282</v>
      </c>
      <c r="C204" s="1" t="s">
        <v>283</v>
      </c>
      <c r="D204" s="22">
        <v>906</v>
      </c>
      <c r="E204" s="24">
        <f t="shared" si="9"/>
        <v>1.4642074015845763E-4</v>
      </c>
      <c r="F204" s="25">
        <f t="shared" si="10"/>
        <v>19410.176980978882</v>
      </c>
      <c r="G204" s="23">
        <f t="shared" si="11"/>
        <v>20316.176980978882</v>
      </c>
    </row>
    <row r="205" spans="1:7" x14ac:dyDescent="0.2">
      <c r="A205">
        <v>2019</v>
      </c>
      <c r="B205" s="1" t="s">
        <v>284</v>
      </c>
      <c r="C205" s="1" t="s">
        <v>285</v>
      </c>
      <c r="D205" s="22">
        <v>9158</v>
      </c>
      <c r="E205" s="24">
        <f t="shared" si="9"/>
        <v>1.4800454065906788E-3</v>
      </c>
      <c r="F205" s="25">
        <f t="shared" si="10"/>
        <v>196201.32537726776</v>
      </c>
      <c r="G205" s="23">
        <f t="shared" si="11"/>
        <v>205359.32537726776</v>
      </c>
    </row>
    <row r="206" spans="1:7" x14ac:dyDescent="0.2">
      <c r="A206">
        <v>2019</v>
      </c>
      <c r="B206" s="1" t="s">
        <v>286</v>
      </c>
      <c r="C206" s="1" t="s">
        <v>287</v>
      </c>
      <c r="D206" s="22"/>
      <c r="E206" s="24">
        <f t="shared" si="9"/>
        <v>0</v>
      </c>
      <c r="F206" s="25">
        <f t="shared" si="10"/>
        <v>0</v>
      </c>
      <c r="G206" s="23">
        <f t="shared" si="11"/>
        <v>0</v>
      </c>
    </row>
    <row r="207" spans="1:7" x14ac:dyDescent="0.2">
      <c r="A207">
        <v>2019</v>
      </c>
      <c r="B207" s="1" t="s">
        <v>601</v>
      </c>
      <c r="C207" s="1" t="s">
        <v>289</v>
      </c>
      <c r="D207" s="22">
        <v>58674</v>
      </c>
      <c r="E207" s="24">
        <f t="shared" si="9"/>
        <v>9.4824398543679276E-3</v>
      </c>
      <c r="F207" s="25">
        <f t="shared" si="10"/>
        <v>1257033.9119006123</v>
      </c>
      <c r="G207" s="23">
        <f t="shared" si="11"/>
        <v>1315707.9119006123</v>
      </c>
    </row>
    <row r="208" spans="1:7" x14ac:dyDescent="0.2">
      <c r="A208">
        <v>2019</v>
      </c>
      <c r="B208" s="1" t="s">
        <v>293</v>
      </c>
      <c r="C208" s="1" t="s">
        <v>290</v>
      </c>
      <c r="D208" s="22">
        <v>5554</v>
      </c>
      <c r="E208" s="24">
        <f t="shared" si="9"/>
        <v>8.97594691876461E-4</v>
      </c>
      <c r="F208" s="25">
        <f t="shared" si="10"/>
        <v>118989.09818140916</v>
      </c>
      <c r="G208" s="23">
        <f t="shared" si="11"/>
        <v>124543.09818140916</v>
      </c>
    </row>
    <row r="209" spans="1:7" x14ac:dyDescent="0.2">
      <c r="A209">
        <v>2019</v>
      </c>
      <c r="B209" s="1" t="s">
        <v>291</v>
      </c>
      <c r="C209" s="1" t="s">
        <v>292</v>
      </c>
      <c r="D209" s="22"/>
      <c r="E209" s="24">
        <f t="shared" si="9"/>
        <v>0</v>
      </c>
      <c r="F209" s="25">
        <f t="shared" si="10"/>
        <v>0</v>
      </c>
      <c r="G209" s="23">
        <f t="shared" si="11"/>
        <v>0</v>
      </c>
    </row>
    <row r="210" spans="1:7" x14ac:dyDescent="0.2">
      <c r="A210">
        <v>2019</v>
      </c>
      <c r="B210" s="1" t="s">
        <v>602</v>
      </c>
      <c r="C210" s="1" t="s">
        <v>294</v>
      </c>
      <c r="D210" s="22"/>
      <c r="E210" s="24">
        <f t="shared" si="9"/>
        <v>0</v>
      </c>
      <c r="F210" s="25">
        <f t="shared" si="10"/>
        <v>0</v>
      </c>
      <c r="G210" s="23">
        <f t="shared" si="11"/>
        <v>0</v>
      </c>
    </row>
    <row r="211" spans="1:7" x14ac:dyDescent="0.2">
      <c r="A211">
        <v>2019</v>
      </c>
      <c r="B211" s="1" t="s">
        <v>603</v>
      </c>
      <c r="C211" s="1" t="s">
        <v>296</v>
      </c>
      <c r="D211" s="22"/>
      <c r="E211" s="24">
        <f t="shared" si="9"/>
        <v>0</v>
      </c>
      <c r="F211" s="25">
        <f t="shared" si="10"/>
        <v>0</v>
      </c>
      <c r="G211" s="23">
        <f t="shared" si="11"/>
        <v>0</v>
      </c>
    </row>
    <row r="212" spans="1:7" x14ac:dyDescent="0.2">
      <c r="A212">
        <v>2019</v>
      </c>
      <c r="B212" s="1" t="s">
        <v>297</v>
      </c>
      <c r="C212" s="1" t="s">
        <v>298</v>
      </c>
      <c r="D212" s="22"/>
      <c r="E212" s="24">
        <f t="shared" si="9"/>
        <v>0</v>
      </c>
      <c r="F212" s="25">
        <f t="shared" si="10"/>
        <v>0</v>
      </c>
      <c r="G212" s="23">
        <f t="shared" si="11"/>
        <v>0</v>
      </c>
    </row>
    <row r="213" spans="1:7" x14ac:dyDescent="0.2">
      <c r="A213">
        <v>2019</v>
      </c>
      <c r="B213" s="1" t="s">
        <v>299</v>
      </c>
      <c r="C213" s="1" t="s">
        <v>300</v>
      </c>
      <c r="D213" s="22">
        <v>12130</v>
      </c>
      <c r="E213" s="24">
        <f t="shared" si="9"/>
        <v>1.9603571502451334E-3</v>
      </c>
      <c r="F213" s="25">
        <f t="shared" si="10"/>
        <v>259873.56156652735</v>
      </c>
      <c r="G213" s="23">
        <f t="shared" si="11"/>
        <v>272003.56156652735</v>
      </c>
    </row>
    <row r="214" spans="1:7" x14ac:dyDescent="0.2">
      <c r="A214">
        <v>2019</v>
      </c>
      <c r="B214" s="1" t="s">
        <v>301</v>
      </c>
      <c r="C214" s="1" t="s">
        <v>302</v>
      </c>
      <c r="D214" s="22">
        <v>1938</v>
      </c>
      <c r="E214" s="24">
        <f t="shared" si="9"/>
        <v>3.132046296104756E-4</v>
      </c>
      <c r="F214" s="25">
        <f t="shared" si="10"/>
        <v>41519.782548716415</v>
      </c>
      <c r="G214" s="23">
        <f t="shared" si="11"/>
        <v>43457.782548716415</v>
      </c>
    </row>
    <row r="215" spans="1:7" x14ac:dyDescent="0.2">
      <c r="A215">
        <v>2019</v>
      </c>
      <c r="B215" s="1" t="s">
        <v>303</v>
      </c>
      <c r="C215" s="1" t="s">
        <v>304</v>
      </c>
      <c r="D215" s="22">
        <v>25887</v>
      </c>
      <c r="E215" s="24">
        <f t="shared" si="9"/>
        <v>4.1836575060507641E-3</v>
      </c>
      <c r="F215" s="25">
        <f t="shared" si="10"/>
        <v>554604.03036048589</v>
      </c>
      <c r="G215" s="23">
        <f t="shared" si="11"/>
        <v>580491.03036048589</v>
      </c>
    </row>
    <row r="216" spans="1:7" x14ac:dyDescent="0.2">
      <c r="A216">
        <v>2019</v>
      </c>
      <c r="B216" s="1" t="s">
        <v>305</v>
      </c>
      <c r="C216" s="1" t="s">
        <v>604</v>
      </c>
      <c r="D216" s="22"/>
      <c r="E216" s="24">
        <f t="shared" si="9"/>
        <v>0</v>
      </c>
      <c r="F216" s="25">
        <f t="shared" si="10"/>
        <v>0</v>
      </c>
      <c r="G216" s="23">
        <f t="shared" si="11"/>
        <v>0</v>
      </c>
    </row>
    <row r="217" spans="1:7" x14ac:dyDescent="0.2">
      <c r="A217">
        <v>2019</v>
      </c>
      <c r="B217" s="1" t="s">
        <v>307</v>
      </c>
      <c r="C217" s="1" t="s">
        <v>308</v>
      </c>
      <c r="D217" s="22"/>
      <c r="E217" s="24">
        <f t="shared" si="9"/>
        <v>0</v>
      </c>
      <c r="F217" s="25">
        <f t="shared" si="10"/>
        <v>0</v>
      </c>
      <c r="G217" s="23">
        <f t="shared" si="11"/>
        <v>0</v>
      </c>
    </row>
    <row r="218" spans="1:7" x14ac:dyDescent="0.2">
      <c r="A218">
        <v>2019</v>
      </c>
      <c r="B218" s="1" t="s">
        <v>309</v>
      </c>
      <c r="C218" s="1" t="s">
        <v>310</v>
      </c>
      <c r="D218" s="22"/>
      <c r="E218" s="24">
        <f t="shared" si="9"/>
        <v>0</v>
      </c>
      <c r="F218" s="25">
        <f t="shared" si="10"/>
        <v>0</v>
      </c>
      <c r="G218" s="23">
        <f t="shared" si="11"/>
        <v>0</v>
      </c>
    </row>
    <row r="219" spans="1:7" x14ac:dyDescent="0.2">
      <c r="A219">
        <v>2019</v>
      </c>
      <c r="B219" s="1" t="s">
        <v>605</v>
      </c>
      <c r="C219" s="1" t="s">
        <v>311</v>
      </c>
      <c r="D219" s="22">
        <v>320</v>
      </c>
      <c r="E219" s="24">
        <f t="shared" si="9"/>
        <v>5.171593471380402E-5</v>
      </c>
      <c r="F219" s="25">
        <f t="shared" si="10"/>
        <v>6855.6916489108626</v>
      </c>
      <c r="G219" s="23">
        <f t="shared" si="11"/>
        <v>7175.6916489108626</v>
      </c>
    </row>
    <row r="220" spans="1:7" x14ac:dyDescent="0.2">
      <c r="A220">
        <v>2019</v>
      </c>
      <c r="B220" s="1" t="s">
        <v>622</v>
      </c>
      <c r="C220" s="1" t="s">
        <v>623</v>
      </c>
      <c r="D220" s="22"/>
      <c r="E220" s="24">
        <f t="shared" si="9"/>
        <v>0</v>
      </c>
      <c r="F220" s="25">
        <f t="shared" si="10"/>
        <v>0</v>
      </c>
      <c r="G220" s="23">
        <f t="shared" si="11"/>
        <v>0</v>
      </c>
    </row>
    <row r="221" spans="1:7" x14ac:dyDescent="0.2">
      <c r="A221">
        <v>2019</v>
      </c>
      <c r="B221" s="1" t="s">
        <v>312</v>
      </c>
      <c r="C221" s="1" t="s">
        <v>606</v>
      </c>
      <c r="D221" s="22">
        <v>786</v>
      </c>
      <c r="E221" s="24">
        <f t="shared" si="9"/>
        <v>1.2702726464078112E-4</v>
      </c>
      <c r="F221" s="25">
        <f t="shared" si="10"/>
        <v>16839.292612637306</v>
      </c>
      <c r="G221" s="23">
        <f t="shared" si="11"/>
        <v>17625.292612637306</v>
      </c>
    </row>
    <row r="222" spans="1:7" x14ac:dyDescent="0.2">
      <c r="A222">
        <v>2019</v>
      </c>
      <c r="B222" s="1" t="s">
        <v>607</v>
      </c>
      <c r="C222" s="1" t="s">
        <v>314</v>
      </c>
      <c r="D222" s="22">
        <v>4109</v>
      </c>
      <c r="E222" s="24">
        <f t="shared" si="9"/>
        <v>6.6406492418443971E-4</v>
      </c>
      <c r="F222" s="25">
        <f t="shared" si="10"/>
        <v>88031.365579296049</v>
      </c>
      <c r="G222" s="23">
        <f t="shared" si="11"/>
        <v>92140.365579296049</v>
      </c>
    </row>
    <row r="223" spans="1:7" x14ac:dyDescent="0.2">
      <c r="A223">
        <v>2019</v>
      </c>
      <c r="B223" s="1" t="s">
        <v>315</v>
      </c>
      <c r="C223" s="1" t="s">
        <v>316</v>
      </c>
      <c r="D223" s="22">
        <v>4958</v>
      </c>
      <c r="E223" s="24">
        <f t="shared" si="9"/>
        <v>8.0127376347200103E-4</v>
      </c>
      <c r="F223" s="25">
        <f t="shared" si="10"/>
        <v>106220.37248531268</v>
      </c>
      <c r="G223" s="23">
        <f t="shared" si="11"/>
        <v>111178.37248531268</v>
      </c>
    </row>
    <row r="224" spans="1:7" x14ac:dyDescent="0.2">
      <c r="A224">
        <v>2019</v>
      </c>
      <c r="B224" s="1" t="s">
        <v>317</v>
      </c>
      <c r="C224" s="1" t="s">
        <v>318</v>
      </c>
      <c r="D224" s="22"/>
      <c r="E224" s="24">
        <f t="shared" si="9"/>
        <v>0</v>
      </c>
      <c r="F224" s="25">
        <f t="shared" si="10"/>
        <v>0</v>
      </c>
      <c r="G224" s="23">
        <f t="shared" si="11"/>
        <v>0</v>
      </c>
    </row>
    <row r="225" spans="1:7" x14ac:dyDescent="0.2">
      <c r="A225">
        <v>2019</v>
      </c>
      <c r="B225" s="1" t="s">
        <v>608</v>
      </c>
      <c r="C225" s="1" t="s">
        <v>319</v>
      </c>
      <c r="D225" s="22"/>
      <c r="E225" s="24">
        <f t="shared" si="9"/>
        <v>0</v>
      </c>
      <c r="F225" s="25">
        <f t="shared" si="10"/>
        <v>0</v>
      </c>
      <c r="G225" s="23">
        <f t="shared" si="11"/>
        <v>0</v>
      </c>
    </row>
    <row r="226" spans="1:7" x14ac:dyDescent="0.2">
      <c r="A226">
        <v>2019</v>
      </c>
      <c r="B226" s="1" t="s">
        <v>609</v>
      </c>
      <c r="C226" s="1" t="s">
        <v>320</v>
      </c>
      <c r="D226" s="22"/>
      <c r="E226" s="24">
        <f t="shared" si="9"/>
        <v>0</v>
      </c>
      <c r="F226" s="25">
        <f t="shared" si="10"/>
        <v>0</v>
      </c>
      <c r="G226" s="23">
        <f t="shared" si="11"/>
        <v>0</v>
      </c>
    </row>
    <row r="227" spans="1:7" x14ac:dyDescent="0.2">
      <c r="A227">
        <v>2019</v>
      </c>
      <c r="B227" s="1" t="s">
        <v>321</v>
      </c>
      <c r="C227" s="1" t="s">
        <v>322</v>
      </c>
      <c r="D227" s="22"/>
      <c r="E227" s="24">
        <f t="shared" si="9"/>
        <v>0</v>
      </c>
      <c r="F227" s="25">
        <f t="shared" si="10"/>
        <v>0</v>
      </c>
      <c r="G227" s="23">
        <f t="shared" si="11"/>
        <v>0</v>
      </c>
    </row>
    <row r="228" spans="1:7" x14ac:dyDescent="0.2">
      <c r="A228">
        <v>2019</v>
      </c>
      <c r="B228" s="1" t="s">
        <v>610</v>
      </c>
      <c r="C228" s="1" t="s">
        <v>323</v>
      </c>
      <c r="D228" s="22">
        <v>19271</v>
      </c>
      <c r="E228" s="24">
        <f t="shared" si="9"/>
        <v>3.1144305558428662E-3</v>
      </c>
      <c r="F228" s="25">
        <f t="shared" si="10"/>
        <v>412862.60551925382</v>
      </c>
      <c r="G228" s="23">
        <f t="shared" si="11"/>
        <v>432133.60551925382</v>
      </c>
    </row>
    <row r="229" spans="1:7" x14ac:dyDescent="0.2">
      <c r="A229">
        <v>2019</v>
      </c>
      <c r="B229" s="1" t="s">
        <v>324</v>
      </c>
      <c r="C229" s="1" t="s">
        <v>325</v>
      </c>
      <c r="D229" s="22">
        <v>2274</v>
      </c>
      <c r="E229" s="24">
        <f t="shared" si="9"/>
        <v>3.6750636105996982E-4</v>
      </c>
      <c r="F229" s="25">
        <f t="shared" si="10"/>
        <v>48718.258780072822</v>
      </c>
      <c r="G229" s="23">
        <f t="shared" si="11"/>
        <v>50992.258780072822</v>
      </c>
    </row>
    <row r="230" spans="1:7" x14ac:dyDescent="0.2">
      <c r="A230">
        <v>2019</v>
      </c>
      <c r="B230" s="1" t="s">
        <v>326</v>
      </c>
      <c r="C230" s="1" t="s">
        <v>327</v>
      </c>
      <c r="D230" s="22">
        <v>1301</v>
      </c>
      <c r="E230" s="24">
        <f t="shared" si="9"/>
        <v>2.1025759707080945E-4</v>
      </c>
      <c r="F230" s="25">
        <f t="shared" si="10"/>
        <v>27872.671360103224</v>
      </c>
      <c r="G230" s="23">
        <f t="shared" si="11"/>
        <v>29173.671360103224</v>
      </c>
    </row>
    <row r="231" spans="1:7" x14ac:dyDescent="0.2">
      <c r="A231">
        <v>2019</v>
      </c>
      <c r="B231" s="1" t="s">
        <v>611</v>
      </c>
      <c r="C231" s="1" t="s">
        <v>328</v>
      </c>
      <c r="D231" s="22">
        <v>621</v>
      </c>
      <c r="E231" s="24">
        <f t="shared" si="9"/>
        <v>1.0036123580397592E-4</v>
      </c>
      <c r="F231" s="25">
        <f t="shared" si="10"/>
        <v>13304.326606167642</v>
      </c>
      <c r="G231" s="23">
        <f t="shared" si="11"/>
        <v>13925.326606167642</v>
      </c>
    </row>
    <row r="232" spans="1:7" x14ac:dyDescent="0.2">
      <c r="A232">
        <v>2019</v>
      </c>
      <c r="B232" s="1" t="s">
        <v>329</v>
      </c>
      <c r="C232" s="1" t="s">
        <v>330</v>
      </c>
      <c r="D232" s="22">
        <v>6350</v>
      </c>
      <c r="E232" s="24">
        <f t="shared" si="9"/>
        <v>1.0262380794770485E-3</v>
      </c>
      <c r="F232" s="25">
        <f t="shared" si="10"/>
        <v>136042.63115807492</v>
      </c>
      <c r="G232" s="23">
        <f t="shared" si="11"/>
        <v>142392.63115807492</v>
      </c>
    </row>
    <row r="233" spans="1:7" x14ac:dyDescent="0.2">
      <c r="A233">
        <v>2019</v>
      </c>
      <c r="B233" s="1" t="s">
        <v>612</v>
      </c>
      <c r="C233" s="1" t="s">
        <v>331</v>
      </c>
      <c r="D233" s="22">
        <v>4948</v>
      </c>
      <c r="E233" s="24">
        <f t="shared" si="9"/>
        <v>7.9965764051219467E-4</v>
      </c>
      <c r="F233" s="25">
        <f t="shared" si="10"/>
        <v>106006.13212128422</v>
      </c>
      <c r="G233" s="23">
        <f t="shared" si="11"/>
        <v>110954.13212128422</v>
      </c>
    </row>
    <row r="234" spans="1:7" x14ac:dyDescent="0.2">
      <c r="A234">
        <v>2019</v>
      </c>
      <c r="B234" s="1" t="s">
        <v>332</v>
      </c>
      <c r="C234" s="1" t="s">
        <v>333</v>
      </c>
      <c r="D234" s="22">
        <v>6080</v>
      </c>
      <c r="E234" s="24">
        <f t="shared" si="9"/>
        <v>9.8260275956227631E-4</v>
      </c>
      <c r="F234" s="25">
        <f t="shared" si="10"/>
        <v>130258.14132930638</v>
      </c>
      <c r="G234" s="23">
        <f t="shared" si="11"/>
        <v>136338.14132930638</v>
      </c>
    </row>
    <row r="235" spans="1:7" x14ac:dyDescent="0.2">
      <c r="A235">
        <v>2019</v>
      </c>
      <c r="B235" s="1" t="s">
        <v>334</v>
      </c>
      <c r="C235" s="1" t="s">
        <v>335</v>
      </c>
      <c r="D235" s="22">
        <v>1361</v>
      </c>
      <c r="E235" s="24">
        <f t="shared" si="9"/>
        <v>2.1995433482964772E-4</v>
      </c>
      <c r="F235" s="25">
        <f t="shared" si="10"/>
        <v>29158.113544274012</v>
      </c>
      <c r="G235" s="23">
        <f t="shared" si="11"/>
        <v>30519.113544274012</v>
      </c>
    </row>
    <row r="236" spans="1:7" x14ac:dyDescent="0.2">
      <c r="A236">
        <v>2019</v>
      </c>
      <c r="B236" s="1" t="s">
        <v>613</v>
      </c>
      <c r="C236" s="1" t="s">
        <v>336</v>
      </c>
      <c r="D236" s="22">
        <v>4641</v>
      </c>
      <c r="E236" s="24">
        <f t="shared" si="9"/>
        <v>7.5004266564613893E-4</v>
      </c>
      <c r="F236" s="25">
        <f t="shared" si="10"/>
        <v>99428.952945610363</v>
      </c>
      <c r="G236" s="23">
        <f t="shared" si="11"/>
        <v>104069.95294561036</v>
      </c>
    </row>
    <row r="237" spans="1:7" x14ac:dyDescent="0.2">
      <c r="A237">
        <v>2019</v>
      </c>
      <c r="B237" s="1" t="s">
        <v>614</v>
      </c>
      <c r="C237" s="1" t="s">
        <v>338</v>
      </c>
      <c r="D237" s="22">
        <v>6871</v>
      </c>
      <c r="E237" s="24">
        <f t="shared" si="9"/>
        <v>1.1104380856829606E-3</v>
      </c>
      <c r="F237" s="25">
        <f t="shared" si="10"/>
        <v>147204.5541239579</v>
      </c>
      <c r="G237" s="23">
        <f t="shared" si="11"/>
        <v>154075.5541239579</v>
      </c>
    </row>
    <row r="238" spans="1:7" x14ac:dyDescent="0.2">
      <c r="A238">
        <v>2019</v>
      </c>
      <c r="B238" s="1" t="s">
        <v>615</v>
      </c>
      <c r="C238" s="1" t="s">
        <v>340</v>
      </c>
      <c r="D238" s="22">
        <v>13386</v>
      </c>
      <c r="E238" s="24">
        <f t="shared" si="9"/>
        <v>2.1633421939968142E-3</v>
      </c>
      <c r="F238" s="25">
        <f t="shared" si="10"/>
        <v>286782.1512885025</v>
      </c>
      <c r="G238" s="23">
        <f t="shared" si="11"/>
        <v>300168.1512885025</v>
      </c>
    </row>
    <row r="239" spans="1:7" x14ac:dyDescent="0.2">
      <c r="A239">
        <v>2019</v>
      </c>
      <c r="B239" s="1" t="s">
        <v>616</v>
      </c>
      <c r="C239" s="1" t="s">
        <v>342</v>
      </c>
      <c r="D239" s="22">
        <v>246</v>
      </c>
      <c r="E239" s="24">
        <f t="shared" si="9"/>
        <v>3.9756624811236837E-5</v>
      </c>
      <c r="F239" s="25">
        <f t="shared" si="10"/>
        <v>5270.3129551002257</v>
      </c>
      <c r="G239" s="23">
        <f t="shared" si="11"/>
        <v>5516.3129551002257</v>
      </c>
    </row>
    <row r="240" spans="1:7" x14ac:dyDescent="0.2">
      <c r="A240">
        <v>2019</v>
      </c>
      <c r="B240" s="1" t="s">
        <v>343</v>
      </c>
      <c r="C240" s="1" t="s">
        <v>344</v>
      </c>
      <c r="D240" s="22"/>
      <c r="E240" s="24">
        <f t="shared" si="9"/>
        <v>0</v>
      </c>
      <c r="F240" s="25">
        <f t="shared" si="10"/>
        <v>0</v>
      </c>
      <c r="G240" s="23">
        <f t="shared" si="11"/>
        <v>0</v>
      </c>
    </row>
    <row r="241" spans="1:7" x14ac:dyDescent="0.2">
      <c r="A241">
        <v>2019</v>
      </c>
      <c r="B241" s="1" t="s">
        <v>345</v>
      </c>
      <c r="C241" s="1" t="s">
        <v>346</v>
      </c>
      <c r="D241" s="22">
        <v>737</v>
      </c>
      <c r="E241" s="24">
        <f t="shared" si="9"/>
        <v>1.1910826213772988E-4</v>
      </c>
      <c r="F241" s="25">
        <f t="shared" si="10"/>
        <v>15789.514828897831</v>
      </c>
      <c r="G241" s="23">
        <f t="shared" si="11"/>
        <v>16526.514828897831</v>
      </c>
    </row>
    <row r="242" spans="1:7" x14ac:dyDescent="0.2">
      <c r="A242">
        <v>2019</v>
      </c>
      <c r="B242" s="1" t="s">
        <v>347</v>
      </c>
      <c r="C242" s="1" t="s">
        <v>348</v>
      </c>
      <c r="D242" s="22">
        <v>859</v>
      </c>
      <c r="E242" s="24">
        <f t="shared" si="9"/>
        <v>1.3882496224736765E-4</v>
      </c>
      <c r="F242" s="25">
        <f t="shared" si="10"/>
        <v>18403.247270045096</v>
      </c>
      <c r="G242" s="23">
        <f t="shared" si="11"/>
        <v>19262.247270045096</v>
      </c>
    </row>
    <row r="243" spans="1:7" x14ac:dyDescent="0.2">
      <c r="A243">
        <v>2019</v>
      </c>
      <c r="B243" s="1" t="s">
        <v>349</v>
      </c>
      <c r="C243" s="1" t="s">
        <v>350</v>
      </c>
      <c r="D243" s="22">
        <v>1181</v>
      </c>
      <c r="E243" s="24">
        <f t="shared" si="9"/>
        <v>1.9086412155313296E-4</v>
      </c>
      <c r="F243" s="25">
        <f t="shared" si="10"/>
        <v>25301.786991761652</v>
      </c>
      <c r="G243" s="23">
        <f t="shared" si="11"/>
        <v>26482.786991761652</v>
      </c>
    </row>
    <row r="244" spans="1:7" x14ac:dyDescent="0.2">
      <c r="A244">
        <v>2019</v>
      </c>
      <c r="B244" s="1" t="s">
        <v>617</v>
      </c>
      <c r="C244" s="1" t="s">
        <v>618</v>
      </c>
      <c r="D244" s="22"/>
      <c r="E244" s="24">
        <f t="shared" si="9"/>
        <v>0</v>
      </c>
      <c r="F244" s="25">
        <f t="shared" si="10"/>
        <v>0</v>
      </c>
      <c r="G244" s="23">
        <f t="shared" si="11"/>
        <v>0</v>
      </c>
    </row>
    <row r="245" spans="1:7" x14ac:dyDescent="0.2">
      <c r="A245">
        <v>2019</v>
      </c>
      <c r="B245" s="1" t="s">
        <v>351</v>
      </c>
      <c r="C245" s="1" t="s">
        <v>352</v>
      </c>
      <c r="D245" s="22">
        <v>3115</v>
      </c>
      <c r="E245" s="24">
        <f t="shared" si="9"/>
        <v>5.0342230197968595E-4</v>
      </c>
      <c r="F245" s="25">
        <f t="shared" si="10"/>
        <v>66735.873394866678</v>
      </c>
      <c r="G245" s="23">
        <f t="shared" si="11"/>
        <v>69850.873394866678</v>
      </c>
    </row>
    <row r="246" spans="1:7" x14ac:dyDescent="0.2">
      <c r="A246">
        <v>2019</v>
      </c>
      <c r="B246" s="1" t="s">
        <v>353</v>
      </c>
      <c r="C246" s="1" t="s">
        <v>354</v>
      </c>
      <c r="D246" s="22">
        <v>6153</v>
      </c>
      <c r="E246" s="24">
        <f t="shared" si="9"/>
        <v>9.9440045716886276E-4</v>
      </c>
      <c r="F246" s="25">
        <f t="shared" si="10"/>
        <v>131822.09598671415</v>
      </c>
      <c r="G246" s="23">
        <f t="shared" si="11"/>
        <v>137975.09598671415</v>
      </c>
    </row>
    <row r="247" spans="1:7" x14ac:dyDescent="0.2">
      <c r="A247">
        <v>2019</v>
      </c>
      <c r="B247" s="1" t="s">
        <v>355</v>
      </c>
      <c r="C247" s="1" t="s">
        <v>356</v>
      </c>
      <c r="D247" s="22"/>
      <c r="E247" s="24">
        <f t="shared" si="9"/>
        <v>0</v>
      </c>
      <c r="F247" s="25">
        <f t="shared" si="10"/>
        <v>0</v>
      </c>
      <c r="G247" s="23">
        <f t="shared" si="11"/>
        <v>0</v>
      </c>
    </row>
    <row r="248" spans="1:7" x14ac:dyDescent="0.2">
      <c r="A248">
        <v>2019</v>
      </c>
      <c r="B248" s="1" t="s">
        <v>619</v>
      </c>
      <c r="C248" s="1" t="s">
        <v>357</v>
      </c>
      <c r="D248" s="22"/>
      <c r="E248" s="24">
        <f t="shared" si="9"/>
        <v>0</v>
      </c>
      <c r="F248" s="25">
        <f t="shared" si="10"/>
        <v>0</v>
      </c>
      <c r="G248" s="23">
        <f t="shared" si="11"/>
        <v>0</v>
      </c>
    </row>
    <row r="249" spans="1:7" x14ac:dyDescent="0.2">
      <c r="A249">
        <v>2019</v>
      </c>
      <c r="B249" s="1" t="s">
        <v>620</v>
      </c>
      <c r="C249" s="1" t="s">
        <v>358</v>
      </c>
      <c r="D249" s="22"/>
      <c r="E249" s="24">
        <f t="shared" si="9"/>
        <v>0</v>
      </c>
      <c r="F249" s="25">
        <f t="shared" si="10"/>
        <v>0</v>
      </c>
      <c r="G249" s="23">
        <f t="shared" si="11"/>
        <v>0</v>
      </c>
    </row>
    <row r="250" spans="1:7" x14ac:dyDescent="0.2">
      <c r="A250">
        <v>2019</v>
      </c>
      <c r="B250" s="1" t="s">
        <v>359</v>
      </c>
      <c r="C250" s="1" t="s">
        <v>360</v>
      </c>
      <c r="D250" s="22"/>
      <c r="E250" s="24">
        <f t="shared" si="9"/>
        <v>0</v>
      </c>
      <c r="F250" s="25">
        <f t="shared" si="10"/>
        <v>0</v>
      </c>
      <c r="G250" s="23">
        <f t="shared" si="11"/>
        <v>0</v>
      </c>
    </row>
    <row r="251" spans="1:7" x14ac:dyDescent="0.2">
      <c r="A251">
        <v>2019</v>
      </c>
      <c r="B251" s="1" t="s">
        <v>361</v>
      </c>
      <c r="C251" s="1" t="s">
        <v>362</v>
      </c>
      <c r="D251" s="22">
        <v>14036</v>
      </c>
      <c r="E251" s="24">
        <f t="shared" si="9"/>
        <v>2.2683901863842287E-3</v>
      </c>
      <c r="F251" s="25">
        <f t="shared" si="10"/>
        <v>300707.77495035273</v>
      </c>
      <c r="G251" s="23">
        <f t="shared" si="11"/>
        <v>314743.77495035273</v>
      </c>
    </row>
    <row r="253" spans="1:7" x14ac:dyDescent="0.2">
      <c r="D253" s="1">
        <f>SUM(D2:D251)</f>
        <v>6187648</v>
      </c>
    </row>
    <row r="255" spans="1:7" x14ac:dyDescent="0.2">
      <c r="B255" s="1" t="s">
        <v>482</v>
      </c>
      <c r="C255" s="1" t="s">
        <v>1</v>
      </c>
      <c r="D255" s="10">
        <v>132564396</v>
      </c>
      <c r="F255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3F3F-9517-0643-827B-BF9FE03DE1C2}">
  <sheetPr>
    <tabColor rgb="FFFFFF00"/>
  </sheetPr>
  <dimension ref="A1:G256"/>
  <sheetViews>
    <sheetView workbookViewId="0">
      <selection activeCell="F2" sqref="F2:G253"/>
    </sheetView>
  </sheetViews>
  <sheetFormatPr baseColWidth="10" defaultRowHeight="16" x14ac:dyDescent="0.2"/>
  <cols>
    <col min="2" max="2" width="38.6640625" style="1" bestFit="1" customWidth="1"/>
    <col min="3" max="3" width="13.5" style="1" bestFit="1" customWidth="1"/>
    <col min="4" max="4" width="18.83203125" style="1" bestFit="1" customWidth="1"/>
    <col min="6" max="6" width="17.1640625" bestFit="1" customWidth="1"/>
    <col min="7" max="7" width="16.83203125" bestFit="1" customWidth="1"/>
  </cols>
  <sheetData>
    <row r="1" spans="1:7" x14ac:dyDescent="0.2">
      <c r="A1" t="s">
        <v>639</v>
      </c>
      <c r="B1" s="1" t="s">
        <v>634</v>
      </c>
      <c r="C1" s="1" t="s">
        <v>364</v>
      </c>
      <c r="D1" s="1" t="s">
        <v>363</v>
      </c>
      <c r="F1" t="s">
        <v>637</v>
      </c>
      <c r="G1" t="s">
        <v>638</v>
      </c>
    </row>
    <row r="2" spans="1:7" x14ac:dyDescent="0.2">
      <c r="A2">
        <v>2020</v>
      </c>
      <c r="B2" s="1" t="s">
        <v>2</v>
      </c>
      <c r="C2" s="1" t="s">
        <v>3</v>
      </c>
      <c r="D2" s="22"/>
      <c r="E2" s="20">
        <f>D2/$D$254</f>
        <v>0</v>
      </c>
      <c r="F2" s="23">
        <f>E2*$D$256</f>
        <v>0</v>
      </c>
      <c r="G2" s="23">
        <f>SUM(F2,D2)</f>
        <v>0</v>
      </c>
    </row>
    <row r="3" spans="1:7" x14ac:dyDescent="0.2">
      <c r="A3">
        <v>2020</v>
      </c>
      <c r="B3" s="1" t="s">
        <v>4</v>
      </c>
      <c r="C3" s="1" t="s">
        <v>5</v>
      </c>
      <c r="D3" s="22"/>
      <c r="E3" s="20">
        <f t="shared" ref="E3:E66" si="0">D3/$D$254</f>
        <v>0</v>
      </c>
      <c r="F3" s="23">
        <f t="shared" ref="F3:F66" si="1">E3*$D$256</f>
        <v>0</v>
      </c>
      <c r="G3" s="23">
        <f t="shared" ref="G3:G66" si="2">SUM(F3,D3)</f>
        <v>0</v>
      </c>
    </row>
    <row r="4" spans="1:7" x14ac:dyDescent="0.2">
      <c r="A4">
        <v>2020</v>
      </c>
      <c r="B4" s="1" t="s">
        <v>6</v>
      </c>
      <c r="C4" s="1" t="s">
        <v>7</v>
      </c>
      <c r="D4" s="22">
        <v>10566</v>
      </c>
      <c r="E4" s="20">
        <f t="shared" si="0"/>
        <v>1.3523296008387873E-3</v>
      </c>
      <c r="F4" s="23">
        <f t="shared" si="1"/>
        <v>235430.84132358842</v>
      </c>
      <c r="G4" s="23">
        <f t="shared" si="2"/>
        <v>245996.84132358842</v>
      </c>
    </row>
    <row r="5" spans="1:7" x14ac:dyDescent="0.2">
      <c r="A5">
        <v>2020</v>
      </c>
      <c r="B5" s="1" t="s">
        <v>8</v>
      </c>
      <c r="C5" s="1" t="s">
        <v>9</v>
      </c>
      <c r="D5" s="22">
        <v>3914</v>
      </c>
      <c r="E5" s="20">
        <f t="shared" si="0"/>
        <v>5.0094814098836018E-4</v>
      </c>
      <c r="F5" s="23">
        <f t="shared" si="1"/>
        <v>87211.462515665829</v>
      </c>
      <c r="G5" s="23">
        <f t="shared" si="2"/>
        <v>91125.462515665829</v>
      </c>
    </row>
    <row r="6" spans="1:7" x14ac:dyDescent="0.2">
      <c r="A6">
        <v>2020</v>
      </c>
      <c r="B6" s="1" t="s">
        <v>483</v>
      </c>
      <c r="C6" s="1" t="s">
        <v>10</v>
      </c>
      <c r="D6" s="22">
        <v>42431</v>
      </c>
      <c r="E6" s="20">
        <f t="shared" si="0"/>
        <v>5.4306925320074381E-3</v>
      </c>
      <c r="F6" s="23">
        <f t="shared" si="1"/>
        <v>945444.44711349439</v>
      </c>
      <c r="G6" s="23">
        <f t="shared" si="2"/>
        <v>987875.44711349439</v>
      </c>
    </row>
    <row r="7" spans="1:7" x14ac:dyDescent="0.2">
      <c r="A7">
        <v>2020</v>
      </c>
      <c r="B7" s="1" t="s">
        <v>484</v>
      </c>
      <c r="C7" s="1" t="s">
        <v>11</v>
      </c>
      <c r="D7" s="22">
        <v>8218</v>
      </c>
      <c r="E7" s="20">
        <f t="shared" si="0"/>
        <v>1.0518119117635012E-3</v>
      </c>
      <c r="F7" s="23">
        <f t="shared" si="1"/>
        <v>183112.87658501323</v>
      </c>
      <c r="G7" s="23">
        <f t="shared" si="2"/>
        <v>191330.87658501323</v>
      </c>
    </row>
    <row r="8" spans="1:7" x14ac:dyDescent="0.2">
      <c r="A8">
        <v>2020</v>
      </c>
      <c r="B8" s="1" t="s">
        <v>12</v>
      </c>
      <c r="C8" s="1" t="s">
        <v>13</v>
      </c>
      <c r="D8" s="22"/>
      <c r="E8" s="20">
        <f t="shared" si="0"/>
        <v>0</v>
      </c>
      <c r="F8" s="23">
        <f t="shared" si="1"/>
        <v>0</v>
      </c>
      <c r="G8" s="23">
        <f t="shared" si="2"/>
        <v>0</v>
      </c>
    </row>
    <row r="9" spans="1:7" x14ac:dyDescent="0.2">
      <c r="A9">
        <v>2020</v>
      </c>
      <c r="B9" s="1" t="s">
        <v>14</v>
      </c>
      <c r="C9" s="1" t="s">
        <v>15</v>
      </c>
      <c r="D9" s="22"/>
      <c r="E9" s="20">
        <f t="shared" si="0"/>
        <v>0</v>
      </c>
      <c r="F9" s="23">
        <f t="shared" si="1"/>
        <v>0</v>
      </c>
      <c r="G9" s="23">
        <f t="shared" si="2"/>
        <v>0</v>
      </c>
    </row>
    <row r="10" spans="1:7" x14ac:dyDescent="0.2">
      <c r="A10">
        <v>2020</v>
      </c>
      <c r="B10" s="1" t="s">
        <v>16</v>
      </c>
      <c r="C10" s="1" t="s">
        <v>17</v>
      </c>
      <c r="D10" s="22"/>
      <c r="E10" s="20">
        <f t="shared" si="0"/>
        <v>0</v>
      </c>
      <c r="F10" s="23">
        <f t="shared" si="1"/>
        <v>0</v>
      </c>
      <c r="G10" s="23">
        <f t="shared" si="2"/>
        <v>0</v>
      </c>
    </row>
    <row r="11" spans="1:7" x14ac:dyDescent="0.2">
      <c r="A11">
        <v>2020</v>
      </c>
      <c r="B11" s="1" t="s">
        <v>18</v>
      </c>
      <c r="C11" s="1" t="s">
        <v>19</v>
      </c>
      <c r="D11" s="22"/>
      <c r="E11" s="20">
        <f t="shared" si="0"/>
        <v>0</v>
      </c>
      <c r="F11" s="23">
        <f t="shared" si="1"/>
        <v>0</v>
      </c>
      <c r="G11" s="23">
        <f t="shared" si="2"/>
        <v>0</v>
      </c>
    </row>
    <row r="12" spans="1:7" x14ac:dyDescent="0.2">
      <c r="A12">
        <v>2020</v>
      </c>
      <c r="B12" s="1" t="s">
        <v>20</v>
      </c>
      <c r="C12" s="1" t="s">
        <v>21</v>
      </c>
      <c r="D12" s="22"/>
      <c r="E12" s="20">
        <f t="shared" si="0"/>
        <v>0</v>
      </c>
      <c r="F12" s="23">
        <f t="shared" si="1"/>
        <v>0</v>
      </c>
      <c r="G12" s="23">
        <f t="shared" si="2"/>
        <v>0</v>
      </c>
    </row>
    <row r="13" spans="1:7" x14ac:dyDescent="0.2">
      <c r="A13">
        <v>2020</v>
      </c>
      <c r="B13" s="1" t="s">
        <v>22</v>
      </c>
      <c r="C13" s="1" t="s">
        <v>23</v>
      </c>
      <c r="D13" s="22"/>
      <c r="E13" s="20">
        <f t="shared" si="0"/>
        <v>0</v>
      </c>
      <c r="F13" s="23">
        <f t="shared" si="1"/>
        <v>0</v>
      </c>
      <c r="G13" s="23">
        <f t="shared" si="2"/>
        <v>0</v>
      </c>
    </row>
    <row r="14" spans="1:7" x14ac:dyDescent="0.2">
      <c r="A14">
        <v>2020</v>
      </c>
      <c r="B14" s="1" t="s">
        <v>24</v>
      </c>
      <c r="C14" s="1" t="s">
        <v>25</v>
      </c>
      <c r="D14" s="22"/>
      <c r="E14" s="20">
        <f t="shared" si="0"/>
        <v>0</v>
      </c>
      <c r="F14" s="23">
        <f t="shared" si="1"/>
        <v>0</v>
      </c>
      <c r="G14" s="23">
        <f t="shared" si="2"/>
        <v>0</v>
      </c>
    </row>
    <row r="15" spans="1:7" x14ac:dyDescent="0.2">
      <c r="A15">
        <v>2020</v>
      </c>
      <c r="B15" s="1" t="s">
        <v>26</v>
      </c>
      <c r="C15" s="1" t="s">
        <v>27</v>
      </c>
      <c r="D15" s="22"/>
      <c r="E15" s="20">
        <f t="shared" si="0"/>
        <v>0</v>
      </c>
      <c r="F15" s="23">
        <f t="shared" si="1"/>
        <v>0</v>
      </c>
      <c r="G15" s="23">
        <f t="shared" si="2"/>
        <v>0</v>
      </c>
    </row>
    <row r="16" spans="1:7" x14ac:dyDescent="0.2">
      <c r="A16">
        <v>2020</v>
      </c>
      <c r="B16" s="1" t="s">
        <v>28</v>
      </c>
      <c r="C16" s="1" t="s">
        <v>29</v>
      </c>
      <c r="D16" s="22"/>
      <c r="E16" s="20">
        <f t="shared" si="0"/>
        <v>0</v>
      </c>
      <c r="F16" s="23">
        <f t="shared" si="1"/>
        <v>0</v>
      </c>
      <c r="G16" s="23">
        <f t="shared" si="2"/>
        <v>0</v>
      </c>
    </row>
    <row r="17" spans="1:7" x14ac:dyDescent="0.2">
      <c r="A17">
        <v>2020</v>
      </c>
      <c r="B17" s="1" t="s">
        <v>30</v>
      </c>
      <c r="C17" s="1" t="s">
        <v>31</v>
      </c>
      <c r="D17" s="22"/>
      <c r="E17" s="20">
        <f t="shared" si="0"/>
        <v>0</v>
      </c>
      <c r="F17" s="23">
        <f t="shared" si="1"/>
        <v>0</v>
      </c>
      <c r="G17" s="23">
        <f t="shared" si="2"/>
        <v>0</v>
      </c>
    </row>
    <row r="18" spans="1:7" x14ac:dyDescent="0.2">
      <c r="A18">
        <v>2020</v>
      </c>
      <c r="B18" s="1" t="s">
        <v>32</v>
      </c>
      <c r="C18" s="1" t="s">
        <v>33</v>
      </c>
      <c r="D18" s="22">
        <v>6799</v>
      </c>
      <c r="E18" s="20">
        <f t="shared" si="0"/>
        <v>8.7019581261621383E-4</v>
      </c>
      <c r="F18" s="23">
        <f t="shared" si="1"/>
        <v>151494.82208584875</v>
      </c>
      <c r="G18" s="23">
        <f t="shared" si="2"/>
        <v>158293.82208584875</v>
      </c>
    </row>
    <row r="19" spans="1:7" x14ac:dyDescent="0.2">
      <c r="A19">
        <v>2020</v>
      </c>
      <c r="B19" s="1" t="s">
        <v>485</v>
      </c>
      <c r="C19" s="1" t="s">
        <v>486</v>
      </c>
      <c r="D19" s="22">
        <v>2732</v>
      </c>
      <c r="E19" s="20">
        <f t="shared" si="0"/>
        <v>3.4966538609611654E-4</v>
      </c>
      <c r="F19" s="23">
        <f t="shared" si="1"/>
        <v>60874.224729892456</v>
      </c>
      <c r="G19" s="23">
        <f t="shared" si="2"/>
        <v>63606.224729892456</v>
      </c>
    </row>
    <row r="20" spans="1:7" x14ac:dyDescent="0.2">
      <c r="A20">
        <v>2020</v>
      </c>
      <c r="B20" s="1" t="s">
        <v>34</v>
      </c>
      <c r="C20" s="1" t="s">
        <v>35</v>
      </c>
      <c r="D20" s="22">
        <v>5885</v>
      </c>
      <c r="E20" s="20">
        <f t="shared" si="0"/>
        <v>7.5321405460309135E-4</v>
      </c>
      <c r="F20" s="23">
        <f t="shared" si="1"/>
        <v>131129.14075234885</v>
      </c>
      <c r="G20" s="23">
        <f t="shared" si="2"/>
        <v>137014.14075234885</v>
      </c>
    </row>
    <row r="21" spans="1:7" x14ac:dyDescent="0.2">
      <c r="A21">
        <v>2020</v>
      </c>
      <c r="B21" s="1" t="s">
        <v>36</v>
      </c>
      <c r="C21" s="1" t="s">
        <v>37</v>
      </c>
      <c r="D21" s="22">
        <v>151327</v>
      </c>
      <c r="E21" s="20">
        <f t="shared" si="0"/>
        <v>1.9368160278831269E-2</v>
      </c>
      <c r="F21" s="23">
        <f t="shared" si="1"/>
        <v>3371857.1763178753</v>
      </c>
      <c r="G21" s="23">
        <f t="shared" si="2"/>
        <v>3523184.1763178753</v>
      </c>
    </row>
    <row r="22" spans="1:7" x14ac:dyDescent="0.2">
      <c r="A22">
        <v>2020</v>
      </c>
      <c r="B22" s="1" t="s">
        <v>38</v>
      </c>
      <c r="C22" s="1" t="s">
        <v>39</v>
      </c>
      <c r="D22" s="22">
        <v>160360</v>
      </c>
      <c r="E22" s="20">
        <f t="shared" si="0"/>
        <v>2.052428305796971E-2</v>
      </c>
      <c r="F22" s="23">
        <f t="shared" si="1"/>
        <v>3573129.823457377</v>
      </c>
      <c r="G22" s="23">
        <f t="shared" si="2"/>
        <v>3733489.823457377</v>
      </c>
    </row>
    <row r="23" spans="1:7" x14ac:dyDescent="0.2">
      <c r="A23">
        <v>2020</v>
      </c>
      <c r="B23" s="1" t="s">
        <v>40</v>
      </c>
      <c r="C23" s="1" t="s">
        <v>41</v>
      </c>
      <c r="D23" s="22">
        <v>241833</v>
      </c>
      <c r="E23" s="20">
        <f t="shared" si="0"/>
        <v>3.095191409801689E-2</v>
      </c>
      <c r="F23" s="23">
        <f t="shared" si="1"/>
        <v>5388505.2668755781</v>
      </c>
      <c r="G23" s="23">
        <f t="shared" si="2"/>
        <v>5630338.2668755781</v>
      </c>
    </row>
    <row r="24" spans="1:7" x14ac:dyDescent="0.2">
      <c r="A24">
        <v>2020</v>
      </c>
      <c r="B24" s="1" t="s">
        <v>42</v>
      </c>
      <c r="C24" s="1" t="s">
        <v>43</v>
      </c>
      <c r="D24" s="22">
        <v>103675</v>
      </c>
      <c r="E24" s="20">
        <f t="shared" si="0"/>
        <v>1.3269238251652592E-2</v>
      </c>
      <c r="F24" s="23">
        <f t="shared" si="1"/>
        <v>2310078.7880203514</v>
      </c>
      <c r="G24" s="23">
        <f t="shared" si="2"/>
        <v>2413753.7880203514</v>
      </c>
    </row>
    <row r="25" spans="1:7" x14ac:dyDescent="0.2">
      <c r="A25">
        <v>2020</v>
      </c>
      <c r="B25" s="1" t="s">
        <v>44</v>
      </c>
      <c r="C25" s="1" t="s">
        <v>45</v>
      </c>
      <c r="D25" s="22">
        <v>28032</v>
      </c>
      <c r="E25" s="20">
        <f t="shared" si="0"/>
        <v>3.5877818825206216E-3</v>
      </c>
      <c r="F25" s="23">
        <f t="shared" si="1"/>
        <v>624606.9793661586</v>
      </c>
      <c r="G25" s="23">
        <f t="shared" si="2"/>
        <v>652638.9793661586</v>
      </c>
    </row>
    <row r="26" spans="1:7" x14ac:dyDescent="0.2">
      <c r="A26">
        <v>2020</v>
      </c>
      <c r="B26" s="1" t="s">
        <v>46</v>
      </c>
      <c r="C26" s="1" t="s">
        <v>47</v>
      </c>
      <c r="D26" s="22">
        <v>37494</v>
      </c>
      <c r="E26" s="20">
        <f t="shared" si="0"/>
        <v>4.7988118544245216E-3</v>
      </c>
      <c r="F26" s="23">
        <f t="shared" si="1"/>
        <v>835438.57321470999</v>
      </c>
      <c r="G26" s="23">
        <f t="shared" si="2"/>
        <v>872932.57321470999</v>
      </c>
    </row>
    <row r="27" spans="1:7" x14ac:dyDescent="0.2">
      <c r="A27">
        <v>2020</v>
      </c>
      <c r="B27" s="1" t="s">
        <v>48</v>
      </c>
      <c r="C27" s="1" t="s">
        <v>49</v>
      </c>
      <c r="D27" s="22">
        <v>28321</v>
      </c>
      <c r="E27" s="20">
        <f t="shared" si="0"/>
        <v>3.6247706440805695E-3</v>
      </c>
      <c r="F27" s="23">
        <f t="shared" si="1"/>
        <v>631046.45628670719</v>
      </c>
      <c r="G27" s="23">
        <f t="shared" si="2"/>
        <v>659367.45628670719</v>
      </c>
    </row>
    <row r="28" spans="1:7" x14ac:dyDescent="0.2">
      <c r="A28">
        <v>2020</v>
      </c>
      <c r="B28" s="1" t="s">
        <v>50</v>
      </c>
      <c r="C28" s="1" t="s">
        <v>51</v>
      </c>
      <c r="D28" s="22">
        <v>2914</v>
      </c>
      <c r="E28" s="20">
        <f t="shared" si="0"/>
        <v>3.7295934666328094E-4</v>
      </c>
      <c r="F28" s="23">
        <f t="shared" si="1"/>
        <v>64929.535454943849</v>
      </c>
      <c r="G28" s="23">
        <f t="shared" si="2"/>
        <v>67843.535454943849</v>
      </c>
    </row>
    <row r="29" spans="1:7" x14ac:dyDescent="0.2">
      <c r="A29">
        <v>2020</v>
      </c>
      <c r="B29" s="1" t="s">
        <v>52</v>
      </c>
      <c r="C29" s="1" t="s">
        <v>53</v>
      </c>
      <c r="D29" s="22">
        <v>28284</v>
      </c>
      <c r="E29" s="20">
        <f t="shared" si="0"/>
        <v>3.6200350586905413E-3</v>
      </c>
      <c r="F29" s="23">
        <f t="shared" si="1"/>
        <v>630222.02498546045</v>
      </c>
      <c r="G29" s="23">
        <f t="shared" si="2"/>
        <v>658506.02498546045</v>
      </c>
    </row>
    <row r="30" spans="1:7" x14ac:dyDescent="0.2">
      <c r="A30">
        <v>2020</v>
      </c>
      <c r="B30" s="1" t="s">
        <v>54</v>
      </c>
      <c r="C30" s="1" t="s">
        <v>55</v>
      </c>
      <c r="D30" s="22"/>
      <c r="E30" s="20">
        <f t="shared" si="0"/>
        <v>0</v>
      </c>
      <c r="F30" s="23">
        <f t="shared" si="1"/>
        <v>0</v>
      </c>
      <c r="G30" s="23">
        <f t="shared" si="2"/>
        <v>0</v>
      </c>
    </row>
    <row r="31" spans="1:7" x14ac:dyDescent="0.2">
      <c r="A31">
        <v>2020</v>
      </c>
      <c r="B31" s="1" t="s">
        <v>56</v>
      </c>
      <c r="C31" s="1" t="s">
        <v>57</v>
      </c>
      <c r="D31" s="22">
        <v>11605</v>
      </c>
      <c r="E31" s="20">
        <f t="shared" si="0"/>
        <v>1.4853099581425447E-3</v>
      </c>
      <c r="F31" s="23">
        <f t="shared" si="1"/>
        <v>258581.76353967856</v>
      </c>
      <c r="G31" s="23">
        <f t="shared" si="2"/>
        <v>270186.76353967853</v>
      </c>
    </row>
    <row r="32" spans="1:7" x14ac:dyDescent="0.2">
      <c r="A32">
        <v>2020</v>
      </c>
      <c r="B32" s="1" t="s">
        <v>58</v>
      </c>
      <c r="C32" s="1" t="s">
        <v>59</v>
      </c>
      <c r="D32" s="22">
        <v>4509</v>
      </c>
      <c r="E32" s="20">
        <f t="shared" si="0"/>
        <v>5.7710147361178239E-4</v>
      </c>
      <c r="F32" s="23">
        <f t="shared" si="1"/>
        <v>100469.20911679542</v>
      </c>
      <c r="G32" s="23">
        <f t="shared" si="2"/>
        <v>104978.20911679542</v>
      </c>
    </row>
    <row r="33" spans="1:7" x14ac:dyDescent="0.2">
      <c r="A33">
        <v>2020</v>
      </c>
      <c r="B33" s="1" t="s">
        <v>60</v>
      </c>
      <c r="C33" s="1" t="s">
        <v>61</v>
      </c>
      <c r="D33" s="22"/>
      <c r="E33" s="20">
        <f t="shared" si="0"/>
        <v>0</v>
      </c>
      <c r="F33" s="23">
        <f t="shared" si="1"/>
        <v>0</v>
      </c>
      <c r="G33" s="23">
        <f t="shared" si="2"/>
        <v>0</v>
      </c>
    </row>
    <row r="34" spans="1:7" x14ac:dyDescent="0.2">
      <c r="A34">
        <v>2020</v>
      </c>
      <c r="B34" s="1" t="s">
        <v>62</v>
      </c>
      <c r="C34" s="1" t="s">
        <v>63</v>
      </c>
      <c r="D34" s="22">
        <v>39080</v>
      </c>
      <c r="E34" s="20">
        <f t="shared" si="0"/>
        <v>5.001802082224097E-3</v>
      </c>
      <c r="F34" s="23">
        <f t="shared" si="1"/>
        <v>870777.70953301492</v>
      </c>
      <c r="G34" s="23">
        <f t="shared" si="2"/>
        <v>909857.70953301492</v>
      </c>
    </row>
    <row r="35" spans="1:7" x14ac:dyDescent="0.2">
      <c r="A35">
        <v>2020</v>
      </c>
      <c r="B35" s="1" t="s">
        <v>64</v>
      </c>
      <c r="C35" s="1" t="s">
        <v>65</v>
      </c>
      <c r="D35" s="22">
        <v>19808</v>
      </c>
      <c r="E35" s="20">
        <f t="shared" si="0"/>
        <v>2.53520203799117E-3</v>
      </c>
      <c r="F35" s="23">
        <f t="shared" si="1"/>
        <v>441360.41121878102</v>
      </c>
      <c r="G35" s="23">
        <f t="shared" si="2"/>
        <v>461168.41121878102</v>
      </c>
    </row>
    <row r="36" spans="1:7" x14ac:dyDescent="0.2">
      <c r="A36">
        <v>2020</v>
      </c>
      <c r="B36" s="1" t="s">
        <v>66</v>
      </c>
      <c r="C36" s="1" t="s">
        <v>67</v>
      </c>
      <c r="D36" s="22">
        <v>5475</v>
      </c>
      <c r="E36" s="20">
        <f t="shared" si="0"/>
        <v>7.0073864892980888E-4</v>
      </c>
      <c r="F36" s="23">
        <f t="shared" si="1"/>
        <v>121993.55065745284</v>
      </c>
      <c r="G36" s="23">
        <f t="shared" si="2"/>
        <v>127468.55065745284</v>
      </c>
    </row>
    <row r="37" spans="1:7" x14ac:dyDescent="0.2">
      <c r="A37">
        <v>2020</v>
      </c>
      <c r="B37" s="1" t="s">
        <v>68</v>
      </c>
      <c r="C37" s="1" t="s">
        <v>69</v>
      </c>
      <c r="D37" s="22">
        <v>2472</v>
      </c>
      <c r="E37" s="20">
        <f t="shared" si="0"/>
        <v>3.163882995715959E-4</v>
      </c>
      <c r="F37" s="23">
        <f t="shared" si="1"/>
        <v>55080.923694104735</v>
      </c>
      <c r="G37" s="23">
        <f t="shared" si="2"/>
        <v>57552.923694104735</v>
      </c>
    </row>
    <row r="38" spans="1:7" x14ac:dyDescent="0.2">
      <c r="A38">
        <v>2020</v>
      </c>
      <c r="B38" s="1" t="s">
        <v>70</v>
      </c>
      <c r="C38" s="1" t="s">
        <v>71</v>
      </c>
      <c r="D38" s="22">
        <v>2266</v>
      </c>
      <c r="E38" s="20">
        <f t="shared" si="0"/>
        <v>2.9002260794062956E-4</v>
      </c>
      <c r="F38" s="23">
        <f t="shared" si="1"/>
        <v>50490.846719596004</v>
      </c>
      <c r="G38" s="23">
        <f t="shared" si="2"/>
        <v>52756.846719596004</v>
      </c>
    </row>
    <row r="39" spans="1:7" x14ac:dyDescent="0.2">
      <c r="A39">
        <v>2020</v>
      </c>
      <c r="B39" s="1" t="s">
        <v>72</v>
      </c>
      <c r="C39" s="1" t="s">
        <v>73</v>
      </c>
      <c r="D39" s="22">
        <v>8343</v>
      </c>
      <c r="E39" s="20">
        <f t="shared" si="0"/>
        <v>1.0678105110541363E-3</v>
      </c>
      <c r="F39" s="23">
        <f t="shared" si="1"/>
        <v>185898.1174676035</v>
      </c>
      <c r="G39" s="23">
        <f t="shared" si="2"/>
        <v>194241.1174676035</v>
      </c>
    </row>
    <row r="40" spans="1:7" x14ac:dyDescent="0.2">
      <c r="A40">
        <v>2020</v>
      </c>
      <c r="B40" s="1" t="s">
        <v>74</v>
      </c>
      <c r="C40" s="1" t="s">
        <v>75</v>
      </c>
      <c r="D40" s="22">
        <v>41687</v>
      </c>
      <c r="E40" s="20">
        <f t="shared" si="0"/>
        <v>5.3354688690295787E-3</v>
      </c>
      <c r="F40" s="23">
        <f t="shared" si="1"/>
        <v>928866.69338031719</v>
      </c>
      <c r="G40" s="23">
        <f t="shared" si="2"/>
        <v>970553.69338031719</v>
      </c>
    </row>
    <row r="41" spans="1:7" x14ac:dyDescent="0.2">
      <c r="A41">
        <v>2020</v>
      </c>
      <c r="B41" s="1" t="s">
        <v>76</v>
      </c>
      <c r="C41" s="1" t="s">
        <v>77</v>
      </c>
      <c r="D41" s="22">
        <v>7729</v>
      </c>
      <c r="E41" s="20">
        <f t="shared" si="0"/>
        <v>9.8922539133853757E-4</v>
      </c>
      <c r="F41" s="23">
        <f t="shared" si="1"/>
        <v>172217.01425232019</v>
      </c>
      <c r="G41" s="23">
        <f t="shared" si="2"/>
        <v>179946.01425232019</v>
      </c>
    </row>
    <row r="42" spans="1:7" x14ac:dyDescent="0.2">
      <c r="A42">
        <v>2020</v>
      </c>
      <c r="B42" s="1" t="s">
        <v>78</v>
      </c>
      <c r="C42" s="1" t="s">
        <v>79</v>
      </c>
      <c r="D42" s="22">
        <v>21969</v>
      </c>
      <c r="E42" s="20">
        <f t="shared" si="0"/>
        <v>2.811785822527666E-3</v>
      </c>
      <c r="F42" s="23">
        <f t="shared" si="1"/>
        <v>489511.65559700114</v>
      </c>
      <c r="G42" s="23">
        <f t="shared" si="2"/>
        <v>511480.65559700114</v>
      </c>
    </row>
    <row r="43" spans="1:7" x14ac:dyDescent="0.2">
      <c r="A43">
        <v>2020</v>
      </c>
      <c r="B43" s="1" t="s">
        <v>80</v>
      </c>
      <c r="C43" s="1" t="s">
        <v>81</v>
      </c>
      <c r="D43" s="22">
        <v>1224</v>
      </c>
      <c r="E43" s="20">
        <f t="shared" si="0"/>
        <v>1.5665828425389701E-4</v>
      </c>
      <c r="F43" s="23">
        <f t="shared" si="1"/>
        <v>27273.078722323706</v>
      </c>
      <c r="G43" s="23">
        <f t="shared" si="2"/>
        <v>28497.078722323706</v>
      </c>
    </row>
    <row r="44" spans="1:7" x14ac:dyDescent="0.2">
      <c r="A44">
        <v>2020</v>
      </c>
      <c r="B44" s="1" t="s">
        <v>82</v>
      </c>
      <c r="C44" s="1" t="s">
        <v>83</v>
      </c>
      <c r="D44" s="22">
        <v>19217</v>
      </c>
      <c r="E44" s="20">
        <f t="shared" si="0"/>
        <v>2.4595606605450479E-3</v>
      </c>
      <c r="F44" s="23">
        <f t="shared" si="1"/>
        <v>428191.79232589429</v>
      </c>
      <c r="G44" s="23">
        <f t="shared" si="2"/>
        <v>447408.79232589429</v>
      </c>
    </row>
    <row r="45" spans="1:7" x14ac:dyDescent="0.2">
      <c r="A45">
        <v>2020</v>
      </c>
      <c r="B45" s="1" t="s">
        <v>84</v>
      </c>
      <c r="C45" s="1" t="s">
        <v>85</v>
      </c>
      <c r="D45" s="22">
        <v>4550</v>
      </c>
      <c r="E45" s="20">
        <f t="shared" si="0"/>
        <v>5.8234901417911059E-4</v>
      </c>
      <c r="F45" s="23">
        <f t="shared" si="1"/>
        <v>101382.76812628501</v>
      </c>
      <c r="G45" s="23">
        <f t="shared" si="2"/>
        <v>105932.76812628501</v>
      </c>
    </row>
    <row r="46" spans="1:7" x14ac:dyDescent="0.2">
      <c r="A46">
        <v>2020</v>
      </c>
      <c r="B46" s="1" t="s">
        <v>86</v>
      </c>
      <c r="C46" s="1" t="s">
        <v>87</v>
      </c>
      <c r="D46" s="22">
        <v>448304</v>
      </c>
      <c r="E46" s="20">
        <f t="shared" si="0"/>
        <v>5.7377888451110332E-2</v>
      </c>
      <c r="F46" s="23">
        <f t="shared" si="1"/>
        <v>9989077.0290299077</v>
      </c>
      <c r="G46" s="23">
        <f t="shared" si="2"/>
        <v>10437381.029029908</v>
      </c>
    </row>
    <row r="47" spans="1:7" x14ac:dyDescent="0.2">
      <c r="A47">
        <v>2020</v>
      </c>
      <c r="B47" s="1" t="s">
        <v>88</v>
      </c>
      <c r="C47" s="1" t="s">
        <v>89</v>
      </c>
      <c r="D47" s="22">
        <v>6867</v>
      </c>
      <c r="E47" s="20">
        <f t="shared" si="0"/>
        <v>8.7889905063031921E-4</v>
      </c>
      <c r="F47" s="23">
        <f t="shared" si="1"/>
        <v>153009.99312597784</v>
      </c>
      <c r="G47" s="23">
        <f t="shared" si="2"/>
        <v>159876.99312597784</v>
      </c>
    </row>
    <row r="48" spans="1:7" x14ac:dyDescent="0.2">
      <c r="A48">
        <v>2020</v>
      </c>
      <c r="B48" s="1" t="s">
        <v>90</v>
      </c>
      <c r="C48" s="1" t="s">
        <v>91</v>
      </c>
      <c r="D48" s="22">
        <v>50334</v>
      </c>
      <c r="E48" s="20">
        <f t="shared" si="0"/>
        <v>6.4421879735585387E-3</v>
      </c>
      <c r="F48" s="23">
        <f t="shared" si="1"/>
        <v>1121538.5166743801</v>
      </c>
      <c r="G48" s="23">
        <f t="shared" si="2"/>
        <v>1171872.5166743801</v>
      </c>
    </row>
    <row r="49" spans="1:7" x14ac:dyDescent="0.2">
      <c r="A49">
        <v>2020</v>
      </c>
      <c r="B49" s="1" t="s">
        <v>632</v>
      </c>
      <c r="C49" s="1" t="s">
        <v>633</v>
      </c>
      <c r="D49" s="22">
        <v>5319</v>
      </c>
      <c r="E49" s="20">
        <f t="shared" si="0"/>
        <v>6.8077239701509653E-4</v>
      </c>
      <c r="F49" s="23">
        <f t="shared" si="1"/>
        <v>118517.57003598021</v>
      </c>
      <c r="G49" s="23">
        <f t="shared" si="2"/>
        <v>123836.57003598021</v>
      </c>
    </row>
    <row r="50" spans="1:7" x14ac:dyDescent="0.2">
      <c r="A50">
        <v>2020</v>
      </c>
      <c r="B50" s="1" t="s">
        <v>92</v>
      </c>
      <c r="C50" s="1" t="s">
        <v>93</v>
      </c>
      <c r="D50" s="22"/>
      <c r="E50" s="20">
        <f t="shared" si="0"/>
        <v>0</v>
      </c>
      <c r="F50" s="23">
        <f t="shared" si="1"/>
        <v>0</v>
      </c>
      <c r="G50" s="23">
        <f t="shared" si="2"/>
        <v>0</v>
      </c>
    </row>
    <row r="51" spans="1:7" x14ac:dyDescent="0.2">
      <c r="A51">
        <v>2020</v>
      </c>
      <c r="B51" s="1" t="s">
        <v>94</v>
      </c>
      <c r="C51" s="1" t="s">
        <v>95</v>
      </c>
      <c r="D51" s="22">
        <v>32617</v>
      </c>
      <c r="E51" s="20">
        <f t="shared" si="0"/>
        <v>4.1746105045011098E-3</v>
      </c>
      <c r="F51" s="23">
        <f t="shared" si="1"/>
        <v>726769.6149395688</v>
      </c>
      <c r="G51" s="23">
        <f t="shared" si="2"/>
        <v>759386.6149395688</v>
      </c>
    </row>
    <row r="52" spans="1:7" x14ac:dyDescent="0.2">
      <c r="A52">
        <v>2020</v>
      </c>
      <c r="B52" s="1" t="s">
        <v>96</v>
      </c>
      <c r="C52" s="1" t="s">
        <v>97</v>
      </c>
      <c r="D52" s="22">
        <v>12691</v>
      </c>
      <c r="E52" s="20">
        <f t="shared" si="0"/>
        <v>1.6243057887795809E-3</v>
      </c>
      <c r="F52" s="23">
        <f t="shared" si="1"/>
        <v>282779.93632762268</v>
      </c>
      <c r="G52" s="23">
        <f t="shared" si="2"/>
        <v>295470.93632762268</v>
      </c>
    </row>
    <row r="53" spans="1:7" x14ac:dyDescent="0.2">
      <c r="A53">
        <v>2020</v>
      </c>
      <c r="B53" s="1" t="s">
        <v>487</v>
      </c>
      <c r="C53" s="1" t="s">
        <v>98</v>
      </c>
      <c r="D53" s="22">
        <v>8605</v>
      </c>
      <c r="E53" s="20">
        <f t="shared" si="0"/>
        <v>1.1013435751673069E-3</v>
      </c>
      <c r="F53" s="23">
        <f t="shared" si="1"/>
        <v>191735.98235751261</v>
      </c>
      <c r="G53" s="23">
        <f t="shared" si="2"/>
        <v>200340.98235751261</v>
      </c>
    </row>
    <row r="54" spans="1:7" x14ac:dyDescent="0.2">
      <c r="A54">
        <v>2020</v>
      </c>
      <c r="B54" s="1" t="s">
        <v>488</v>
      </c>
      <c r="C54" s="1" t="s">
        <v>99</v>
      </c>
      <c r="D54" s="22">
        <v>23879</v>
      </c>
      <c r="E54" s="20">
        <f t="shared" si="0"/>
        <v>3.0562444196885674E-3</v>
      </c>
      <c r="F54" s="23">
        <f t="shared" si="1"/>
        <v>532070.13628298009</v>
      </c>
      <c r="G54" s="23">
        <f t="shared" si="2"/>
        <v>555949.13628298009</v>
      </c>
    </row>
    <row r="55" spans="1:7" x14ac:dyDescent="0.2">
      <c r="A55">
        <v>2020</v>
      </c>
      <c r="B55" s="1" t="s">
        <v>626</v>
      </c>
      <c r="C55" s="1" t="s">
        <v>627</v>
      </c>
      <c r="D55" s="22"/>
      <c r="E55" s="20">
        <f t="shared" si="0"/>
        <v>0</v>
      </c>
      <c r="F55" s="23">
        <f t="shared" si="1"/>
        <v>0</v>
      </c>
      <c r="G55" s="23">
        <f t="shared" si="2"/>
        <v>0</v>
      </c>
    </row>
    <row r="56" spans="1:7" x14ac:dyDescent="0.2">
      <c r="A56">
        <v>2020</v>
      </c>
      <c r="B56" s="1" t="s">
        <v>489</v>
      </c>
      <c r="C56" s="1" t="s">
        <v>100</v>
      </c>
      <c r="D56" s="22"/>
      <c r="E56" s="20">
        <f t="shared" si="0"/>
        <v>0</v>
      </c>
      <c r="F56" s="23">
        <f t="shared" si="1"/>
        <v>0</v>
      </c>
      <c r="G56" s="23">
        <f t="shared" si="2"/>
        <v>0</v>
      </c>
    </row>
    <row r="57" spans="1:7" x14ac:dyDescent="0.2">
      <c r="A57">
        <v>2020</v>
      </c>
      <c r="B57" s="1" t="s">
        <v>490</v>
      </c>
      <c r="C57" s="1" t="s">
        <v>491</v>
      </c>
      <c r="D57" s="22">
        <v>3947</v>
      </c>
      <c r="E57" s="20">
        <f t="shared" si="0"/>
        <v>5.051717712010878E-4</v>
      </c>
      <c r="F57" s="23">
        <f t="shared" si="1"/>
        <v>87946.766108669661</v>
      </c>
      <c r="G57" s="23">
        <f t="shared" si="2"/>
        <v>91893.766108669661</v>
      </c>
    </row>
    <row r="58" spans="1:7" x14ac:dyDescent="0.2">
      <c r="A58">
        <v>2020</v>
      </c>
      <c r="B58" s="1" t="s">
        <v>492</v>
      </c>
      <c r="C58" s="1" t="s">
        <v>101</v>
      </c>
      <c r="D58" s="22">
        <v>2516</v>
      </c>
      <c r="E58" s="20">
        <f t="shared" si="0"/>
        <v>3.2201980652189939E-4</v>
      </c>
      <c r="F58" s="23">
        <f t="shared" si="1"/>
        <v>56061.328484776503</v>
      </c>
      <c r="G58" s="23">
        <f t="shared" si="2"/>
        <v>58577.328484776503</v>
      </c>
    </row>
    <row r="59" spans="1:7" x14ac:dyDescent="0.2">
      <c r="A59">
        <v>2020</v>
      </c>
      <c r="B59" s="1" t="s">
        <v>493</v>
      </c>
      <c r="C59" s="1" t="s">
        <v>102</v>
      </c>
      <c r="D59" s="22">
        <v>720980</v>
      </c>
      <c r="E59" s="20">
        <f t="shared" si="0"/>
        <v>9.2277360932495639E-2</v>
      </c>
      <c r="F59" s="23">
        <f t="shared" si="1"/>
        <v>16064823.772239333</v>
      </c>
      <c r="G59" s="23">
        <f t="shared" si="2"/>
        <v>16785803.772239335</v>
      </c>
    </row>
    <row r="60" spans="1:7" x14ac:dyDescent="0.2">
      <c r="A60">
        <v>2020</v>
      </c>
      <c r="B60" s="1" t="s">
        <v>494</v>
      </c>
      <c r="C60" s="1" t="s">
        <v>103</v>
      </c>
      <c r="D60" s="22">
        <v>58375</v>
      </c>
      <c r="E60" s="20">
        <f t="shared" si="0"/>
        <v>7.4713458687265012E-3</v>
      </c>
      <c r="F60" s="23">
        <f t="shared" si="1"/>
        <v>1300707.4921696456</v>
      </c>
      <c r="G60" s="23">
        <f t="shared" si="2"/>
        <v>1359082.4921696456</v>
      </c>
    </row>
    <row r="61" spans="1:7" x14ac:dyDescent="0.2">
      <c r="A61">
        <v>2020</v>
      </c>
      <c r="B61" s="1" t="s">
        <v>495</v>
      </c>
      <c r="C61" s="1" t="s">
        <v>104</v>
      </c>
      <c r="D61" s="22">
        <v>126478</v>
      </c>
      <c r="E61" s="20">
        <f t="shared" si="0"/>
        <v>1.6187766728647374E-2</v>
      </c>
      <c r="F61" s="23">
        <f t="shared" si="1"/>
        <v>2818173.5707859946</v>
      </c>
      <c r="G61" s="23">
        <f t="shared" si="2"/>
        <v>2944651.5707859946</v>
      </c>
    </row>
    <row r="62" spans="1:7" x14ac:dyDescent="0.2">
      <c r="A62">
        <v>2020</v>
      </c>
      <c r="B62" s="1" t="s">
        <v>496</v>
      </c>
      <c r="C62" s="1" t="s">
        <v>105</v>
      </c>
      <c r="D62" s="22">
        <v>60779</v>
      </c>
      <c r="E62" s="20">
        <f t="shared" si="0"/>
        <v>7.7790309302839915E-3</v>
      </c>
      <c r="F62" s="23">
        <f t="shared" si="1"/>
        <v>1354273.2448236211</v>
      </c>
      <c r="G62" s="23">
        <f t="shared" si="2"/>
        <v>1415052.2448236211</v>
      </c>
    </row>
    <row r="63" spans="1:7" x14ac:dyDescent="0.2">
      <c r="A63">
        <v>2020</v>
      </c>
      <c r="B63" s="1" t="s">
        <v>628</v>
      </c>
      <c r="C63" s="1" t="s">
        <v>629</v>
      </c>
      <c r="D63" s="22">
        <v>3158</v>
      </c>
      <c r="E63" s="20">
        <f t="shared" si="0"/>
        <v>4.0418861247860027E-4</v>
      </c>
      <c r="F63" s="23">
        <f t="shared" si="1"/>
        <v>70366.325657760011</v>
      </c>
      <c r="G63" s="23">
        <f t="shared" si="2"/>
        <v>73524.325657760011</v>
      </c>
    </row>
    <row r="64" spans="1:7" x14ac:dyDescent="0.2">
      <c r="A64">
        <v>2020</v>
      </c>
      <c r="B64" s="1" t="s">
        <v>497</v>
      </c>
      <c r="C64" s="1" t="s">
        <v>106</v>
      </c>
      <c r="D64" s="22">
        <v>143721</v>
      </c>
      <c r="E64" s="20">
        <f t="shared" si="0"/>
        <v>1.8394677509194716E-2</v>
      </c>
      <c r="F64" s="23">
        <f t="shared" si="1"/>
        <v>3202380.8390940237</v>
      </c>
      <c r="G64" s="23">
        <f t="shared" si="2"/>
        <v>3346101.8390940237</v>
      </c>
    </row>
    <row r="65" spans="1:7" x14ac:dyDescent="0.2">
      <c r="A65">
        <v>2020</v>
      </c>
      <c r="B65" s="1" t="s">
        <v>498</v>
      </c>
      <c r="C65" s="1" t="s">
        <v>499</v>
      </c>
      <c r="D65" s="22">
        <v>9127</v>
      </c>
      <c r="E65" s="20">
        <f t="shared" si="0"/>
        <v>1.1681537258049983E-3</v>
      </c>
      <c r="F65" s="23">
        <f t="shared" si="1"/>
        <v>203367.14828320951</v>
      </c>
      <c r="G65" s="23">
        <f t="shared" si="2"/>
        <v>212494.14828320951</v>
      </c>
    </row>
    <row r="66" spans="1:7" x14ac:dyDescent="0.2">
      <c r="A66">
        <v>2020</v>
      </c>
      <c r="B66" s="1" t="s">
        <v>107</v>
      </c>
      <c r="C66" s="1" t="s">
        <v>108</v>
      </c>
      <c r="D66" s="22">
        <v>3537</v>
      </c>
      <c r="E66" s="20">
        <f t="shared" si="0"/>
        <v>4.5269636552780533E-4</v>
      </c>
      <c r="F66" s="23">
        <f t="shared" si="1"/>
        <v>78811.176013773642</v>
      </c>
      <c r="G66" s="23">
        <f t="shared" si="2"/>
        <v>82348.176013773642</v>
      </c>
    </row>
    <row r="67" spans="1:7" x14ac:dyDescent="0.2">
      <c r="A67">
        <v>2020</v>
      </c>
      <c r="B67" s="1" t="s">
        <v>500</v>
      </c>
      <c r="C67" s="1" t="s">
        <v>501</v>
      </c>
      <c r="D67" s="22">
        <v>7702</v>
      </c>
      <c r="E67" s="20">
        <f t="shared" ref="E67:E130" si="3">D67/$D$254</f>
        <v>9.8576969389176029E-4</v>
      </c>
      <c r="F67" s="23">
        <f t="shared" ref="F67:F130" si="4">E67*$D$256</f>
        <v>171615.40222168068</v>
      </c>
      <c r="G67" s="23">
        <f t="shared" ref="G67:G130" si="5">SUM(F67,D67)</f>
        <v>179317.40222168068</v>
      </c>
    </row>
    <row r="68" spans="1:7" x14ac:dyDescent="0.2">
      <c r="A68">
        <v>2020</v>
      </c>
      <c r="B68" s="1" t="s">
        <v>109</v>
      </c>
      <c r="C68" s="1" t="s">
        <v>110</v>
      </c>
      <c r="D68" s="22">
        <v>180315</v>
      </c>
      <c r="E68" s="20">
        <f t="shared" si="3"/>
        <v>2.3078299448726664E-2</v>
      </c>
      <c r="F68" s="23">
        <f t="shared" si="4"/>
        <v>4017765.6779540833</v>
      </c>
      <c r="G68" s="23">
        <f t="shared" si="5"/>
        <v>4198080.6779540833</v>
      </c>
    </row>
    <row r="69" spans="1:7" x14ac:dyDescent="0.2">
      <c r="A69">
        <v>2020</v>
      </c>
      <c r="B69" s="1" t="s">
        <v>502</v>
      </c>
      <c r="C69" s="1" t="s">
        <v>111</v>
      </c>
      <c r="D69" s="22">
        <v>18101</v>
      </c>
      <c r="E69" s="20">
        <f t="shared" si="3"/>
        <v>2.3167251660782596E-3</v>
      </c>
      <c r="F69" s="23">
        <f t="shared" si="4"/>
        <v>403325.16172612854</v>
      </c>
      <c r="G69" s="23">
        <f t="shared" si="5"/>
        <v>421426.16172612854</v>
      </c>
    </row>
    <row r="70" spans="1:7" x14ac:dyDescent="0.2">
      <c r="A70">
        <v>2020</v>
      </c>
      <c r="B70" s="1" t="s">
        <v>503</v>
      </c>
      <c r="C70" s="1" t="s">
        <v>112</v>
      </c>
      <c r="D70" s="22">
        <v>22974</v>
      </c>
      <c r="E70" s="20">
        <f t="shared" si="3"/>
        <v>2.9404145608243706E-3</v>
      </c>
      <c r="F70" s="23">
        <f t="shared" si="4"/>
        <v>511904.99229302676</v>
      </c>
      <c r="G70" s="23">
        <f t="shared" si="5"/>
        <v>534878.99229302676</v>
      </c>
    </row>
    <row r="71" spans="1:7" x14ac:dyDescent="0.2">
      <c r="A71">
        <v>2020</v>
      </c>
      <c r="B71" s="1" t="s">
        <v>504</v>
      </c>
      <c r="C71" s="1" t="s">
        <v>113</v>
      </c>
      <c r="D71" s="22">
        <v>6220</v>
      </c>
      <c r="E71" s="20">
        <f t="shared" si="3"/>
        <v>7.9609030070199299E-4</v>
      </c>
      <c r="F71" s="23">
        <f t="shared" si="4"/>
        <v>138593.58631769073</v>
      </c>
      <c r="G71" s="23">
        <f t="shared" si="5"/>
        <v>144813.58631769073</v>
      </c>
    </row>
    <row r="72" spans="1:7" x14ac:dyDescent="0.2">
      <c r="A72">
        <v>2020</v>
      </c>
      <c r="B72" s="1" t="s">
        <v>114</v>
      </c>
      <c r="C72" s="1" t="s">
        <v>115</v>
      </c>
      <c r="D72" s="22">
        <v>31776</v>
      </c>
      <c r="E72" s="20">
        <f t="shared" si="3"/>
        <v>4.066971928473718E-3</v>
      </c>
      <c r="F72" s="23">
        <f t="shared" si="4"/>
        <v>708030.51428150153</v>
      </c>
      <c r="G72" s="23">
        <f t="shared" si="5"/>
        <v>739806.51428150153</v>
      </c>
    </row>
    <row r="73" spans="1:7" x14ac:dyDescent="0.2">
      <c r="A73">
        <v>2020</v>
      </c>
      <c r="B73" s="1" t="s">
        <v>505</v>
      </c>
      <c r="C73" s="1" t="s">
        <v>116</v>
      </c>
      <c r="D73" s="22">
        <v>65309</v>
      </c>
      <c r="E73" s="20">
        <f t="shared" si="3"/>
        <v>8.3588201685766E-3</v>
      </c>
      <c r="F73" s="23">
        <f t="shared" si="4"/>
        <v>1455210.3744086917</v>
      </c>
      <c r="G73" s="23">
        <f t="shared" si="5"/>
        <v>1520519.3744086917</v>
      </c>
    </row>
    <row r="74" spans="1:7" x14ac:dyDescent="0.2">
      <c r="A74">
        <v>2020</v>
      </c>
      <c r="B74" s="1" t="s">
        <v>506</v>
      </c>
      <c r="C74" s="1" t="s">
        <v>117</v>
      </c>
      <c r="D74" s="22">
        <v>90465</v>
      </c>
      <c r="E74" s="20">
        <f t="shared" si="3"/>
        <v>1.1578506278618294E-2</v>
      </c>
      <c r="F74" s="23">
        <f t="shared" si="4"/>
        <v>2015734.5315482139</v>
      </c>
      <c r="G74" s="23">
        <f t="shared" si="5"/>
        <v>2106199.5315482141</v>
      </c>
    </row>
    <row r="75" spans="1:7" x14ac:dyDescent="0.2">
      <c r="A75">
        <v>2020</v>
      </c>
      <c r="B75" s="1" t="s">
        <v>118</v>
      </c>
      <c r="C75" s="1" t="s">
        <v>119</v>
      </c>
      <c r="D75" s="22">
        <v>32300</v>
      </c>
      <c r="E75" s="20">
        <f t="shared" si="3"/>
        <v>4.13403805670006E-3</v>
      </c>
      <c r="F75" s="23">
        <f t="shared" si="4"/>
        <v>719706.24406131997</v>
      </c>
      <c r="G75" s="23">
        <f t="shared" si="5"/>
        <v>752006.24406131997</v>
      </c>
    </row>
    <row r="76" spans="1:7" x14ac:dyDescent="0.2">
      <c r="A76">
        <v>2020</v>
      </c>
      <c r="B76" s="1" t="s">
        <v>507</v>
      </c>
      <c r="C76" s="1" t="s">
        <v>120</v>
      </c>
      <c r="D76" s="22">
        <v>59564</v>
      </c>
      <c r="E76" s="20">
        <f t="shared" si="3"/>
        <v>7.6235245451790204E-3</v>
      </c>
      <c r="F76" s="23">
        <f t="shared" si="4"/>
        <v>1327200.7034448439</v>
      </c>
      <c r="G76" s="23">
        <f t="shared" si="5"/>
        <v>1386764.7034448439</v>
      </c>
    </row>
    <row r="77" spans="1:7" x14ac:dyDescent="0.2">
      <c r="A77">
        <v>2020</v>
      </c>
      <c r="B77" s="1" t="s">
        <v>121</v>
      </c>
      <c r="C77" s="1" t="s">
        <v>122</v>
      </c>
      <c r="D77" s="22"/>
      <c r="E77" s="20">
        <f t="shared" si="3"/>
        <v>0</v>
      </c>
      <c r="F77" s="23">
        <f t="shared" si="4"/>
        <v>0</v>
      </c>
      <c r="G77" s="23">
        <f t="shared" si="5"/>
        <v>0</v>
      </c>
    </row>
    <row r="78" spans="1:7" x14ac:dyDescent="0.2">
      <c r="A78">
        <v>2020</v>
      </c>
      <c r="B78" s="1" t="s">
        <v>123</v>
      </c>
      <c r="C78" s="1" t="s">
        <v>124</v>
      </c>
      <c r="D78" s="22">
        <v>7353</v>
      </c>
      <c r="E78" s="20">
        <f t="shared" si="3"/>
        <v>9.4110160467230774E-4</v>
      </c>
      <c r="F78" s="23">
        <f t="shared" si="4"/>
        <v>163839.00967748871</v>
      </c>
      <c r="G78" s="23">
        <f t="shared" si="5"/>
        <v>171192.00967748871</v>
      </c>
    </row>
    <row r="79" spans="1:7" x14ac:dyDescent="0.2">
      <c r="A79">
        <v>2020</v>
      </c>
      <c r="B79" s="1" t="s">
        <v>508</v>
      </c>
      <c r="C79" s="1" t="s">
        <v>125</v>
      </c>
      <c r="D79" s="22">
        <v>133316</v>
      </c>
      <c r="E79" s="20">
        <f t="shared" si="3"/>
        <v>1.7062954104242266E-2</v>
      </c>
      <c r="F79" s="23">
        <f t="shared" si="4"/>
        <v>2970537.3880272117</v>
      </c>
      <c r="G79" s="23">
        <f t="shared" si="5"/>
        <v>3103853.3880272117</v>
      </c>
    </row>
    <row r="80" spans="1:7" x14ac:dyDescent="0.2">
      <c r="A80">
        <v>2020</v>
      </c>
      <c r="B80" s="1" t="s">
        <v>509</v>
      </c>
      <c r="C80" s="1" t="s">
        <v>126</v>
      </c>
      <c r="D80" s="22">
        <v>48228</v>
      </c>
      <c r="E80" s="20">
        <f t="shared" si="3"/>
        <v>6.1726435727099222E-3</v>
      </c>
      <c r="F80" s="23">
        <f t="shared" si="4"/>
        <v>1074612.7782844997</v>
      </c>
      <c r="G80" s="23">
        <f t="shared" si="5"/>
        <v>1122840.7782844997</v>
      </c>
    </row>
    <row r="81" spans="1:7" x14ac:dyDescent="0.2">
      <c r="A81">
        <v>2020</v>
      </c>
      <c r="B81" s="1" t="s">
        <v>127</v>
      </c>
      <c r="C81" s="1" t="s">
        <v>128</v>
      </c>
      <c r="D81" s="22">
        <v>2223</v>
      </c>
      <c r="E81" s="20">
        <f t="shared" si="3"/>
        <v>2.8451908978465118E-4</v>
      </c>
      <c r="F81" s="23">
        <f t="shared" si="4"/>
        <v>49532.723855984965</v>
      </c>
      <c r="G81" s="23">
        <f t="shared" si="5"/>
        <v>51755.723855984965</v>
      </c>
    </row>
    <row r="82" spans="1:7" x14ac:dyDescent="0.2">
      <c r="A82">
        <v>2020</v>
      </c>
      <c r="B82" s="1" t="s">
        <v>129</v>
      </c>
      <c r="C82" s="1" t="s">
        <v>130</v>
      </c>
      <c r="D82" s="22">
        <v>20116</v>
      </c>
      <c r="E82" s="20">
        <f t="shared" si="3"/>
        <v>2.5746225866432942E-3</v>
      </c>
      <c r="F82" s="23">
        <f t="shared" si="4"/>
        <v>448223.24475348333</v>
      </c>
      <c r="G82" s="23">
        <f t="shared" si="5"/>
        <v>468339.24475348333</v>
      </c>
    </row>
    <row r="83" spans="1:7" x14ac:dyDescent="0.2">
      <c r="A83">
        <v>2020</v>
      </c>
      <c r="B83" s="1" t="s">
        <v>510</v>
      </c>
      <c r="C83" s="1" t="s">
        <v>131</v>
      </c>
      <c r="D83" s="22">
        <v>69308</v>
      </c>
      <c r="E83" s="20">
        <f t="shared" si="3"/>
        <v>8.8706473570825933E-3</v>
      </c>
      <c r="F83" s="23">
        <f t="shared" si="4"/>
        <v>1544315.800724519</v>
      </c>
      <c r="G83" s="23">
        <f t="shared" si="5"/>
        <v>1613623.800724519</v>
      </c>
    </row>
    <row r="84" spans="1:7" x14ac:dyDescent="0.2">
      <c r="A84">
        <v>2020</v>
      </c>
      <c r="B84" s="1" t="s">
        <v>511</v>
      </c>
      <c r="C84" s="1" t="s">
        <v>132</v>
      </c>
      <c r="D84" s="22">
        <v>71527</v>
      </c>
      <c r="E84" s="20">
        <f t="shared" si="3"/>
        <v>9.1546544916899439E-3</v>
      </c>
      <c r="F84" s="23">
        <f t="shared" si="4"/>
        <v>1593759.3968722611</v>
      </c>
      <c r="G84" s="23">
        <f t="shared" si="5"/>
        <v>1665286.3968722611</v>
      </c>
    </row>
    <row r="85" spans="1:7" x14ac:dyDescent="0.2">
      <c r="A85">
        <v>2020</v>
      </c>
      <c r="B85" s="1" t="s">
        <v>133</v>
      </c>
      <c r="C85" s="1" t="s">
        <v>134</v>
      </c>
      <c r="D85" s="22">
        <v>26831</v>
      </c>
      <c r="E85" s="20">
        <f t="shared" si="3"/>
        <v>3.4340673405362015E-3</v>
      </c>
      <c r="F85" s="23">
        <f t="shared" si="4"/>
        <v>597846.38496623142</v>
      </c>
      <c r="G85" s="23">
        <f t="shared" si="5"/>
        <v>624677.38496623142</v>
      </c>
    </row>
    <row r="86" spans="1:7" x14ac:dyDescent="0.2">
      <c r="A86">
        <v>2020</v>
      </c>
      <c r="B86" s="1" t="s">
        <v>512</v>
      </c>
      <c r="C86" s="1" t="s">
        <v>135</v>
      </c>
      <c r="D86" s="22">
        <v>61237</v>
      </c>
      <c r="E86" s="20">
        <f t="shared" si="3"/>
        <v>7.8376497980848781E-3</v>
      </c>
      <c r="F86" s="23">
        <f t="shared" si="4"/>
        <v>1364478.3674174319</v>
      </c>
      <c r="G86" s="23">
        <f t="shared" si="5"/>
        <v>1425715.3674174319</v>
      </c>
    </row>
    <row r="87" spans="1:7" x14ac:dyDescent="0.2">
      <c r="A87">
        <v>2020</v>
      </c>
      <c r="B87" s="1" t="s">
        <v>136</v>
      </c>
      <c r="C87" s="1" t="s">
        <v>137</v>
      </c>
      <c r="D87" s="22">
        <v>34097</v>
      </c>
      <c r="E87" s="20">
        <f t="shared" si="3"/>
        <v>4.3640339201022268E-3</v>
      </c>
      <c r="F87" s="23">
        <f t="shared" si="4"/>
        <v>759746.86698943726</v>
      </c>
      <c r="G87" s="23">
        <f t="shared" si="5"/>
        <v>793843.86698943726</v>
      </c>
    </row>
    <row r="88" spans="1:7" x14ac:dyDescent="0.2">
      <c r="A88">
        <v>2020</v>
      </c>
      <c r="B88" s="1" t="s">
        <v>513</v>
      </c>
      <c r="C88" s="1" t="s">
        <v>138</v>
      </c>
      <c r="D88" s="22">
        <v>22790</v>
      </c>
      <c r="E88" s="20">
        <f t="shared" si="3"/>
        <v>2.916864622668556E-3</v>
      </c>
      <c r="F88" s="23">
        <f t="shared" si="4"/>
        <v>507805.11771385389</v>
      </c>
      <c r="G88" s="23">
        <f t="shared" si="5"/>
        <v>530595.11771385395</v>
      </c>
    </row>
    <row r="89" spans="1:7" x14ac:dyDescent="0.2">
      <c r="A89">
        <v>2020</v>
      </c>
      <c r="B89" s="1" t="s">
        <v>514</v>
      </c>
      <c r="C89" s="1" t="s">
        <v>139</v>
      </c>
      <c r="D89" s="22">
        <v>48518</v>
      </c>
      <c r="E89" s="20">
        <f t="shared" si="3"/>
        <v>6.2097603230641951E-3</v>
      </c>
      <c r="F89" s="23">
        <f t="shared" si="4"/>
        <v>1081074.537132109</v>
      </c>
      <c r="G89" s="23">
        <f t="shared" si="5"/>
        <v>1129592.537132109</v>
      </c>
    </row>
    <row r="90" spans="1:7" x14ac:dyDescent="0.2">
      <c r="A90">
        <v>2020</v>
      </c>
      <c r="B90" s="1" t="s">
        <v>140</v>
      </c>
      <c r="C90" s="1" t="s">
        <v>141</v>
      </c>
      <c r="D90" s="22">
        <v>18876</v>
      </c>
      <c r="E90" s="20">
        <f t="shared" si="3"/>
        <v>2.4159164816801959E-3</v>
      </c>
      <c r="F90" s="23">
        <f t="shared" si="4"/>
        <v>420593.65519818809</v>
      </c>
      <c r="G90" s="23">
        <f t="shared" si="5"/>
        <v>439469.65519818809</v>
      </c>
    </row>
    <row r="91" spans="1:7" x14ac:dyDescent="0.2">
      <c r="A91">
        <v>2020</v>
      </c>
      <c r="B91" s="1" t="s">
        <v>515</v>
      </c>
      <c r="C91" s="1" t="s">
        <v>142</v>
      </c>
      <c r="D91" s="22">
        <v>56331</v>
      </c>
      <c r="E91" s="20">
        <f t="shared" si="3"/>
        <v>7.2097367731260393E-3</v>
      </c>
      <c r="F91" s="23">
        <f t="shared" si="4"/>
        <v>1255163.2332575298</v>
      </c>
      <c r="G91" s="23">
        <f t="shared" si="5"/>
        <v>1311494.2332575298</v>
      </c>
    </row>
    <row r="92" spans="1:7" x14ac:dyDescent="0.2">
      <c r="A92">
        <v>2020</v>
      </c>
      <c r="B92" s="1" t="s">
        <v>516</v>
      </c>
      <c r="C92" s="1" t="s">
        <v>143</v>
      </c>
      <c r="D92" s="22">
        <v>10227</v>
      </c>
      <c r="E92" s="20">
        <f t="shared" si="3"/>
        <v>1.3089413995625856E-3</v>
      </c>
      <c r="F92" s="23">
        <f t="shared" si="4"/>
        <v>227877.26805000371</v>
      </c>
      <c r="G92" s="23">
        <f t="shared" si="5"/>
        <v>238104.26805000371</v>
      </c>
    </row>
    <row r="93" spans="1:7" x14ac:dyDescent="0.2">
      <c r="A93">
        <v>2020</v>
      </c>
      <c r="B93" s="1" t="s">
        <v>517</v>
      </c>
      <c r="C93" s="1" t="s">
        <v>144</v>
      </c>
      <c r="D93" s="22">
        <v>7910</v>
      </c>
      <c r="E93" s="20">
        <f t="shared" si="3"/>
        <v>1.012391363111377E-3</v>
      </c>
      <c r="F93" s="23">
        <f t="shared" si="4"/>
        <v>176250.04305031087</v>
      </c>
      <c r="G93" s="23">
        <f t="shared" si="5"/>
        <v>184160.04305031087</v>
      </c>
    </row>
    <row r="94" spans="1:7" x14ac:dyDescent="0.2">
      <c r="A94">
        <v>2020</v>
      </c>
      <c r="B94" s="1" t="s">
        <v>518</v>
      </c>
      <c r="C94" s="1" t="s">
        <v>145</v>
      </c>
      <c r="D94" s="22">
        <v>28142</v>
      </c>
      <c r="E94" s="20">
        <f t="shared" si="3"/>
        <v>3.6018606498963803E-3</v>
      </c>
      <c r="F94" s="23">
        <f t="shared" si="4"/>
        <v>627057.99134283792</v>
      </c>
      <c r="G94" s="23">
        <f t="shared" si="5"/>
        <v>655199.99134283792</v>
      </c>
    </row>
    <row r="95" spans="1:7" x14ac:dyDescent="0.2">
      <c r="A95">
        <v>2020</v>
      </c>
      <c r="B95" s="1" t="s">
        <v>146</v>
      </c>
      <c r="C95" s="1" t="s">
        <v>147</v>
      </c>
      <c r="D95" s="22">
        <v>40814</v>
      </c>
      <c r="E95" s="20">
        <f t="shared" si="3"/>
        <v>5.2237346515837842E-3</v>
      </c>
      <c r="F95" s="23">
        <f t="shared" si="4"/>
        <v>909414.57105630683</v>
      </c>
      <c r="G95" s="23">
        <f t="shared" si="5"/>
        <v>950228.57105630683</v>
      </c>
    </row>
    <row r="96" spans="1:7" x14ac:dyDescent="0.2">
      <c r="A96">
        <v>2020</v>
      </c>
      <c r="B96" s="1" t="s">
        <v>519</v>
      </c>
      <c r="C96" s="1" t="s">
        <v>148</v>
      </c>
      <c r="D96" s="22">
        <v>81954</v>
      </c>
      <c r="E96" s="20">
        <f t="shared" si="3"/>
        <v>1.0489193650117546E-2</v>
      </c>
      <c r="F96" s="23">
        <f t="shared" si="4"/>
        <v>1826093.0503344093</v>
      </c>
      <c r="G96" s="23">
        <f t="shared" si="5"/>
        <v>1908047.0503344093</v>
      </c>
    </row>
    <row r="97" spans="1:7" x14ac:dyDescent="0.2">
      <c r="A97">
        <v>2020</v>
      </c>
      <c r="B97" s="1" t="s">
        <v>520</v>
      </c>
      <c r="C97" s="1" t="s">
        <v>149</v>
      </c>
      <c r="D97" s="22">
        <v>9548</v>
      </c>
      <c r="E97" s="20">
        <f t="shared" si="3"/>
        <v>1.2220370082158566E-3</v>
      </c>
      <c r="F97" s="23">
        <f t="shared" si="4"/>
        <v>212747.83957577345</v>
      </c>
      <c r="G97" s="23">
        <f t="shared" si="5"/>
        <v>222295.83957577345</v>
      </c>
    </row>
    <row r="98" spans="1:7" x14ac:dyDescent="0.2">
      <c r="A98">
        <v>2020</v>
      </c>
      <c r="B98" s="1" t="s">
        <v>521</v>
      </c>
      <c r="C98" s="1" t="s">
        <v>150</v>
      </c>
      <c r="D98" s="22">
        <v>41180</v>
      </c>
      <c r="E98" s="20">
        <f t="shared" si="3"/>
        <v>5.2705785503067634E-3</v>
      </c>
      <c r="F98" s="23">
        <f t="shared" si="4"/>
        <v>917569.75636053109</v>
      </c>
      <c r="G98" s="23">
        <f t="shared" si="5"/>
        <v>958749.75636053109</v>
      </c>
    </row>
    <row r="99" spans="1:7" x14ac:dyDescent="0.2">
      <c r="A99">
        <v>2020</v>
      </c>
      <c r="B99" s="1" t="s">
        <v>151</v>
      </c>
      <c r="C99" s="1" t="s">
        <v>152</v>
      </c>
      <c r="D99" s="22">
        <v>13438</v>
      </c>
      <c r="E99" s="20">
        <f t="shared" si="3"/>
        <v>1.7199134181404149E-3</v>
      </c>
      <c r="F99" s="23">
        <f t="shared" si="4"/>
        <v>299424.53584198194</v>
      </c>
      <c r="G99" s="23">
        <f t="shared" si="5"/>
        <v>312862.53584198194</v>
      </c>
    </row>
    <row r="100" spans="1:7" x14ac:dyDescent="0.2">
      <c r="A100">
        <v>2020</v>
      </c>
      <c r="B100" s="1" t="s">
        <v>522</v>
      </c>
      <c r="C100" s="1" t="s">
        <v>153</v>
      </c>
      <c r="D100" s="22">
        <v>77972</v>
      </c>
      <c r="E100" s="20">
        <f t="shared" si="3"/>
        <v>9.9795422711150793E-3</v>
      </c>
      <c r="F100" s="23">
        <f t="shared" si="4"/>
        <v>1737366.4167786143</v>
      </c>
      <c r="G100" s="23">
        <f t="shared" si="5"/>
        <v>1815338.4167786143</v>
      </c>
    </row>
    <row r="101" spans="1:7" x14ac:dyDescent="0.2">
      <c r="A101">
        <v>2020</v>
      </c>
      <c r="B101" s="1" t="s">
        <v>523</v>
      </c>
      <c r="C101" s="1" t="s">
        <v>154</v>
      </c>
      <c r="D101" s="22">
        <v>52939</v>
      </c>
      <c r="E101" s="20">
        <f t="shared" si="3"/>
        <v>6.7755987827753704E-3</v>
      </c>
      <c r="F101" s="23">
        <f t="shared" si="4"/>
        <v>1179582.9366675608</v>
      </c>
      <c r="G101" s="23">
        <f t="shared" si="5"/>
        <v>1232521.9366675608</v>
      </c>
    </row>
    <row r="102" spans="1:7" x14ac:dyDescent="0.2">
      <c r="A102">
        <v>2020</v>
      </c>
      <c r="B102" s="1" t="s">
        <v>524</v>
      </c>
      <c r="C102" s="1" t="s">
        <v>155</v>
      </c>
      <c r="D102" s="22">
        <v>32250</v>
      </c>
      <c r="E102" s="20">
        <f t="shared" si="3"/>
        <v>4.1276386169838055E-3</v>
      </c>
      <c r="F102" s="23">
        <f t="shared" si="4"/>
        <v>718592.14770828374</v>
      </c>
      <c r="G102" s="23">
        <f t="shared" si="5"/>
        <v>750842.14770828374</v>
      </c>
    </row>
    <row r="103" spans="1:7" x14ac:dyDescent="0.2">
      <c r="A103">
        <v>2020</v>
      </c>
      <c r="B103" s="1" t="s">
        <v>525</v>
      </c>
      <c r="C103" s="1" t="s">
        <v>156</v>
      </c>
      <c r="D103" s="22">
        <v>41218</v>
      </c>
      <c r="E103" s="20">
        <f t="shared" si="3"/>
        <v>5.2754421244911162E-3</v>
      </c>
      <c r="F103" s="23">
        <f t="shared" si="4"/>
        <v>918416.46958883852</v>
      </c>
      <c r="G103" s="23">
        <f t="shared" si="5"/>
        <v>959634.46958883852</v>
      </c>
    </row>
    <row r="104" spans="1:7" x14ac:dyDescent="0.2">
      <c r="A104">
        <v>2020</v>
      </c>
      <c r="B104" s="1" t="s">
        <v>526</v>
      </c>
      <c r="C104" s="1" t="s">
        <v>157</v>
      </c>
      <c r="D104" s="22">
        <v>214447</v>
      </c>
      <c r="E104" s="20">
        <f t="shared" si="3"/>
        <v>2.7446812976630271E-2</v>
      </c>
      <c r="F104" s="23">
        <f t="shared" si="4"/>
        <v>4778292.4123906465</v>
      </c>
      <c r="G104" s="23">
        <f t="shared" si="5"/>
        <v>4992739.4123906465</v>
      </c>
    </row>
    <row r="105" spans="1:7" x14ac:dyDescent="0.2">
      <c r="A105">
        <v>2020</v>
      </c>
      <c r="B105" s="1" t="s">
        <v>527</v>
      </c>
      <c r="C105" s="1" t="s">
        <v>158</v>
      </c>
      <c r="D105" s="22">
        <v>37991</v>
      </c>
      <c r="E105" s="20">
        <f t="shared" si="3"/>
        <v>4.862422285204086E-3</v>
      </c>
      <c r="F105" s="23">
        <f t="shared" si="4"/>
        <v>846512.69096388877</v>
      </c>
      <c r="G105" s="23">
        <f t="shared" si="5"/>
        <v>884503.69096388877</v>
      </c>
    </row>
    <row r="106" spans="1:7" x14ac:dyDescent="0.2">
      <c r="A106">
        <v>2020</v>
      </c>
      <c r="B106" s="1" t="s">
        <v>528</v>
      </c>
      <c r="C106" s="1" t="s">
        <v>159</v>
      </c>
      <c r="D106" s="22">
        <v>65025</v>
      </c>
      <c r="E106" s="20">
        <f t="shared" si="3"/>
        <v>8.3224713509882781E-3</v>
      </c>
      <c r="F106" s="23">
        <f t="shared" si="4"/>
        <v>1448882.3071234466</v>
      </c>
      <c r="G106" s="23">
        <f t="shared" si="5"/>
        <v>1513907.3071234466</v>
      </c>
    </row>
    <row r="107" spans="1:7" x14ac:dyDescent="0.2">
      <c r="A107">
        <v>2020</v>
      </c>
      <c r="B107" s="1" t="s">
        <v>160</v>
      </c>
      <c r="C107" s="1" t="s">
        <v>161</v>
      </c>
      <c r="D107" s="22">
        <v>28604</v>
      </c>
      <c r="E107" s="20">
        <f t="shared" si="3"/>
        <v>3.6609914728745669E-3</v>
      </c>
      <c r="F107" s="23">
        <f t="shared" si="4"/>
        <v>637352.24164489156</v>
      </c>
      <c r="G107" s="23">
        <f t="shared" si="5"/>
        <v>665956.24164489156</v>
      </c>
    </row>
    <row r="108" spans="1:7" x14ac:dyDescent="0.2">
      <c r="A108">
        <v>2020</v>
      </c>
      <c r="B108" s="1" t="s">
        <v>162</v>
      </c>
      <c r="C108" s="1" t="s">
        <v>163</v>
      </c>
      <c r="D108" s="22">
        <v>60061</v>
      </c>
      <c r="E108" s="20">
        <f t="shared" si="3"/>
        <v>7.6871349759585848E-3</v>
      </c>
      <c r="F108" s="23">
        <f t="shared" si="4"/>
        <v>1338274.8211940229</v>
      </c>
      <c r="G108" s="23">
        <f t="shared" si="5"/>
        <v>1398335.8211940229</v>
      </c>
    </row>
    <row r="109" spans="1:7" x14ac:dyDescent="0.2">
      <c r="A109">
        <v>2020</v>
      </c>
      <c r="B109" s="1" t="s">
        <v>529</v>
      </c>
      <c r="C109" s="1" t="s">
        <v>164</v>
      </c>
      <c r="D109" s="22">
        <v>114187</v>
      </c>
      <c r="E109" s="20">
        <f t="shared" si="3"/>
        <v>1.4614656457597824E-2</v>
      </c>
      <c r="F109" s="23">
        <f t="shared" si="4"/>
        <v>2544306.4052826609</v>
      </c>
      <c r="G109" s="23">
        <f t="shared" si="5"/>
        <v>2658493.4052826609</v>
      </c>
    </row>
    <row r="110" spans="1:7" x14ac:dyDescent="0.2">
      <c r="A110">
        <v>2020</v>
      </c>
      <c r="B110" s="1" t="s">
        <v>530</v>
      </c>
      <c r="C110" s="1" t="s">
        <v>165</v>
      </c>
      <c r="D110" s="22">
        <v>100825</v>
      </c>
      <c r="E110" s="20">
        <f t="shared" si="3"/>
        <v>1.2904470187826115E-2</v>
      </c>
      <c r="F110" s="23">
        <f t="shared" si="4"/>
        <v>2246575.2958972934</v>
      </c>
      <c r="G110" s="23">
        <f t="shared" si="5"/>
        <v>2347400.2958972934</v>
      </c>
    </row>
    <row r="111" spans="1:7" x14ac:dyDescent="0.2">
      <c r="A111">
        <v>2020</v>
      </c>
      <c r="B111" s="1" t="s">
        <v>531</v>
      </c>
      <c r="C111" s="1" t="s">
        <v>166</v>
      </c>
      <c r="D111" s="22">
        <v>37420</v>
      </c>
      <c r="E111" s="20">
        <f t="shared" si="3"/>
        <v>4.7893406836444653E-3</v>
      </c>
      <c r="F111" s="23">
        <f t="shared" si="4"/>
        <v>833789.71061221638</v>
      </c>
      <c r="G111" s="23">
        <f t="shared" si="5"/>
        <v>871209.71061221638</v>
      </c>
    </row>
    <row r="112" spans="1:7" x14ac:dyDescent="0.2">
      <c r="A112">
        <v>2020</v>
      </c>
      <c r="B112" s="1" t="s">
        <v>167</v>
      </c>
      <c r="C112" s="1" t="s">
        <v>168</v>
      </c>
      <c r="D112" s="22"/>
      <c r="E112" s="20">
        <f t="shared" si="3"/>
        <v>0</v>
      </c>
      <c r="F112" s="23">
        <f t="shared" si="4"/>
        <v>0</v>
      </c>
      <c r="G112" s="23">
        <f t="shared" si="5"/>
        <v>0</v>
      </c>
    </row>
    <row r="113" spans="1:7" x14ac:dyDescent="0.2">
      <c r="A113">
        <v>2020</v>
      </c>
      <c r="B113" s="1" t="s">
        <v>532</v>
      </c>
      <c r="C113" s="1" t="s">
        <v>169</v>
      </c>
      <c r="D113" s="22">
        <v>32147</v>
      </c>
      <c r="E113" s="20">
        <f t="shared" si="3"/>
        <v>4.1144557711683223E-3</v>
      </c>
      <c r="F113" s="23">
        <f t="shared" si="4"/>
        <v>716297.10922102944</v>
      </c>
      <c r="G113" s="23">
        <f t="shared" si="5"/>
        <v>748444.10922102944</v>
      </c>
    </row>
    <row r="114" spans="1:7" x14ac:dyDescent="0.2">
      <c r="A114">
        <v>2020</v>
      </c>
      <c r="B114" s="1" t="s">
        <v>533</v>
      </c>
      <c r="C114" s="1" t="s">
        <v>170</v>
      </c>
      <c r="D114" s="22">
        <v>40043</v>
      </c>
      <c r="E114" s="20">
        <f t="shared" si="3"/>
        <v>5.1250552911591488E-3</v>
      </c>
      <c r="F114" s="23">
        <f t="shared" si="4"/>
        <v>892235.20529249031</v>
      </c>
      <c r="G114" s="23">
        <f t="shared" si="5"/>
        <v>932278.20529249031</v>
      </c>
    </row>
    <row r="115" spans="1:7" x14ac:dyDescent="0.2">
      <c r="A115">
        <v>2020</v>
      </c>
      <c r="B115" s="1" t="s">
        <v>534</v>
      </c>
      <c r="C115" s="1" t="s">
        <v>171</v>
      </c>
      <c r="D115" s="22">
        <v>26938</v>
      </c>
      <c r="E115" s="20">
        <f t="shared" si="3"/>
        <v>3.4477621415289848E-3</v>
      </c>
      <c r="F115" s="23">
        <f t="shared" si="4"/>
        <v>600230.55116172868</v>
      </c>
      <c r="G115" s="23">
        <f t="shared" si="5"/>
        <v>627168.55116172868</v>
      </c>
    </row>
    <row r="116" spans="1:7" x14ac:dyDescent="0.2">
      <c r="A116">
        <v>2020</v>
      </c>
      <c r="B116" s="1" t="s">
        <v>535</v>
      </c>
      <c r="C116" s="1" t="s">
        <v>172</v>
      </c>
      <c r="D116" s="22">
        <v>58502</v>
      </c>
      <c r="E116" s="20">
        <f t="shared" si="3"/>
        <v>7.4876004456057863E-3</v>
      </c>
      <c r="F116" s="23">
        <f t="shared" si="4"/>
        <v>1303537.2969063572</v>
      </c>
      <c r="G116" s="23">
        <f t="shared" si="5"/>
        <v>1362039.2969063572</v>
      </c>
    </row>
    <row r="117" spans="1:7" x14ac:dyDescent="0.2">
      <c r="A117">
        <v>2020</v>
      </c>
      <c r="B117" s="1" t="s">
        <v>536</v>
      </c>
      <c r="C117" s="1" t="s">
        <v>173</v>
      </c>
      <c r="D117" s="22">
        <v>66442</v>
      </c>
      <c r="E117" s="20">
        <f t="shared" si="3"/>
        <v>8.5038314725469164E-3</v>
      </c>
      <c r="F117" s="23">
        <f t="shared" si="4"/>
        <v>1480455.7977684899</v>
      </c>
      <c r="G117" s="23">
        <f t="shared" si="5"/>
        <v>1546897.7977684899</v>
      </c>
    </row>
    <row r="118" spans="1:7" x14ac:dyDescent="0.2">
      <c r="A118">
        <v>2020</v>
      </c>
      <c r="B118" s="1" t="s">
        <v>537</v>
      </c>
      <c r="C118" s="1" t="s">
        <v>174</v>
      </c>
      <c r="D118" s="22">
        <v>51159</v>
      </c>
      <c r="E118" s="20">
        <f t="shared" si="3"/>
        <v>6.5477787288767296E-3</v>
      </c>
      <c r="F118" s="23">
        <f t="shared" si="4"/>
        <v>1139921.1064994759</v>
      </c>
      <c r="G118" s="23">
        <f t="shared" si="5"/>
        <v>1191080.1064994759</v>
      </c>
    </row>
    <row r="119" spans="1:7" x14ac:dyDescent="0.2">
      <c r="A119">
        <v>2020</v>
      </c>
      <c r="B119" s="1" t="s">
        <v>175</v>
      </c>
      <c r="C119" s="1" t="s">
        <v>176</v>
      </c>
      <c r="D119" s="22">
        <v>44713</v>
      </c>
      <c r="E119" s="20">
        <f t="shared" si="3"/>
        <v>5.7227629606572683E-3</v>
      </c>
      <c r="F119" s="23">
        <f t="shared" si="4"/>
        <v>996291.80466606189</v>
      </c>
      <c r="G119" s="23">
        <f t="shared" si="5"/>
        <v>1041004.8046660619</v>
      </c>
    </row>
    <row r="120" spans="1:7" x14ac:dyDescent="0.2">
      <c r="A120">
        <v>2020</v>
      </c>
      <c r="B120" s="1" t="s">
        <v>538</v>
      </c>
      <c r="C120" s="1" t="s">
        <v>177</v>
      </c>
      <c r="D120" s="22">
        <v>31704</v>
      </c>
      <c r="E120" s="20">
        <f t="shared" si="3"/>
        <v>4.0577567352823125E-3</v>
      </c>
      <c r="F120" s="23">
        <f t="shared" si="4"/>
        <v>706426.21553312964</v>
      </c>
      <c r="G120" s="23">
        <f t="shared" si="5"/>
        <v>738130.21553312964</v>
      </c>
    </row>
    <row r="121" spans="1:7" x14ac:dyDescent="0.2">
      <c r="A121">
        <v>2020</v>
      </c>
      <c r="B121" s="1" t="s">
        <v>539</v>
      </c>
      <c r="C121" s="1" t="s">
        <v>178</v>
      </c>
      <c r="D121" s="22">
        <v>13127</v>
      </c>
      <c r="E121" s="20">
        <f t="shared" si="3"/>
        <v>1.6801089031053154E-3</v>
      </c>
      <c r="F121" s="23">
        <f t="shared" si="4"/>
        <v>292494.85652609746</v>
      </c>
      <c r="G121" s="23">
        <f t="shared" si="5"/>
        <v>305621.85652609746</v>
      </c>
    </row>
    <row r="122" spans="1:7" x14ac:dyDescent="0.2">
      <c r="A122">
        <v>2020</v>
      </c>
      <c r="B122" s="1" t="s">
        <v>540</v>
      </c>
      <c r="C122" s="1" t="s">
        <v>179</v>
      </c>
      <c r="D122" s="22"/>
      <c r="E122" s="20">
        <f t="shared" si="3"/>
        <v>0</v>
      </c>
      <c r="F122" s="23">
        <f t="shared" si="4"/>
        <v>0</v>
      </c>
      <c r="G122" s="23">
        <f t="shared" si="5"/>
        <v>0</v>
      </c>
    </row>
    <row r="123" spans="1:7" x14ac:dyDescent="0.2">
      <c r="A123">
        <v>2020</v>
      </c>
      <c r="B123" s="1" t="s">
        <v>180</v>
      </c>
      <c r="C123" s="1" t="s">
        <v>181</v>
      </c>
      <c r="D123" s="22"/>
      <c r="E123" s="20">
        <f t="shared" si="3"/>
        <v>0</v>
      </c>
      <c r="F123" s="23">
        <f t="shared" si="4"/>
        <v>0</v>
      </c>
      <c r="G123" s="23">
        <f t="shared" si="5"/>
        <v>0</v>
      </c>
    </row>
    <row r="124" spans="1:7" x14ac:dyDescent="0.2">
      <c r="A124">
        <v>2020</v>
      </c>
      <c r="B124" s="1" t="s">
        <v>541</v>
      </c>
      <c r="C124" s="1" t="s">
        <v>182</v>
      </c>
      <c r="D124" s="22">
        <v>6261</v>
      </c>
      <c r="E124" s="20">
        <f t="shared" si="3"/>
        <v>8.0133784126932119E-4</v>
      </c>
      <c r="F124" s="23">
        <f t="shared" si="4"/>
        <v>139507.1453271803</v>
      </c>
      <c r="G124" s="23">
        <f t="shared" si="5"/>
        <v>145768.1453271803</v>
      </c>
    </row>
    <row r="125" spans="1:7" x14ac:dyDescent="0.2">
      <c r="A125">
        <v>2020</v>
      </c>
      <c r="B125" s="1" t="s">
        <v>542</v>
      </c>
      <c r="C125" s="1" t="s">
        <v>183</v>
      </c>
      <c r="D125" s="22">
        <v>1011</v>
      </c>
      <c r="E125" s="20">
        <f t="shared" si="3"/>
        <v>1.2939667106265512E-4</v>
      </c>
      <c r="F125" s="23">
        <f t="shared" si="4"/>
        <v>22527.028258389921</v>
      </c>
      <c r="G125" s="23">
        <f t="shared" si="5"/>
        <v>23538.028258389921</v>
      </c>
    </row>
    <row r="126" spans="1:7" x14ac:dyDescent="0.2">
      <c r="A126">
        <v>2020</v>
      </c>
      <c r="B126" s="1" t="s">
        <v>543</v>
      </c>
      <c r="C126" s="1" t="s">
        <v>184</v>
      </c>
      <c r="D126" s="22"/>
      <c r="E126" s="20">
        <f t="shared" si="3"/>
        <v>0</v>
      </c>
      <c r="F126" s="23">
        <f t="shared" si="4"/>
        <v>0</v>
      </c>
      <c r="G126" s="23">
        <f t="shared" si="5"/>
        <v>0</v>
      </c>
    </row>
    <row r="127" spans="1:7" x14ac:dyDescent="0.2">
      <c r="A127">
        <v>2020</v>
      </c>
      <c r="B127" s="1" t="s">
        <v>544</v>
      </c>
      <c r="C127" s="1" t="s">
        <v>185</v>
      </c>
      <c r="D127" s="22">
        <v>1595</v>
      </c>
      <c r="E127" s="20">
        <f t="shared" si="3"/>
        <v>2.0414212694850139E-4</v>
      </c>
      <c r="F127" s="23">
        <f t="shared" si="4"/>
        <v>35539.673661851557</v>
      </c>
      <c r="G127" s="23">
        <f t="shared" si="5"/>
        <v>37134.673661851557</v>
      </c>
    </row>
    <row r="128" spans="1:7" x14ac:dyDescent="0.2">
      <c r="A128">
        <v>2020</v>
      </c>
      <c r="B128" s="1" t="s">
        <v>545</v>
      </c>
      <c r="C128" s="1" t="s">
        <v>186</v>
      </c>
      <c r="D128" s="22">
        <v>2387</v>
      </c>
      <c r="E128" s="20">
        <f t="shared" si="3"/>
        <v>3.0550925205396416E-4</v>
      </c>
      <c r="F128" s="23">
        <f t="shared" si="4"/>
        <v>53186.959893943364</v>
      </c>
      <c r="G128" s="23">
        <f t="shared" si="5"/>
        <v>55573.959893943364</v>
      </c>
    </row>
    <row r="129" spans="1:7" x14ac:dyDescent="0.2">
      <c r="A129">
        <v>2020</v>
      </c>
      <c r="B129" s="1" t="s">
        <v>546</v>
      </c>
      <c r="C129" s="1" t="s">
        <v>187</v>
      </c>
      <c r="D129" s="22">
        <v>468</v>
      </c>
      <c r="E129" s="20">
        <f t="shared" si="3"/>
        <v>5.9898755744137093E-5</v>
      </c>
      <c r="F129" s="23">
        <f t="shared" si="4"/>
        <v>10427.941864417888</v>
      </c>
      <c r="G129" s="23">
        <f t="shared" si="5"/>
        <v>10895.941864417888</v>
      </c>
    </row>
    <row r="130" spans="1:7" x14ac:dyDescent="0.2">
      <c r="A130">
        <v>2020</v>
      </c>
      <c r="B130" s="1" t="s">
        <v>547</v>
      </c>
      <c r="C130" s="1" t="s">
        <v>188</v>
      </c>
      <c r="D130" s="22">
        <v>68037</v>
      </c>
      <c r="E130" s="20">
        <f t="shared" si="3"/>
        <v>8.7079735994954176E-3</v>
      </c>
      <c r="F130" s="23">
        <f t="shared" si="4"/>
        <v>1515995.4714303415</v>
      </c>
      <c r="G130" s="23">
        <f t="shared" si="5"/>
        <v>1584032.4714303415</v>
      </c>
    </row>
    <row r="131" spans="1:7" x14ac:dyDescent="0.2">
      <c r="A131">
        <v>2020</v>
      </c>
      <c r="B131" s="1" t="s">
        <v>548</v>
      </c>
      <c r="C131" s="1" t="s">
        <v>189</v>
      </c>
      <c r="D131" s="22">
        <v>57414</v>
      </c>
      <c r="E131" s="20">
        <f t="shared" ref="E131:E194" si="6">D131/$D$254</f>
        <v>7.3483486373801003E-3</v>
      </c>
      <c r="F131" s="23">
        <f t="shared" ref="F131:F194" si="7">E131*$D$256</f>
        <v>1279294.5602642917</v>
      </c>
      <c r="G131" s="23">
        <f t="shared" ref="G131:G194" si="8">SUM(F131,D131)</f>
        <v>1336708.5602642917</v>
      </c>
    </row>
    <row r="132" spans="1:7" x14ac:dyDescent="0.2">
      <c r="A132">
        <v>2020</v>
      </c>
      <c r="B132" s="1" t="s">
        <v>549</v>
      </c>
      <c r="C132" s="1" t="s">
        <v>190</v>
      </c>
      <c r="D132" s="22">
        <v>61702</v>
      </c>
      <c r="E132" s="20">
        <f t="shared" si="6"/>
        <v>7.8971645874460396E-3</v>
      </c>
      <c r="F132" s="23">
        <f t="shared" si="7"/>
        <v>1374839.4635006676</v>
      </c>
      <c r="G132" s="23">
        <f t="shared" si="8"/>
        <v>1436541.4635006676</v>
      </c>
    </row>
    <row r="133" spans="1:7" x14ac:dyDescent="0.2">
      <c r="A133">
        <v>2020</v>
      </c>
      <c r="B133" s="1" t="s">
        <v>550</v>
      </c>
      <c r="C133" s="1" t="s">
        <v>191</v>
      </c>
      <c r="D133" s="22">
        <v>9591</v>
      </c>
      <c r="E133" s="20">
        <f t="shared" si="6"/>
        <v>1.2275405263718351E-3</v>
      </c>
      <c r="F133" s="23">
        <f t="shared" si="7"/>
        <v>213705.96243938452</v>
      </c>
      <c r="G133" s="23">
        <f t="shared" si="8"/>
        <v>223296.96243938452</v>
      </c>
    </row>
    <row r="134" spans="1:7" x14ac:dyDescent="0.2">
      <c r="A134">
        <v>2020</v>
      </c>
      <c r="B134" s="1" t="s">
        <v>551</v>
      </c>
      <c r="C134" s="1" t="s">
        <v>192</v>
      </c>
      <c r="D134" s="22">
        <v>154411</v>
      </c>
      <c r="E134" s="20">
        <f t="shared" si="6"/>
        <v>1.9762877720529811E-2</v>
      </c>
      <c r="F134" s="23">
        <f t="shared" si="7"/>
        <v>3440574.6393731413</v>
      </c>
      <c r="G134" s="23">
        <f t="shared" si="8"/>
        <v>3594985.6393731413</v>
      </c>
    </row>
    <row r="135" spans="1:7" x14ac:dyDescent="0.2">
      <c r="A135">
        <v>2020</v>
      </c>
      <c r="B135" s="1" t="s">
        <v>552</v>
      </c>
      <c r="C135" s="1" t="s">
        <v>193</v>
      </c>
      <c r="D135" s="22">
        <v>74922</v>
      </c>
      <c r="E135" s="20">
        <f t="shared" si="6"/>
        <v>9.5891764484235878E-3</v>
      </c>
      <c r="F135" s="23">
        <f t="shared" si="7"/>
        <v>1669406.5392434122</v>
      </c>
      <c r="G135" s="23">
        <f t="shared" si="8"/>
        <v>1744328.5392434122</v>
      </c>
    </row>
    <row r="136" spans="1:7" x14ac:dyDescent="0.2">
      <c r="A136">
        <v>2020</v>
      </c>
      <c r="B136" s="1" t="s">
        <v>553</v>
      </c>
      <c r="C136" s="1" t="s">
        <v>194</v>
      </c>
      <c r="D136" s="22">
        <v>73106</v>
      </c>
      <c r="E136" s="20">
        <f t="shared" si="6"/>
        <v>9.3567487979292433E-3</v>
      </c>
      <c r="F136" s="23">
        <f t="shared" si="7"/>
        <v>1628942.559701141</v>
      </c>
      <c r="G136" s="23">
        <f t="shared" si="8"/>
        <v>1702048.559701141</v>
      </c>
    </row>
    <row r="137" spans="1:7" x14ac:dyDescent="0.2">
      <c r="A137">
        <v>2020</v>
      </c>
      <c r="B137" s="1" t="s">
        <v>554</v>
      </c>
      <c r="C137" s="1" t="s">
        <v>195</v>
      </c>
      <c r="D137" s="22">
        <v>89935</v>
      </c>
      <c r="E137" s="20">
        <f t="shared" si="6"/>
        <v>1.1510672217626002E-2</v>
      </c>
      <c r="F137" s="23">
        <f t="shared" si="7"/>
        <v>2003925.1102060312</v>
      </c>
      <c r="G137" s="23">
        <f t="shared" si="8"/>
        <v>2093860.1102060312</v>
      </c>
    </row>
    <row r="138" spans="1:7" x14ac:dyDescent="0.2">
      <c r="A138">
        <v>2020</v>
      </c>
      <c r="B138" s="1" t="s">
        <v>555</v>
      </c>
      <c r="C138" s="1" t="s">
        <v>196</v>
      </c>
      <c r="D138" s="22">
        <v>62571</v>
      </c>
      <c r="E138" s="20">
        <f t="shared" si="6"/>
        <v>8.0083868497145341E-3</v>
      </c>
      <c r="F138" s="23">
        <f t="shared" si="7"/>
        <v>1394202.458116435</v>
      </c>
      <c r="G138" s="23">
        <f t="shared" si="8"/>
        <v>1456773.458116435</v>
      </c>
    </row>
    <row r="139" spans="1:7" x14ac:dyDescent="0.2">
      <c r="A139">
        <v>2020</v>
      </c>
      <c r="B139" s="1" t="s">
        <v>556</v>
      </c>
      <c r="C139" s="1" t="s">
        <v>197</v>
      </c>
      <c r="D139" s="22">
        <v>69856</v>
      </c>
      <c r="E139" s="20">
        <f t="shared" si="6"/>
        <v>8.9407852163727354E-3</v>
      </c>
      <c r="F139" s="23">
        <f t="shared" si="7"/>
        <v>1556526.2967537944</v>
      </c>
      <c r="G139" s="23">
        <f t="shared" si="8"/>
        <v>1626382.2967537944</v>
      </c>
    </row>
    <row r="140" spans="1:7" x14ac:dyDescent="0.2">
      <c r="A140">
        <v>2020</v>
      </c>
      <c r="B140" s="1" t="s">
        <v>557</v>
      </c>
      <c r="C140" s="1" t="s">
        <v>198</v>
      </c>
      <c r="D140" s="22">
        <v>100136</v>
      </c>
      <c r="E140" s="20">
        <f t="shared" si="6"/>
        <v>1.2816285908536135E-2</v>
      </c>
      <c r="F140" s="23">
        <f t="shared" si="7"/>
        <v>2231223.0481524561</v>
      </c>
      <c r="G140" s="23">
        <f t="shared" si="8"/>
        <v>2331359.0481524561</v>
      </c>
    </row>
    <row r="141" spans="1:7" x14ac:dyDescent="0.2">
      <c r="A141">
        <v>2020</v>
      </c>
      <c r="B141" s="1" t="s">
        <v>558</v>
      </c>
      <c r="C141" s="1" t="s">
        <v>199</v>
      </c>
      <c r="D141" s="22">
        <v>32276</v>
      </c>
      <c r="E141" s="20">
        <f t="shared" si="6"/>
        <v>4.1309663256362582E-3</v>
      </c>
      <c r="F141" s="23">
        <f t="shared" si="7"/>
        <v>719171.47781186271</v>
      </c>
      <c r="G141" s="23">
        <f t="shared" si="8"/>
        <v>751447.47781186271</v>
      </c>
    </row>
    <row r="142" spans="1:7" x14ac:dyDescent="0.2">
      <c r="A142">
        <v>2020</v>
      </c>
      <c r="B142" s="1" t="s">
        <v>559</v>
      </c>
      <c r="C142" s="1" t="s">
        <v>200</v>
      </c>
      <c r="D142" s="22">
        <v>91974</v>
      </c>
      <c r="E142" s="20">
        <f t="shared" si="6"/>
        <v>1.177164136925484E-2</v>
      </c>
      <c r="F142" s="23">
        <f t="shared" si="7"/>
        <v>2049357.9594828435</v>
      </c>
      <c r="G142" s="23">
        <f t="shared" si="8"/>
        <v>2141331.9594828435</v>
      </c>
    </row>
    <row r="143" spans="1:7" x14ac:dyDescent="0.2">
      <c r="A143">
        <v>2020</v>
      </c>
      <c r="B143" s="1" t="s">
        <v>560</v>
      </c>
      <c r="C143" s="1" t="s">
        <v>201</v>
      </c>
      <c r="D143" s="22">
        <v>44737</v>
      </c>
      <c r="E143" s="20">
        <f t="shared" si="6"/>
        <v>5.7258346917210701E-3</v>
      </c>
      <c r="F143" s="23">
        <f t="shared" si="7"/>
        <v>996826.57091551914</v>
      </c>
      <c r="G143" s="23">
        <f t="shared" si="8"/>
        <v>1041563.5709155191</v>
      </c>
    </row>
    <row r="144" spans="1:7" x14ac:dyDescent="0.2">
      <c r="A144">
        <v>2020</v>
      </c>
      <c r="B144" s="1" t="s">
        <v>561</v>
      </c>
      <c r="C144" s="1" t="s">
        <v>202</v>
      </c>
      <c r="D144" s="22">
        <v>63529</v>
      </c>
      <c r="E144" s="20">
        <f t="shared" si="6"/>
        <v>8.1310001146779592E-3</v>
      </c>
      <c r="F144" s="23">
        <f t="shared" si="7"/>
        <v>1415548.5442406065</v>
      </c>
      <c r="G144" s="23">
        <f t="shared" si="8"/>
        <v>1479077.5442406065</v>
      </c>
    </row>
    <row r="145" spans="1:7" x14ac:dyDescent="0.2">
      <c r="A145">
        <v>2020</v>
      </c>
      <c r="B145" s="1" t="s">
        <v>562</v>
      </c>
      <c r="C145" s="1" t="s">
        <v>203</v>
      </c>
      <c r="D145" s="22">
        <v>40049</v>
      </c>
      <c r="E145" s="20">
        <f t="shared" si="6"/>
        <v>5.1258232239250988E-3</v>
      </c>
      <c r="F145" s="23">
        <f t="shared" si="7"/>
        <v>892368.89685485454</v>
      </c>
      <c r="G145" s="23">
        <f t="shared" si="8"/>
        <v>932417.89685485454</v>
      </c>
    </row>
    <row r="146" spans="1:7" x14ac:dyDescent="0.2">
      <c r="A146">
        <v>2020</v>
      </c>
      <c r="B146" s="1" t="s">
        <v>563</v>
      </c>
      <c r="C146" s="1" t="s">
        <v>204</v>
      </c>
      <c r="D146" s="22">
        <v>11634</v>
      </c>
      <c r="E146" s="20">
        <f t="shared" si="6"/>
        <v>1.489021633177972E-3</v>
      </c>
      <c r="F146" s="23">
        <f t="shared" si="7"/>
        <v>259227.93942443951</v>
      </c>
      <c r="G146" s="23">
        <f t="shared" si="8"/>
        <v>270861.93942443951</v>
      </c>
    </row>
    <row r="147" spans="1:7" x14ac:dyDescent="0.2">
      <c r="A147">
        <v>2020</v>
      </c>
      <c r="B147" s="1" t="s">
        <v>564</v>
      </c>
      <c r="C147" s="1" t="s">
        <v>205</v>
      </c>
      <c r="D147" s="22">
        <v>55606</v>
      </c>
      <c r="E147" s="20">
        <f t="shared" si="6"/>
        <v>7.1169448972403567E-3</v>
      </c>
      <c r="F147" s="23">
        <f t="shared" si="7"/>
        <v>1239008.8361385064</v>
      </c>
      <c r="G147" s="23">
        <f t="shared" si="8"/>
        <v>1294614.8361385064</v>
      </c>
    </row>
    <row r="148" spans="1:7" x14ac:dyDescent="0.2">
      <c r="A148">
        <v>2020</v>
      </c>
      <c r="B148" s="1" t="s">
        <v>565</v>
      </c>
      <c r="C148" s="1" t="s">
        <v>206</v>
      </c>
      <c r="D148" s="22">
        <v>59503</v>
      </c>
      <c r="E148" s="20">
        <f t="shared" si="6"/>
        <v>7.6157172287251908E-3</v>
      </c>
      <c r="F148" s="23">
        <f t="shared" si="7"/>
        <v>1325841.5058941399</v>
      </c>
      <c r="G148" s="23">
        <f t="shared" si="8"/>
        <v>1385344.5058941399</v>
      </c>
    </row>
    <row r="149" spans="1:7" x14ac:dyDescent="0.2">
      <c r="A149">
        <v>2020</v>
      </c>
      <c r="B149" s="1" t="s">
        <v>566</v>
      </c>
      <c r="C149" s="1" t="s">
        <v>207</v>
      </c>
      <c r="D149" s="22">
        <v>53917</v>
      </c>
      <c r="E149" s="20">
        <f t="shared" si="6"/>
        <v>6.9007718236252982E-3</v>
      </c>
      <c r="F149" s="23">
        <f t="shared" si="7"/>
        <v>1201374.661332947</v>
      </c>
      <c r="G149" s="23">
        <f t="shared" si="8"/>
        <v>1255291.661332947</v>
      </c>
    </row>
    <row r="150" spans="1:7" x14ac:dyDescent="0.2">
      <c r="A150">
        <v>2020</v>
      </c>
      <c r="B150" s="1" t="s">
        <v>567</v>
      </c>
      <c r="C150" s="1" t="s">
        <v>208</v>
      </c>
      <c r="D150" s="22">
        <v>31484</v>
      </c>
      <c r="E150" s="20">
        <f t="shared" si="6"/>
        <v>4.0295992005307951E-3</v>
      </c>
      <c r="F150" s="23">
        <f t="shared" si="7"/>
        <v>701524.19157977076</v>
      </c>
      <c r="G150" s="23">
        <f t="shared" si="8"/>
        <v>733008.19157977076</v>
      </c>
    </row>
    <row r="151" spans="1:7" x14ac:dyDescent="0.2">
      <c r="A151">
        <v>2020</v>
      </c>
      <c r="B151" s="1" t="s">
        <v>624</v>
      </c>
      <c r="C151" s="1" t="s">
        <v>625</v>
      </c>
      <c r="D151" s="22">
        <v>48837</v>
      </c>
      <c r="E151" s="20">
        <f t="shared" si="6"/>
        <v>6.2505887484538957E-3</v>
      </c>
      <c r="F151" s="23">
        <f t="shared" si="7"/>
        <v>1088182.4718644794</v>
      </c>
      <c r="G151" s="23">
        <f t="shared" si="8"/>
        <v>1137019.4718644794</v>
      </c>
    </row>
    <row r="152" spans="1:7" x14ac:dyDescent="0.2">
      <c r="A152">
        <v>2020</v>
      </c>
      <c r="B152" s="1" t="s">
        <v>568</v>
      </c>
      <c r="C152" s="1" t="s">
        <v>569</v>
      </c>
      <c r="D152" s="22">
        <v>51374</v>
      </c>
      <c r="E152" s="20">
        <f t="shared" si="6"/>
        <v>6.5752963196566211E-3</v>
      </c>
      <c r="F152" s="23">
        <f t="shared" si="7"/>
        <v>1144711.720817531</v>
      </c>
      <c r="G152" s="23">
        <f t="shared" si="8"/>
        <v>1196085.720817531</v>
      </c>
    </row>
    <row r="153" spans="1:7" x14ac:dyDescent="0.2">
      <c r="A153">
        <v>2020</v>
      </c>
      <c r="B153" s="1" t="s">
        <v>570</v>
      </c>
      <c r="C153" s="1" t="s">
        <v>209</v>
      </c>
      <c r="D153" s="22">
        <v>79913</v>
      </c>
      <c r="E153" s="20">
        <f t="shared" si="6"/>
        <v>1.0227968520900058E-2</v>
      </c>
      <c r="F153" s="23">
        <f t="shared" si="7"/>
        <v>1780615.6372034755</v>
      </c>
      <c r="G153" s="23">
        <f t="shared" si="8"/>
        <v>1860528.6372034755</v>
      </c>
    </row>
    <row r="154" spans="1:7" x14ac:dyDescent="0.2">
      <c r="A154">
        <v>2020</v>
      </c>
      <c r="B154" s="1" t="s">
        <v>571</v>
      </c>
      <c r="C154" s="1" t="s">
        <v>210</v>
      </c>
      <c r="D154" s="22">
        <v>7135</v>
      </c>
      <c r="E154" s="20">
        <f t="shared" si="6"/>
        <v>9.1320004750944047E-4</v>
      </c>
      <c r="F154" s="23">
        <f t="shared" si="7"/>
        <v>158981.54957825132</v>
      </c>
      <c r="G154" s="23">
        <f t="shared" si="8"/>
        <v>166116.54957825132</v>
      </c>
    </row>
    <row r="155" spans="1:7" x14ac:dyDescent="0.2">
      <c r="A155">
        <v>2020</v>
      </c>
      <c r="B155" s="1" t="s">
        <v>630</v>
      </c>
      <c r="C155" s="1" t="s">
        <v>631</v>
      </c>
      <c r="D155" s="22">
        <v>15906</v>
      </c>
      <c r="E155" s="20">
        <f t="shared" si="6"/>
        <v>2.0357897625347104E-3</v>
      </c>
      <c r="F155" s="23">
        <f t="shared" si="7"/>
        <v>354416.33182784379</v>
      </c>
      <c r="G155" s="23">
        <f t="shared" si="8"/>
        <v>370322.33182784379</v>
      </c>
    </row>
    <row r="156" spans="1:7" x14ac:dyDescent="0.2">
      <c r="A156">
        <v>2020</v>
      </c>
      <c r="B156" s="1" t="s">
        <v>621</v>
      </c>
      <c r="C156" s="1" t="s">
        <v>211</v>
      </c>
      <c r="D156" s="22"/>
      <c r="E156" s="20">
        <f t="shared" si="6"/>
        <v>0</v>
      </c>
      <c r="F156" s="23">
        <f t="shared" si="7"/>
        <v>0</v>
      </c>
      <c r="G156" s="23">
        <f t="shared" si="8"/>
        <v>0</v>
      </c>
    </row>
    <row r="157" spans="1:7" x14ac:dyDescent="0.2">
      <c r="A157">
        <v>2020</v>
      </c>
      <c r="B157" s="1" t="s">
        <v>573</v>
      </c>
      <c r="C157" s="1" t="s">
        <v>212</v>
      </c>
      <c r="D157" s="22"/>
      <c r="E157" s="20">
        <f t="shared" si="6"/>
        <v>0</v>
      </c>
      <c r="F157" s="23">
        <f t="shared" si="7"/>
        <v>0</v>
      </c>
      <c r="G157" s="23">
        <f t="shared" si="8"/>
        <v>0</v>
      </c>
    </row>
    <row r="158" spans="1:7" x14ac:dyDescent="0.2">
      <c r="A158">
        <v>2020</v>
      </c>
      <c r="B158" s="1" t="s">
        <v>574</v>
      </c>
      <c r="C158" s="1" t="s">
        <v>213</v>
      </c>
      <c r="D158" s="22"/>
      <c r="E158" s="20">
        <f t="shared" si="6"/>
        <v>0</v>
      </c>
      <c r="F158" s="23">
        <f t="shared" si="7"/>
        <v>0</v>
      </c>
      <c r="G158" s="23">
        <f t="shared" si="8"/>
        <v>0</v>
      </c>
    </row>
    <row r="159" spans="1:7" x14ac:dyDescent="0.2">
      <c r="A159">
        <v>2020</v>
      </c>
      <c r="B159" s="1" t="s">
        <v>575</v>
      </c>
      <c r="C159" s="1" t="s">
        <v>214</v>
      </c>
      <c r="D159" s="22"/>
      <c r="E159" s="20">
        <f t="shared" si="6"/>
        <v>0</v>
      </c>
      <c r="F159" s="23">
        <f t="shared" si="7"/>
        <v>0</v>
      </c>
      <c r="G159" s="23">
        <f t="shared" si="8"/>
        <v>0</v>
      </c>
    </row>
    <row r="160" spans="1:7" x14ac:dyDescent="0.2">
      <c r="A160">
        <v>2020</v>
      </c>
      <c r="B160" s="1" t="s">
        <v>576</v>
      </c>
      <c r="C160" s="1" t="s">
        <v>215</v>
      </c>
      <c r="D160" s="22">
        <v>43997</v>
      </c>
      <c r="E160" s="20">
        <f t="shared" si="6"/>
        <v>5.6311229839205116E-3</v>
      </c>
      <c r="F160" s="23">
        <f t="shared" si="7"/>
        <v>980337.94489058491</v>
      </c>
      <c r="G160" s="23">
        <f t="shared" si="8"/>
        <v>1024334.9448905849</v>
      </c>
    </row>
    <row r="161" spans="1:7" x14ac:dyDescent="0.2">
      <c r="A161">
        <v>2020</v>
      </c>
      <c r="B161" s="1" t="s">
        <v>216</v>
      </c>
      <c r="C161" s="1" t="s">
        <v>217</v>
      </c>
      <c r="D161" s="22">
        <v>55357</v>
      </c>
      <c r="E161" s="20">
        <f t="shared" si="6"/>
        <v>7.0850756874534125E-3</v>
      </c>
      <c r="F161" s="23">
        <f t="shared" si="7"/>
        <v>1233460.6363003866</v>
      </c>
      <c r="G161" s="23">
        <f t="shared" si="8"/>
        <v>1288817.6363003866</v>
      </c>
    </row>
    <row r="162" spans="1:7" x14ac:dyDescent="0.2">
      <c r="A162">
        <v>2020</v>
      </c>
      <c r="B162" s="1" t="s">
        <v>218</v>
      </c>
      <c r="C162" s="1" t="s">
        <v>219</v>
      </c>
      <c r="D162" s="22"/>
      <c r="E162" s="20">
        <f t="shared" si="6"/>
        <v>0</v>
      </c>
      <c r="F162" s="23">
        <f t="shared" si="7"/>
        <v>0</v>
      </c>
      <c r="G162" s="23">
        <f t="shared" si="8"/>
        <v>0</v>
      </c>
    </row>
    <row r="163" spans="1:7" x14ac:dyDescent="0.2">
      <c r="A163">
        <v>2020</v>
      </c>
      <c r="B163" s="1" t="s">
        <v>220</v>
      </c>
      <c r="C163" s="1" t="s">
        <v>221</v>
      </c>
      <c r="D163" s="22"/>
      <c r="E163" s="20">
        <f t="shared" si="6"/>
        <v>0</v>
      </c>
      <c r="F163" s="23">
        <f t="shared" si="7"/>
        <v>0</v>
      </c>
      <c r="G163" s="23">
        <f t="shared" si="8"/>
        <v>0</v>
      </c>
    </row>
    <row r="164" spans="1:7" x14ac:dyDescent="0.2">
      <c r="A164">
        <v>2020</v>
      </c>
      <c r="B164" s="1" t="s">
        <v>222</v>
      </c>
      <c r="C164" s="1" t="s">
        <v>223</v>
      </c>
      <c r="D164" s="22">
        <v>9529</v>
      </c>
      <c r="E164" s="20">
        <f t="shared" si="6"/>
        <v>1.2196052211236803E-3</v>
      </c>
      <c r="F164" s="23">
        <f t="shared" si="7"/>
        <v>212324.48296161977</v>
      </c>
      <c r="G164" s="23">
        <f t="shared" si="8"/>
        <v>221853.48296161977</v>
      </c>
    </row>
    <row r="165" spans="1:7" x14ac:dyDescent="0.2">
      <c r="A165">
        <v>2020</v>
      </c>
      <c r="B165" s="1" t="s">
        <v>224</v>
      </c>
      <c r="C165" s="1" t="s">
        <v>225</v>
      </c>
      <c r="D165" s="22"/>
      <c r="E165" s="20">
        <f t="shared" si="6"/>
        <v>0</v>
      </c>
      <c r="F165" s="23">
        <f t="shared" si="7"/>
        <v>0</v>
      </c>
      <c r="G165" s="23">
        <f t="shared" si="8"/>
        <v>0</v>
      </c>
    </row>
    <row r="166" spans="1:7" x14ac:dyDescent="0.2">
      <c r="A166">
        <v>2020</v>
      </c>
      <c r="B166" s="1" t="s">
        <v>577</v>
      </c>
      <c r="C166" s="1" t="s">
        <v>227</v>
      </c>
      <c r="D166" s="22">
        <v>38050</v>
      </c>
      <c r="E166" s="20">
        <f t="shared" si="6"/>
        <v>4.8699736240692655E-3</v>
      </c>
      <c r="F166" s="23">
        <f t="shared" si="7"/>
        <v>847827.32466047129</v>
      </c>
      <c r="G166" s="23">
        <f t="shared" si="8"/>
        <v>885877.32466047129</v>
      </c>
    </row>
    <row r="167" spans="1:7" x14ac:dyDescent="0.2">
      <c r="A167">
        <v>2020</v>
      </c>
      <c r="B167" s="1" t="s">
        <v>578</v>
      </c>
      <c r="C167" s="1" t="s">
        <v>228</v>
      </c>
      <c r="D167" s="22">
        <v>15404</v>
      </c>
      <c r="E167" s="20">
        <f t="shared" si="6"/>
        <v>1.9715393877835206E-3</v>
      </c>
      <c r="F167" s="23">
        <f t="shared" si="7"/>
        <v>343230.80444336135</v>
      </c>
      <c r="G167" s="23">
        <f t="shared" si="8"/>
        <v>358634.80444336135</v>
      </c>
    </row>
    <row r="168" spans="1:7" x14ac:dyDescent="0.2">
      <c r="A168">
        <v>2020</v>
      </c>
      <c r="B168" s="1" t="s">
        <v>229</v>
      </c>
      <c r="C168" s="1" t="s">
        <v>230</v>
      </c>
      <c r="D168" s="22"/>
      <c r="E168" s="20">
        <f t="shared" si="6"/>
        <v>0</v>
      </c>
      <c r="F168" s="23">
        <f t="shared" si="7"/>
        <v>0</v>
      </c>
      <c r="G168" s="23">
        <f t="shared" si="8"/>
        <v>0</v>
      </c>
    </row>
    <row r="169" spans="1:7" x14ac:dyDescent="0.2">
      <c r="A169">
        <v>2020</v>
      </c>
      <c r="B169" s="1" t="s">
        <v>231</v>
      </c>
      <c r="C169" s="1" t="s">
        <v>232</v>
      </c>
      <c r="D169" s="22"/>
      <c r="E169" s="20">
        <f t="shared" si="6"/>
        <v>0</v>
      </c>
      <c r="F169" s="23">
        <f t="shared" si="7"/>
        <v>0</v>
      </c>
      <c r="G169" s="23">
        <f t="shared" si="8"/>
        <v>0</v>
      </c>
    </row>
    <row r="170" spans="1:7" x14ac:dyDescent="0.2">
      <c r="A170">
        <v>2020</v>
      </c>
      <c r="B170" s="1" t="s">
        <v>579</v>
      </c>
      <c r="C170" s="1" t="s">
        <v>233</v>
      </c>
      <c r="D170" s="22"/>
      <c r="E170" s="20">
        <f t="shared" si="6"/>
        <v>0</v>
      </c>
      <c r="F170" s="23">
        <f t="shared" si="7"/>
        <v>0</v>
      </c>
      <c r="G170" s="23">
        <f t="shared" si="8"/>
        <v>0</v>
      </c>
    </row>
    <row r="171" spans="1:7" x14ac:dyDescent="0.2">
      <c r="A171">
        <v>2020</v>
      </c>
      <c r="B171" s="1" t="s">
        <v>580</v>
      </c>
      <c r="C171" s="1" t="s">
        <v>234</v>
      </c>
      <c r="D171" s="22">
        <v>14537</v>
      </c>
      <c r="E171" s="20">
        <f t="shared" si="6"/>
        <v>1.860573103103677E-3</v>
      </c>
      <c r="F171" s="23">
        <f t="shared" si="7"/>
        <v>323912.3736817154</v>
      </c>
      <c r="G171" s="23">
        <f t="shared" si="8"/>
        <v>338449.3736817154</v>
      </c>
    </row>
    <row r="172" spans="1:7" x14ac:dyDescent="0.2">
      <c r="A172">
        <v>2020</v>
      </c>
      <c r="B172" s="1" t="s">
        <v>581</v>
      </c>
      <c r="C172" s="1" t="s">
        <v>235</v>
      </c>
      <c r="D172" s="22">
        <v>1927</v>
      </c>
      <c r="E172" s="20">
        <f t="shared" si="6"/>
        <v>2.4663440666442774E-4</v>
      </c>
      <c r="F172" s="23">
        <f t="shared" si="7"/>
        <v>42937.273446011262</v>
      </c>
      <c r="G172" s="23">
        <f t="shared" si="8"/>
        <v>44864.273446011262</v>
      </c>
    </row>
    <row r="173" spans="1:7" x14ac:dyDescent="0.2">
      <c r="A173">
        <v>2020</v>
      </c>
      <c r="B173" s="1" t="s">
        <v>582</v>
      </c>
      <c r="C173" s="1" t="s">
        <v>236</v>
      </c>
      <c r="D173" s="22">
        <v>14622</v>
      </c>
      <c r="E173" s="20">
        <f t="shared" si="6"/>
        <v>1.8714521506213088E-3</v>
      </c>
      <c r="F173" s="23">
        <f t="shared" si="7"/>
        <v>325806.33748187678</v>
      </c>
      <c r="G173" s="23">
        <f t="shared" si="8"/>
        <v>340428.33748187678</v>
      </c>
    </row>
    <row r="174" spans="1:7" x14ac:dyDescent="0.2">
      <c r="A174">
        <v>2020</v>
      </c>
      <c r="B174" s="1" t="s">
        <v>583</v>
      </c>
      <c r="C174" s="1" t="s">
        <v>237</v>
      </c>
      <c r="D174" s="22">
        <v>10899</v>
      </c>
      <c r="E174" s="20">
        <f t="shared" si="6"/>
        <v>1.3949498693490386E-3</v>
      </c>
      <c r="F174" s="23">
        <f t="shared" si="7"/>
        <v>242850.72303480885</v>
      </c>
      <c r="G174" s="23">
        <f t="shared" si="8"/>
        <v>253749.72303480885</v>
      </c>
    </row>
    <row r="175" spans="1:7" x14ac:dyDescent="0.2">
      <c r="A175">
        <v>2020</v>
      </c>
      <c r="B175" s="1" t="s">
        <v>238</v>
      </c>
      <c r="C175" s="1" t="s">
        <v>239</v>
      </c>
      <c r="D175" s="22">
        <v>6451</v>
      </c>
      <c r="E175" s="20">
        <f t="shared" si="6"/>
        <v>8.2565571219108628E-4</v>
      </c>
      <c r="F175" s="23">
        <f t="shared" si="7"/>
        <v>143740.71146871749</v>
      </c>
      <c r="G175" s="23">
        <f t="shared" si="8"/>
        <v>150191.71146871749</v>
      </c>
    </row>
    <row r="176" spans="1:7" x14ac:dyDescent="0.2">
      <c r="A176">
        <v>2020</v>
      </c>
      <c r="B176" s="1" t="s">
        <v>240</v>
      </c>
      <c r="C176" s="1" t="s">
        <v>241</v>
      </c>
      <c r="D176" s="22">
        <v>3490</v>
      </c>
      <c r="E176" s="20">
        <f t="shared" si="6"/>
        <v>4.4668089219452656E-4</v>
      </c>
      <c r="F176" s="23">
        <f t="shared" si="7"/>
        <v>77763.92544191971</v>
      </c>
      <c r="G176" s="23">
        <f t="shared" si="8"/>
        <v>81253.92544191971</v>
      </c>
    </row>
    <row r="177" spans="1:7" x14ac:dyDescent="0.2">
      <c r="A177">
        <v>2020</v>
      </c>
      <c r="B177" s="1" t="s">
        <v>242</v>
      </c>
      <c r="C177" s="1" t="s">
        <v>243</v>
      </c>
      <c r="D177" s="22"/>
      <c r="E177" s="20">
        <f t="shared" si="6"/>
        <v>0</v>
      </c>
      <c r="F177" s="23">
        <f t="shared" si="7"/>
        <v>0</v>
      </c>
      <c r="G177" s="23">
        <f t="shared" si="8"/>
        <v>0</v>
      </c>
    </row>
    <row r="178" spans="1:7" x14ac:dyDescent="0.2">
      <c r="A178">
        <v>2020</v>
      </c>
      <c r="B178" s="1" t="s">
        <v>244</v>
      </c>
      <c r="C178" s="1" t="s">
        <v>245</v>
      </c>
      <c r="D178" s="22"/>
      <c r="E178" s="20">
        <f t="shared" si="6"/>
        <v>0</v>
      </c>
      <c r="F178" s="23">
        <f t="shared" si="7"/>
        <v>0</v>
      </c>
      <c r="G178" s="23">
        <f t="shared" si="8"/>
        <v>0</v>
      </c>
    </row>
    <row r="179" spans="1:7" x14ac:dyDescent="0.2">
      <c r="A179">
        <v>2020</v>
      </c>
      <c r="B179" s="1" t="s">
        <v>246</v>
      </c>
      <c r="C179" s="1" t="s">
        <v>247</v>
      </c>
      <c r="D179" s="22"/>
      <c r="E179" s="20">
        <f t="shared" si="6"/>
        <v>0</v>
      </c>
      <c r="F179" s="23">
        <f t="shared" si="7"/>
        <v>0</v>
      </c>
      <c r="G179" s="23">
        <f t="shared" si="8"/>
        <v>0</v>
      </c>
    </row>
    <row r="180" spans="1:7" x14ac:dyDescent="0.2">
      <c r="A180">
        <v>2020</v>
      </c>
      <c r="B180" s="1" t="s">
        <v>248</v>
      </c>
      <c r="C180" s="1" t="s">
        <v>249</v>
      </c>
      <c r="D180" s="22">
        <v>33258</v>
      </c>
      <c r="E180" s="20">
        <f t="shared" si="6"/>
        <v>4.256651321663486E-3</v>
      </c>
      <c r="F180" s="23">
        <f t="shared" si="7"/>
        <v>741052.33018549159</v>
      </c>
      <c r="G180" s="23">
        <f t="shared" si="8"/>
        <v>774310.33018549159</v>
      </c>
    </row>
    <row r="181" spans="1:7" x14ac:dyDescent="0.2">
      <c r="A181">
        <v>2020</v>
      </c>
      <c r="B181" s="1" t="s">
        <v>584</v>
      </c>
      <c r="C181" s="1" t="s">
        <v>251</v>
      </c>
      <c r="D181" s="22">
        <v>1628</v>
      </c>
      <c r="E181" s="20">
        <f t="shared" si="6"/>
        <v>2.0836575716122902E-4</v>
      </c>
      <c r="F181" s="23">
        <f t="shared" si="7"/>
        <v>36274.977254855381</v>
      </c>
      <c r="G181" s="23">
        <f t="shared" si="8"/>
        <v>37902.977254855381</v>
      </c>
    </row>
    <row r="182" spans="1:7" x14ac:dyDescent="0.2">
      <c r="A182">
        <v>2020</v>
      </c>
      <c r="B182" s="1" t="s">
        <v>585</v>
      </c>
      <c r="C182" s="1" t="s">
        <v>252</v>
      </c>
      <c r="D182" s="22"/>
      <c r="E182" s="20">
        <f t="shared" si="6"/>
        <v>0</v>
      </c>
      <c r="F182" s="23">
        <f t="shared" si="7"/>
        <v>0</v>
      </c>
      <c r="G182" s="23">
        <f t="shared" si="8"/>
        <v>0</v>
      </c>
    </row>
    <row r="183" spans="1:7" x14ac:dyDescent="0.2">
      <c r="A183">
        <v>2020</v>
      </c>
      <c r="B183" s="1" t="s">
        <v>586</v>
      </c>
      <c r="C183" s="1" t="s">
        <v>253</v>
      </c>
      <c r="D183" s="22">
        <v>9237</v>
      </c>
      <c r="E183" s="20">
        <f t="shared" si="6"/>
        <v>1.1822324931807569E-3</v>
      </c>
      <c r="F183" s="23">
        <f t="shared" si="7"/>
        <v>205818.16025988891</v>
      </c>
      <c r="G183" s="23">
        <f t="shared" si="8"/>
        <v>215055.16025988891</v>
      </c>
    </row>
    <row r="184" spans="1:7" x14ac:dyDescent="0.2">
      <c r="A184">
        <v>2020</v>
      </c>
      <c r="B184" s="1" t="s">
        <v>587</v>
      </c>
      <c r="C184" s="1" t="s">
        <v>254</v>
      </c>
      <c r="D184" s="22">
        <v>1389</v>
      </c>
      <c r="E184" s="20">
        <f t="shared" si="6"/>
        <v>1.7777643531753507E-4</v>
      </c>
      <c r="F184" s="23">
        <f t="shared" si="7"/>
        <v>30949.59668734283</v>
      </c>
      <c r="G184" s="23">
        <f t="shared" si="8"/>
        <v>32338.59668734283</v>
      </c>
    </row>
    <row r="185" spans="1:7" x14ac:dyDescent="0.2">
      <c r="A185">
        <v>2020</v>
      </c>
      <c r="B185" s="1" t="s">
        <v>588</v>
      </c>
      <c r="C185" s="1" t="s">
        <v>255</v>
      </c>
      <c r="D185" s="22">
        <v>25557</v>
      </c>
      <c r="E185" s="20">
        <f t="shared" si="6"/>
        <v>3.2710096165660505E-3</v>
      </c>
      <c r="F185" s="23">
        <f t="shared" si="7"/>
        <v>569459.20989087166</v>
      </c>
      <c r="G185" s="23">
        <f t="shared" si="8"/>
        <v>595016.20989087166</v>
      </c>
    </row>
    <row r="186" spans="1:7" x14ac:dyDescent="0.2">
      <c r="A186">
        <v>2020</v>
      </c>
      <c r="B186" s="1" t="s">
        <v>589</v>
      </c>
      <c r="C186" s="1" t="s">
        <v>256</v>
      </c>
      <c r="D186" s="22">
        <v>4907</v>
      </c>
      <c r="E186" s="20">
        <f t="shared" si="6"/>
        <v>6.2804101375316384E-4</v>
      </c>
      <c r="F186" s="23">
        <f t="shared" si="7"/>
        <v>109337.41608696275</v>
      </c>
      <c r="G186" s="23">
        <f t="shared" si="8"/>
        <v>114244.41608696275</v>
      </c>
    </row>
    <row r="187" spans="1:7" x14ac:dyDescent="0.2">
      <c r="A187">
        <v>2020</v>
      </c>
      <c r="B187" s="1" t="s">
        <v>257</v>
      </c>
      <c r="C187" s="1" t="s">
        <v>258</v>
      </c>
      <c r="D187" s="22">
        <v>281</v>
      </c>
      <c r="E187" s="20">
        <f t="shared" si="6"/>
        <v>3.5964851205347273E-5</v>
      </c>
      <c r="F187" s="23">
        <f t="shared" si="7"/>
        <v>6261.2215040628771</v>
      </c>
      <c r="G187" s="23">
        <f t="shared" si="8"/>
        <v>6542.2215040628771</v>
      </c>
    </row>
    <row r="188" spans="1:7" x14ac:dyDescent="0.2">
      <c r="A188">
        <v>2020</v>
      </c>
      <c r="B188" s="1" t="s">
        <v>259</v>
      </c>
      <c r="C188" s="1" t="s">
        <v>260</v>
      </c>
      <c r="D188" s="22">
        <v>13576</v>
      </c>
      <c r="E188" s="20">
        <f t="shared" si="6"/>
        <v>1.7375758717572758E-3</v>
      </c>
      <c r="F188" s="23">
        <f t="shared" si="7"/>
        <v>302499.44177636161</v>
      </c>
      <c r="G188" s="23">
        <f t="shared" si="8"/>
        <v>316075.44177636161</v>
      </c>
    </row>
    <row r="189" spans="1:7" x14ac:dyDescent="0.2">
      <c r="A189">
        <v>2020</v>
      </c>
      <c r="B189" s="1" t="s">
        <v>590</v>
      </c>
      <c r="C189" s="1" t="s">
        <v>261</v>
      </c>
      <c r="D189" s="22">
        <v>12923</v>
      </c>
      <c r="E189" s="20">
        <f t="shared" si="6"/>
        <v>1.6539991890629992E-3</v>
      </c>
      <c r="F189" s="23">
        <f t="shared" si="7"/>
        <v>287949.34340571013</v>
      </c>
      <c r="G189" s="23">
        <f t="shared" si="8"/>
        <v>300872.34340571013</v>
      </c>
    </row>
    <row r="190" spans="1:7" x14ac:dyDescent="0.2">
      <c r="A190">
        <v>2020</v>
      </c>
      <c r="B190" s="1" t="s">
        <v>591</v>
      </c>
      <c r="C190" s="1" t="s">
        <v>262</v>
      </c>
      <c r="D190" s="22">
        <v>820</v>
      </c>
      <c r="E190" s="20">
        <f t="shared" si="6"/>
        <v>1.0495081134656498E-4</v>
      </c>
      <c r="F190" s="23">
        <f t="shared" si="7"/>
        <v>18271.180189792023</v>
      </c>
      <c r="G190" s="23">
        <f t="shared" si="8"/>
        <v>19091.180189792023</v>
      </c>
    </row>
    <row r="191" spans="1:7" x14ac:dyDescent="0.2">
      <c r="A191">
        <v>2020</v>
      </c>
      <c r="B191" s="1" t="s">
        <v>592</v>
      </c>
      <c r="C191" s="1" t="s">
        <v>263</v>
      </c>
      <c r="D191" s="22">
        <v>172</v>
      </c>
      <c r="E191" s="20">
        <f t="shared" si="6"/>
        <v>2.201407262391363E-5</v>
      </c>
      <c r="F191" s="23">
        <f t="shared" si="7"/>
        <v>3832.4914544441804</v>
      </c>
      <c r="G191" s="23">
        <f t="shared" si="8"/>
        <v>4004.4914544441804</v>
      </c>
    </row>
    <row r="192" spans="1:7" x14ac:dyDescent="0.2">
      <c r="A192">
        <v>2020</v>
      </c>
      <c r="B192" s="1" t="s">
        <v>593</v>
      </c>
      <c r="C192" s="1" t="s">
        <v>264</v>
      </c>
      <c r="D192" s="22">
        <v>5496</v>
      </c>
      <c r="E192" s="20">
        <f t="shared" si="6"/>
        <v>7.0342641361063559E-4</v>
      </c>
      <c r="F192" s="23">
        <f t="shared" si="7"/>
        <v>122461.471125728</v>
      </c>
      <c r="G192" s="23">
        <f t="shared" si="8"/>
        <v>127957.471125728</v>
      </c>
    </row>
    <row r="193" spans="1:7" x14ac:dyDescent="0.2">
      <c r="A193">
        <v>2020</v>
      </c>
      <c r="B193" s="1" t="s">
        <v>594</v>
      </c>
      <c r="C193" s="1" t="s">
        <v>265</v>
      </c>
      <c r="D193" s="22">
        <v>7340</v>
      </c>
      <c r="E193" s="20">
        <f t="shared" si="6"/>
        <v>9.3943775034608171E-4</v>
      </c>
      <c r="F193" s="23">
        <f t="shared" si="7"/>
        <v>163549.34462569933</v>
      </c>
      <c r="G193" s="23">
        <f t="shared" si="8"/>
        <v>170889.34462569933</v>
      </c>
    </row>
    <row r="194" spans="1:7" x14ac:dyDescent="0.2">
      <c r="A194">
        <v>2020</v>
      </c>
      <c r="B194" s="1" t="s">
        <v>595</v>
      </c>
      <c r="C194" s="1" t="s">
        <v>266</v>
      </c>
      <c r="D194" s="22">
        <v>7475</v>
      </c>
      <c r="E194" s="20">
        <f t="shared" si="6"/>
        <v>9.5671623757996745E-4</v>
      </c>
      <c r="F194" s="23">
        <f t="shared" si="7"/>
        <v>166557.4047788968</v>
      </c>
      <c r="G194" s="23">
        <f t="shared" si="8"/>
        <v>174032.4047788968</v>
      </c>
    </row>
    <row r="195" spans="1:7" x14ac:dyDescent="0.2">
      <c r="A195">
        <v>2020</v>
      </c>
      <c r="B195" s="1" t="s">
        <v>596</v>
      </c>
      <c r="C195" s="1" t="s">
        <v>267</v>
      </c>
      <c r="D195" s="22">
        <v>3363</v>
      </c>
      <c r="E195" s="20">
        <f t="shared" ref="E195:E252" si="9">D195/$D$254</f>
        <v>4.304263153152415E-4</v>
      </c>
      <c r="F195" s="23">
        <f t="shared" ref="F195:F252" si="10">E195*$D$256</f>
        <v>74934.120705208014</v>
      </c>
      <c r="G195" s="23">
        <f t="shared" ref="G195:G252" si="11">SUM(F195,D195)</f>
        <v>78297.120705208014</v>
      </c>
    </row>
    <row r="196" spans="1:7" x14ac:dyDescent="0.2">
      <c r="A196">
        <v>2020</v>
      </c>
      <c r="B196" s="1" t="s">
        <v>597</v>
      </c>
      <c r="C196" s="1" t="s">
        <v>268</v>
      </c>
      <c r="D196" s="22">
        <v>6363</v>
      </c>
      <c r="E196" s="20">
        <f t="shared" si="9"/>
        <v>8.143926982904793E-4</v>
      </c>
      <c r="F196" s="23">
        <f t="shared" si="10"/>
        <v>141779.90188737397</v>
      </c>
      <c r="G196" s="23">
        <f t="shared" si="11"/>
        <v>148142.90188737397</v>
      </c>
    </row>
    <row r="197" spans="1:7" x14ac:dyDescent="0.2">
      <c r="A197">
        <v>2020</v>
      </c>
      <c r="B197" s="1" t="s">
        <v>269</v>
      </c>
      <c r="C197" s="1" t="s">
        <v>270</v>
      </c>
      <c r="D197" s="22"/>
      <c r="E197" s="20">
        <f t="shared" si="9"/>
        <v>0</v>
      </c>
      <c r="F197" s="23">
        <f t="shared" si="10"/>
        <v>0</v>
      </c>
      <c r="G197" s="23">
        <f t="shared" si="11"/>
        <v>0</v>
      </c>
    </row>
    <row r="198" spans="1:7" x14ac:dyDescent="0.2">
      <c r="A198">
        <v>2020</v>
      </c>
      <c r="B198" s="1" t="s">
        <v>271</v>
      </c>
      <c r="C198" s="1" t="s">
        <v>272</v>
      </c>
      <c r="D198" s="22">
        <v>126163</v>
      </c>
      <c r="E198" s="20">
        <f t="shared" si="9"/>
        <v>1.6147450258434972E-2</v>
      </c>
      <c r="F198" s="23">
        <f t="shared" si="10"/>
        <v>2811154.7637618668</v>
      </c>
      <c r="G198" s="23">
        <f t="shared" si="11"/>
        <v>2937317.7637618668</v>
      </c>
    </row>
    <row r="199" spans="1:7" x14ac:dyDescent="0.2">
      <c r="A199">
        <v>2020</v>
      </c>
      <c r="B199" s="1" t="s">
        <v>598</v>
      </c>
      <c r="C199" s="1" t="s">
        <v>273</v>
      </c>
      <c r="D199" s="22">
        <v>30175</v>
      </c>
      <c r="E199" s="20">
        <f t="shared" si="9"/>
        <v>3.8620618687592663E-3</v>
      </c>
      <c r="F199" s="23">
        <f t="shared" si="10"/>
        <v>672357.14905728574</v>
      </c>
      <c r="G199" s="23">
        <f t="shared" si="11"/>
        <v>702532.14905728574</v>
      </c>
    </row>
    <row r="200" spans="1:7" x14ac:dyDescent="0.2">
      <c r="A200">
        <v>2020</v>
      </c>
      <c r="B200" s="1" t="s">
        <v>599</v>
      </c>
      <c r="C200" s="1" t="s">
        <v>274</v>
      </c>
      <c r="D200" s="22">
        <v>75625</v>
      </c>
      <c r="E200" s="20">
        <f t="shared" si="9"/>
        <v>9.6791525708341177E-3</v>
      </c>
      <c r="F200" s="23">
        <f t="shared" si="10"/>
        <v>1685070.7339670996</v>
      </c>
      <c r="G200" s="23">
        <f t="shared" si="11"/>
        <v>1760695.7339670996</v>
      </c>
    </row>
    <row r="201" spans="1:7" x14ac:dyDescent="0.2">
      <c r="A201">
        <v>2020</v>
      </c>
      <c r="B201" s="1" t="s">
        <v>600</v>
      </c>
      <c r="C201" s="1" t="s">
        <v>275</v>
      </c>
      <c r="D201" s="22">
        <v>11803</v>
      </c>
      <c r="E201" s="20">
        <f t="shared" si="9"/>
        <v>1.5106517394189104E-3</v>
      </c>
      <c r="F201" s="23">
        <f t="shared" si="10"/>
        <v>262993.58509770152</v>
      </c>
      <c r="G201" s="23">
        <f t="shared" si="11"/>
        <v>274796.58509770152</v>
      </c>
    </row>
    <row r="202" spans="1:7" x14ac:dyDescent="0.2">
      <c r="A202">
        <v>2020</v>
      </c>
      <c r="B202" s="1" t="s">
        <v>276</v>
      </c>
      <c r="C202" s="1" t="s">
        <v>277</v>
      </c>
      <c r="D202" s="22">
        <v>12450</v>
      </c>
      <c r="E202" s="20">
        <f t="shared" si="9"/>
        <v>1.5934604893472367E-3</v>
      </c>
      <c r="F202" s="23">
        <f t="shared" si="10"/>
        <v>277409.99190598866</v>
      </c>
      <c r="G202" s="23">
        <f t="shared" si="11"/>
        <v>289859.99190598866</v>
      </c>
    </row>
    <row r="203" spans="1:7" x14ac:dyDescent="0.2">
      <c r="A203">
        <v>2020</v>
      </c>
      <c r="B203" s="1" t="s">
        <v>278</v>
      </c>
      <c r="C203" s="1" t="s">
        <v>279</v>
      </c>
      <c r="D203" s="22">
        <v>5722</v>
      </c>
      <c r="E203" s="20">
        <f t="shared" si="9"/>
        <v>7.3235188112810343E-4</v>
      </c>
      <c r="F203" s="23">
        <f t="shared" si="10"/>
        <v>127497.18664145116</v>
      </c>
      <c r="G203" s="23">
        <f t="shared" si="11"/>
        <v>133219.18664145115</v>
      </c>
    </row>
    <row r="204" spans="1:7" x14ac:dyDescent="0.2">
      <c r="A204">
        <v>2020</v>
      </c>
      <c r="B204" s="1" t="s">
        <v>280</v>
      </c>
      <c r="C204" s="1" t="s">
        <v>281</v>
      </c>
      <c r="D204" s="22">
        <v>14034</v>
      </c>
      <c r="E204" s="20">
        <f t="shared" si="9"/>
        <v>1.7961947395581622E-3</v>
      </c>
      <c r="F204" s="23">
        <f t="shared" si="10"/>
        <v>312704.56437017227</v>
      </c>
      <c r="G204" s="23">
        <f t="shared" si="11"/>
        <v>326738.56437017227</v>
      </c>
    </row>
    <row r="205" spans="1:7" x14ac:dyDescent="0.2">
      <c r="A205">
        <v>2020</v>
      </c>
      <c r="B205" s="1" t="s">
        <v>282</v>
      </c>
      <c r="C205" s="1" t="s">
        <v>283</v>
      </c>
      <c r="D205" s="22">
        <v>1370</v>
      </c>
      <c r="E205" s="20">
        <f t="shared" si="9"/>
        <v>1.7534464822535858E-4</v>
      </c>
      <c r="F205" s="23">
        <f t="shared" si="10"/>
        <v>30526.240073189114</v>
      </c>
      <c r="G205" s="23">
        <f t="shared" si="11"/>
        <v>31896.240073189114</v>
      </c>
    </row>
    <row r="206" spans="1:7" x14ac:dyDescent="0.2">
      <c r="A206">
        <v>2020</v>
      </c>
      <c r="B206" s="1" t="s">
        <v>284</v>
      </c>
      <c r="C206" s="1" t="s">
        <v>285</v>
      </c>
      <c r="D206" s="22">
        <v>12973</v>
      </c>
      <c r="E206" s="20">
        <f t="shared" si="9"/>
        <v>1.6603986287792531E-3</v>
      </c>
      <c r="F206" s="23">
        <f t="shared" si="10"/>
        <v>289063.43975874624</v>
      </c>
      <c r="G206" s="23">
        <f t="shared" si="11"/>
        <v>302036.43975874624</v>
      </c>
    </row>
    <row r="207" spans="1:7" x14ac:dyDescent="0.2">
      <c r="A207">
        <v>2020</v>
      </c>
      <c r="B207" s="1" t="s">
        <v>286</v>
      </c>
      <c r="C207" s="1" t="s">
        <v>287</v>
      </c>
      <c r="D207" s="22"/>
      <c r="E207" s="20">
        <f t="shared" si="9"/>
        <v>0</v>
      </c>
      <c r="F207" s="23">
        <f t="shared" si="10"/>
        <v>0</v>
      </c>
      <c r="G207" s="23">
        <f t="shared" si="11"/>
        <v>0</v>
      </c>
    </row>
    <row r="208" spans="1:7" x14ac:dyDescent="0.2">
      <c r="A208">
        <v>2020</v>
      </c>
      <c r="B208" s="1" t="s">
        <v>601</v>
      </c>
      <c r="C208" s="1" t="s">
        <v>289</v>
      </c>
      <c r="D208" s="22">
        <v>83846</v>
      </c>
      <c r="E208" s="20">
        <f t="shared" si="9"/>
        <v>1.0731348448980596E-2</v>
      </c>
      <c r="F208" s="23">
        <f t="shared" si="10"/>
        <v>1868250.4563332952</v>
      </c>
      <c r="G208" s="23">
        <f t="shared" si="11"/>
        <v>1952096.4563332952</v>
      </c>
    </row>
    <row r="209" spans="1:7" x14ac:dyDescent="0.2">
      <c r="A209">
        <v>2020</v>
      </c>
      <c r="B209" s="1" t="s">
        <v>293</v>
      </c>
      <c r="C209" s="1" t="s">
        <v>290</v>
      </c>
      <c r="D209" s="22">
        <v>7423</v>
      </c>
      <c r="E209" s="20">
        <f t="shared" si="9"/>
        <v>9.5006082027506323E-4</v>
      </c>
      <c r="F209" s="23">
        <f t="shared" si="10"/>
        <v>165398.74457173925</v>
      </c>
      <c r="G209" s="23">
        <f t="shared" si="11"/>
        <v>172821.74457173925</v>
      </c>
    </row>
    <row r="210" spans="1:7" x14ac:dyDescent="0.2">
      <c r="A210">
        <v>2020</v>
      </c>
      <c r="B210" s="1" t="s">
        <v>291</v>
      </c>
      <c r="C210" s="1" t="s">
        <v>292</v>
      </c>
      <c r="D210" s="22"/>
      <c r="E210" s="20">
        <f t="shared" si="9"/>
        <v>0</v>
      </c>
      <c r="F210" s="23">
        <f t="shared" si="10"/>
        <v>0</v>
      </c>
      <c r="G210" s="23">
        <f t="shared" si="11"/>
        <v>0</v>
      </c>
    </row>
    <row r="211" spans="1:7" x14ac:dyDescent="0.2">
      <c r="A211">
        <v>2020</v>
      </c>
      <c r="B211" s="1" t="s">
        <v>602</v>
      </c>
      <c r="C211" s="1" t="s">
        <v>294</v>
      </c>
      <c r="D211" s="22"/>
      <c r="E211" s="20">
        <f t="shared" si="9"/>
        <v>0</v>
      </c>
      <c r="F211" s="23">
        <f t="shared" si="10"/>
        <v>0</v>
      </c>
      <c r="G211" s="23">
        <f t="shared" si="11"/>
        <v>0</v>
      </c>
    </row>
    <row r="212" spans="1:7" x14ac:dyDescent="0.2">
      <c r="A212">
        <v>2020</v>
      </c>
      <c r="B212" s="1" t="s">
        <v>603</v>
      </c>
      <c r="C212" s="1" t="s">
        <v>296</v>
      </c>
      <c r="D212" s="22"/>
      <c r="E212" s="20">
        <f t="shared" si="9"/>
        <v>0</v>
      </c>
      <c r="F212" s="23">
        <f t="shared" si="10"/>
        <v>0</v>
      </c>
      <c r="G212" s="23">
        <f t="shared" si="11"/>
        <v>0</v>
      </c>
    </row>
    <row r="213" spans="1:7" x14ac:dyDescent="0.2">
      <c r="A213">
        <v>2020</v>
      </c>
      <c r="B213" s="1" t="s">
        <v>297</v>
      </c>
      <c r="C213" s="1" t="s">
        <v>298</v>
      </c>
      <c r="D213" s="22"/>
      <c r="E213" s="20">
        <f t="shared" si="9"/>
        <v>0</v>
      </c>
      <c r="F213" s="23">
        <f t="shared" si="10"/>
        <v>0</v>
      </c>
      <c r="G213" s="23">
        <f t="shared" si="11"/>
        <v>0</v>
      </c>
    </row>
    <row r="214" spans="1:7" x14ac:dyDescent="0.2">
      <c r="A214">
        <v>2020</v>
      </c>
      <c r="B214" s="1" t="s">
        <v>299</v>
      </c>
      <c r="C214" s="1" t="s">
        <v>300</v>
      </c>
      <c r="D214" s="22">
        <v>11655</v>
      </c>
      <c r="E214" s="20">
        <f t="shared" si="9"/>
        <v>1.4917093978587988E-3</v>
      </c>
      <c r="F214" s="23">
        <f t="shared" si="10"/>
        <v>259695.85989271468</v>
      </c>
      <c r="G214" s="23">
        <f t="shared" si="11"/>
        <v>271350.85989271465</v>
      </c>
    </row>
    <row r="215" spans="1:7" x14ac:dyDescent="0.2">
      <c r="A215">
        <v>2020</v>
      </c>
      <c r="B215" s="1" t="s">
        <v>301</v>
      </c>
      <c r="C215" s="1" t="s">
        <v>302</v>
      </c>
      <c r="D215" s="22">
        <v>3406</v>
      </c>
      <c r="E215" s="20">
        <f t="shared" si="9"/>
        <v>4.3592983347121993E-4</v>
      </c>
      <c r="F215" s="23">
        <f t="shared" si="10"/>
        <v>75892.24356881906</v>
      </c>
      <c r="G215" s="23">
        <f t="shared" si="11"/>
        <v>79298.24356881906</v>
      </c>
    </row>
    <row r="216" spans="1:7" x14ac:dyDescent="0.2">
      <c r="A216">
        <v>2020</v>
      </c>
      <c r="B216" s="1" t="s">
        <v>303</v>
      </c>
      <c r="C216" s="1" t="s">
        <v>304</v>
      </c>
      <c r="D216" s="22">
        <v>34460</v>
      </c>
      <c r="E216" s="20">
        <f t="shared" si="9"/>
        <v>4.4104938524422311E-3</v>
      </c>
      <c r="F216" s="23">
        <f t="shared" si="10"/>
        <v>767835.20651247946</v>
      </c>
      <c r="G216" s="23">
        <f t="shared" si="11"/>
        <v>802295.20651247946</v>
      </c>
    </row>
    <row r="217" spans="1:7" x14ac:dyDescent="0.2">
      <c r="A217">
        <v>2020</v>
      </c>
      <c r="B217" s="1" t="s">
        <v>305</v>
      </c>
      <c r="C217" s="1" t="s">
        <v>604</v>
      </c>
      <c r="D217" s="22"/>
      <c r="E217" s="20">
        <f t="shared" si="9"/>
        <v>0</v>
      </c>
      <c r="F217" s="23">
        <f t="shared" si="10"/>
        <v>0</v>
      </c>
      <c r="G217" s="23">
        <f t="shared" si="11"/>
        <v>0</v>
      </c>
    </row>
    <row r="218" spans="1:7" x14ac:dyDescent="0.2">
      <c r="A218">
        <v>2020</v>
      </c>
      <c r="B218" s="1" t="s">
        <v>307</v>
      </c>
      <c r="C218" s="1" t="s">
        <v>308</v>
      </c>
      <c r="D218" s="22"/>
      <c r="E218" s="20">
        <f t="shared" si="9"/>
        <v>0</v>
      </c>
      <c r="F218" s="23">
        <f t="shared" si="10"/>
        <v>0</v>
      </c>
      <c r="G218" s="23">
        <f t="shared" si="11"/>
        <v>0</v>
      </c>
    </row>
    <row r="219" spans="1:7" x14ac:dyDescent="0.2">
      <c r="A219">
        <v>2020</v>
      </c>
      <c r="B219" s="1" t="s">
        <v>309</v>
      </c>
      <c r="C219" s="1" t="s">
        <v>310</v>
      </c>
      <c r="D219" s="22"/>
      <c r="E219" s="20">
        <f t="shared" si="9"/>
        <v>0</v>
      </c>
      <c r="F219" s="23">
        <f t="shared" si="10"/>
        <v>0</v>
      </c>
      <c r="G219" s="23">
        <f t="shared" si="11"/>
        <v>0</v>
      </c>
    </row>
    <row r="220" spans="1:7" x14ac:dyDescent="0.2">
      <c r="A220">
        <v>2020</v>
      </c>
      <c r="B220" s="1" t="s">
        <v>605</v>
      </c>
      <c r="C220" s="1" t="s">
        <v>311</v>
      </c>
      <c r="D220" s="22">
        <v>395</v>
      </c>
      <c r="E220" s="20">
        <f t="shared" si="9"/>
        <v>5.0555573758406305E-5</v>
      </c>
      <c r="F220" s="23">
        <f t="shared" si="10"/>
        <v>8801.3611889851818</v>
      </c>
      <c r="G220" s="23">
        <f t="shared" si="11"/>
        <v>9196.3611889851818</v>
      </c>
    </row>
    <row r="221" spans="1:7" x14ac:dyDescent="0.2">
      <c r="A221">
        <v>2020</v>
      </c>
      <c r="B221" s="1" t="s">
        <v>622</v>
      </c>
      <c r="C221" s="1" t="s">
        <v>623</v>
      </c>
      <c r="D221" s="22"/>
      <c r="E221" s="20">
        <f t="shared" si="9"/>
        <v>0</v>
      </c>
      <c r="F221" s="23">
        <f t="shared" si="10"/>
        <v>0</v>
      </c>
      <c r="G221" s="23">
        <f t="shared" si="11"/>
        <v>0</v>
      </c>
    </row>
    <row r="222" spans="1:7" x14ac:dyDescent="0.2">
      <c r="A222">
        <v>2020</v>
      </c>
      <c r="B222" s="1" t="s">
        <v>312</v>
      </c>
      <c r="C222" s="1" t="s">
        <v>606</v>
      </c>
      <c r="D222" s="22">
        <v>1035</v>
      </c>
      <c r="E222" s="20">
        <f t="shared" si="9"/>
        <v>1.3246840212645703E-4</v>
      </c>
      <c r="F222" s="23">
        <f t="shared" si="10"/>
        <v>23061.794507847251</v>
      </c>
      <c r="G222" s="23">
        <f t="shared" si="11"/>
        <v>24096.794507847251</v>
      </c>
    </row>
    <row r="223" spans="1:7" x14ac:dyDescent="0.2">
      <c r="A223">
        <v>2020</v>
      </c>
      <c r="B223" s="1" t="s">
        <v>607</v>
      </c>
      <c r="C223" s="1" t="s">
        <v>314</v>
      </c>
      <c r="D223" s="22">
        <v>6381</v>
      </c>
      <c r="E223" s="20">
        <f t="shared" si="9"/>
        <v>8.1669649658833068E-4</v>
      </c>
      <c r="F223" s="23">
        <f t="shared" si="10"/>
        <v>142180.97657446694</v>
      </c>
      <c r="G223" s="23">
        <f t="shared" si="11"/>
        <v>148561.97657446694</v>
      </c>
    </row>
    <row r="224" spans="1:7" x14ac:dyDescent="0.2">
      <c r="A224">
        <v>2020</v>
      </c>
      <c r="B224" s="1" t="s">
        <v>315</v>
      </c>
      <c r="C224" s="1" t="s">
        <v>316</v>
      </c>
      <c r="D224" s="22">
        <v>4976</v>
      </c>
      <c r="E224" s="20">
        <f t="shared" si="9"/>
        <v>6.3687224056159432E-4</v>
      </c>
      <c r="F224" s="23">
        <f t="shared" si="10"/>
        <v>110874.86905415257</v>
      </c>
      <c r="G224" s="23">
        <f t="shared" si="11"/>
        <v>115850.86905415257</v>
      </c>
    </row>
    <row r="225" spans="1:7" x14ac:dyDescent="0.2">
      <c r="A225">
        <v>2020</v>
      </c>
      <c r="B225" s="1" t="s">
        <v>317</v>
      </c>
      <c r="C225" s="1" t="s">
        <v>318</v>
      </c>
      <c r="D225" s="22"/>
      <c r="E225" s="20">
        <f t="shared" si="9"/>
        <v>0</v>
      </c>
      <c r="F225" s="23">
        <f t="shared" si="10"/>
        <v>0</v>
      </c>
      <c r="G225" s="23">
        <f t="shared" si="11"/>
        <v>0</v>
      </c>
    </row>
    <row r="226" spans="1:7" x14ac:dyDescent="0.2">
      <c r="A226">
        <v>2020</v>
      </c>
      <c r="B226" s="1" t="s">
        <v>608</v>
      </c>
      <c r="C226" s="1" t="s">
        <v>319</v>
      </c>
      <c r="D226" s="22"/>
      <c r="E226" s="20">
        <f t="shared" si="9"/>
        <v>0</v>
      </c>
      <c r="F226" s="23">
        <f t="shared" si="10"/>
        <v>0</v>
      </c>
      <c r="G226" s="23">
        <f t="shared" si="11"/>
        <v>0</v>
      </c>
    </row>
    <row r="227" spans="1:7" x14ac:dyDescent="0.2">
      <c r="A227">
        <v>2020</v>
      </c>
      <c r="B227" s="1" t="s">
        <v>609</v>
      </c>
      <c r="C227" s="1" t="s">
        <v>320</v>
      </c>
      <c r="D227" s="22"/>
      <c r="E227" s="20">
        <f t="shared" si="9"/>
        <v>0</v>
      </c>
      <c r="F227" s="23">
        <f t="shared" si="10"/>
        <v>0</v>
      </c>
      <c r="G227" s="23">
        <f t="shared" si="11"/>
        <v>0</v>
      </c>
    </row>
    <row r="228" spans="1:7" x14ac:dyDescent="0.2">
      <c r="A228">
        <v>2020</v>
      </c>
      <c r="B228" s="1" t="s">
        <v>321</v>
      </c>
      <c r="C228" s="1" t="s">
        <v>322</v>
      </c>
      <c r="D228" s="22"/>
      <c r="E228" s="20">
        <f t="shared" si="9"/>
        <v>0</v>
      </c>
      <c r="F228" s="23">
        <f t="shared" si="10"/>
        <v>0</v>
      </c>
      <c r="G228" s="23">
        <f t="shared" si="11"/>
        <v>0</v>
      </c>
    </row>
    <row r="229" spans="1:7" x14ac:dyDescent="0.2">
      <c r="A229">
        <v>2020</v>
      </c>
      <c r="B229" s="1" t="s">
        <v>610</v>
      </c>
      <c r="C229" s="1" t="s">
        <v>323</v>
      </c>
      <c r="D229" s="22">
        <v>20026</v>
      </c>
      <c r="E229" s="20">
        <f t="shared" si="9"/>
        <v>2.5631035951540369E-3</v>
      </c>
      <c r="F229" s="23">
        <f t="shared" si="10"/>
        <v>446217.87131801835</v>
      </c>
      <c r="G229" s="23">
        <f t="shared" si="11"/>
        <v>466243.87131801835</v>
      </c>
    </row>
    <row r="230" spans="1:7" x14ac:dyDescent="0.2">
      <c r="A230">
        <v>2020</v>
      </c>
      <c r="B230" s="1" t="s">
        <v>324</v>
      </c>
      <c r="C230" s="1" t="s">
        <v>325</v>
      </c>
      <c r="D230" s="22">
        <v>3307</v>
      </c>
      <c r="E230" s="20">
        <f t="shared" si="9"/>
        <v>4.232589428330371E-4</v>
      </c>
      <c r="F230" s="23">
        <f t="shared" si="10"/>
        <v>73686.332789807595</v>
      </c>
      <c r="G230" s="23">
        <f t="shared" si="11"/>
        <v>76993.332789807595</v>
      </c>
    </row>
    <row r="231" spans="1:7" x14ac:dyDescent="0.2">
      <c r="A231">
        <v>2020</v>
      </c>
      <c r="B231" s="1" t="s">
        <v>326</v>
      </c>
      <c r="C231" s="1" t="s">
        <v>327</v>
      </c>
      <c r="D231" s="22">
        <v>3089</v>
      </c>
      <c r="E231" s="20">
        <f t="shared" si="9"/>
        <v>3.9535738567016978E-4</v>
      </c>
      <c r="F231" s="23">
        <f t="shared" si="10"/>
        <v>68828.872690570191</v>
      </c>
      <c r="G231" s="23">
        <f t="shared" si="11"/>
        <v>71917.872690570191</v>
      </c>
    </row>
    <row r="232" spans="1:7" x14ac:dyDescent="0.2">
      <c r="A232">
        <v>2020</v>
      </c>
      <c r="B232" s="1" t="s">
        <v>611</v>
      </c>
      <c r="C232" s="1" t="s">
        <v>328</v>
      </c>
      <c r="D232" s="22">
        <v>3188</v>
      </c>
      <c r="E232" s="20">
        <f t="shared" si="9"/>
        <v>4.0802827630835267E-4</v>
      </c>
      <c r="F232" s="23">
        <f t="shared" si="10"/>
        <v>71034.783469581671</v>
      </c>
      <c r="G232" s="23">
        <f t="shared" si="11"/>
        <v>74222.783469581671</v>
      </c>
    </row>
    <row r="233" spans="1:7" x14ac:dyDescent="0.2">
      <c r="A233">
        <v>2020</v>
      </c>
      <c r="B233" s="1" t="s">
        <v>329</v>
      </c>
      <c r="C233" s="1" t="s">
        <v>330</v>
      </c>
      <c r="D233" s="22">
        <v>8887</v>
      </c>
      <c r="E233" s="20">
        <f t="shared" si="9"/>
        <v>1.1374364151669793E-3</v>
      </c>
      <c r="F233" s="23">
        <f t="shared" si="10"/>
        <v>198019.48578863623</v>
      </c>
      <c r="G233" s="23">
        <f t="shared" si="11"/>
        <v>206906.48578863623</v>
      </c>
    </row>
    <row r="234" spans="1:7" x14ac:dyDescent="0.2">
      <c r="A234">
        <v>2020</v>
      </c>
      <c r="B234" s="1" t="s">
        <v>612</v>
      </c>
      <c r="C234" s="1" t="s">
        <v>331</v>
      </c>
      <c r="D234" s="22">
        <v>8250</v>
      </c>
      <c r="E234" s="20">
        <f t="shared" si="9"/>
        <v>1.0559075531819037E-3</v>
      </c>
      <c r="F234" s="23">
        <f t="shared" si="10"/>
        <v>183825.89825095632</v>
      </c>
      <c r="G234" s="23">
        <f t="shared" si="11"/>
        <v>192075.89825095632</v>
      </c>
    </row>
    <row r="235" spans="1:7" x14ac:dyDescent="0.2">
      <c r="A235">
        <v>2020</v>
      </c>
      <c r="B235" s="1" t="s">
        <v>332</v>
      </c>
      <c r="C235" s="1" t="s">
        <v>333</v>
      </c>
      <c r="D235" s="22">
        <v>6976</v>
      </c>
      <c r="E235" s="20">
        <f t="shared" si="9"/>
        <v>8.9284982921175289E-4</v>
      </c>
      <c r="F235" s="23">
        <f t="shared" si="10"/>
        <v>155438.72317559653</v>
      </c>
      <c r="G235" s="23">
        <f t="shared" si="11"/>
        <v>162414.72317559653</v>
      </c>
    </row>
    <row r="236" spans="1:7" x14ac:dyDescent="0.2">
      <c r="A236">
        <v>2020</v>
      </c>
      <c r="B236" s="1" t="s">
        <v>334</v>
      </c>
      <c r="C236" s="1" t="s">
        <v>335</v>
      </c>
      <c r="D236" s="22">
        <v>242</v>
      </c>
      <c r="E236" s="20">
        <f t="shared" si="9"/>
        <v>3.0973288226669179E-5</v>
      </c>
      <c r="F236" s="23">
        <f t="shared" si="10"/>
        <v>5392.2263486947195</v>
      </c>
      <c r="G236" s="23">
        <f t="shared" si="11"/>
        <v>5634.2263486947195</v>
      </c>
    </row>
    <row r="237" spans="1:7" x14ac:dyDescent="0.2">
      <c r="A237">
        <v>2020</v>
      </c>
      <c r="B237" s="1" t="s">
        <v>613</v>
      </c>
      <c r="C237" s="1" t="s">
        <v>336</v>
      </c>
      <c r="D237" s="22">
        <v>6809</v>
      </c>
      <c r="E237" s="20">
        <f t="shared" si="9"/>
        <v>8.7147570055946463E-4</v>
      </c>
      <c r="F237" s="23">
        <f t="shared" si="10"/>
        <v>151717.64135645595</v>
      </c>
      <c r="G237" s="23">
        <f t="shared" si="11"/>
        <v>158526.64135645595</v>
      </c>
    </row>
    <row r="238" spans="1:7" x14ac:dyDescent="0.2">
      <c r="A238">
        <v>2020</v>
      </c>
      <c r="B238" s="1" t="s">
        <v>614</v>
      </c>
      <c r="C238" s="1" t="s">
        <v>338</v>
      </c>
      <c r="D238" s="22">
        <v>11845</v>
      </c>
      <c r="E238" s="20">
        <f t="shared" si="9"/>
        <v>1.5160272687805636E-3</v>
      </c>
      <c r="F238" s="23">
        <f t="shared" si="10"/>
        <v>263929.42603425181</v>
      </c>
      <c r="G238" s="23">
        <f t="shared" si="11"/>
        <v>275774.42603425181</v>
      </c>
    </row>
    <row r="239" spans="1:7" x14ac:dyDescent="0.2">
      <c r="A239">
        <v>2020</v>
      </c>
      <c r="B239" s="1" t="s">
        <v>615</v>
      </c>
      <c r="C239" s="1" t="s">
        <v>340</v>
      </c>
      <c r="D239" s="22">
        <v>19836</v>
      </c>
      <c r="E239" s="20">
        <f t="shared" si="9"/>
        <v>2.5387857242322718E-3</v>
      </c>
      <c r="F239" s="23">
        <f t="shared" si="10"/>
        <v>441984.30517648114</v>
      </c>
      <c r="G239" s="23">
        <f t="shared" si="11"/>
        <v>461820.30517648114</v>
      </c>
    </row>
    <row r="240" spans="1:7" x14ac:dyDescent="0.2">
      <c r="A240">
        <v>2020</v>
      </c>
      <c r="B240" s="1" t="s">
        <v>616</v>
      </c>
      <c r="C240" s="1" t="s">
        <v>342</v>
      </c>
      <c r="D240" s="22">
        <v>2530</v>
      </c>
      <c r="E240" s="20">
        <f t="shared" si="9"/>
        <v>3.2381164964245048E-4</v>
      </c>
      <c r="F240" s="23">
        <f t="shared" si="10"/>
        <v>56373.275463626604</v>
      </c>
      <c r="G240" s="23">
        <f t="shared" si="11"/>
        <v>58903.275463626604</v>
      </c>
    </row>
    <row r="241" spans="1:7" x14ac:dyDescent="0.2">
      <c r="A241">
        <v>2020</v>
      </c>
      <c r="B241" s="1" t="s">
        <v>343</v>
      </c>
      <c r="C241" s="1" t="s">
        <v>344</v>
      </c>
      <c r="D241" s="22">
        <v>1413</v>
      </c>
      <c r="E241" s="20">
        <f t="shared" si="9"/>
        <v>1.8084816638133699E-4</v>
      </c>
      <c r="F241" s="23">
        <f t="shared" si="10"/>
        <v>31484.362936800157</v>
      </c>
      <c r="G241" s="23">
        <f t="shared" si="11"/>
        <v>32897.362936800157</v>
      </c>
    </row>
    <row r="242" spans="1:7" x14ac:dyDescent="0.2">
      <c r="A242">
        <v>2020</v>
      </c>
      <c r="B242" s="1" t="s">
        <v>345</v>
      </c>
      <c r="C242" s="1" t="s">
        <v>346</v>
      </c>
      <c r="D242" s="22">
        <v>4901</v>
      </c>
      <c r="E242" s="20">
        <f t="shared" si="9"/>
        <v>6.2727308098721338E-4</v>
      </c>
      <c r="F242" s="23">
        <f t="shared" si="10"/>
        <v>109203.72452459842</v>
      </c>
      <c r="G242" s="23">
        <f t="shared" si="11"/>
        <v>114104.72452459842</v>
      </c>
    </row>
    <row r="243" spans="1:7" x14ac:dyDescent="0.2">
      <c r="A243">
        <v>2020</v>
      </c>
      <c r="B243" s="1" t="s">
        <v>347</v>
      </c>
      <c r="C243" s="1" t="s">
        <v>348</v>
      </c>
      <c r="D243" s="22">
        <v>248</v>
      </c>
      <c r="E243" s="20">
        <f t="shared" si="9"/>
        <v>3.1741220992619657E-5</v>
      </c>
      <c r="F243" s="23">
        <f t="shared" si="10"/>
        <v>5525.9179110590512</v>
      </c>
      <c r="G243" s="23">
        <f t="shared" si="11"/>
        <v>5773.9179110590512</v>
      </c>
    </row>
    <row r="244" spans="1:7" x14ac:dyDescent="0.2">
      <c r="A244">
        <v>2020</v>
      </c>
      <c r="B244" s="1" t="s">
        <v>349</v>
      </c>
      <c r="C244" s="1" t="s">
        <v>350</v>
      </c>
      <c r="D244" s="22">
        <v>4176</v>
      </c>
      <c r="E244" s="20">
        <f t="shared" si="9"/>
        <v>5.3448120510153098E-4</v>
      </c>
      <c r="F244" s="23">
        <f t="shared" si="10"/>
        <v>93049.327405574993</v>
      </c>
      <c r="G244" s="23">
        <f t="shared" si="11"/>
        <v>97225.327405574993</v>
      </c>
    </row>
    <row r="245" spans="1:7" x14ac:dyDescent="0.2">
      <c r="A245">
        <v>2020</v>
      </c>
      <c r="B245" s="1" t="s">
        <v>617</v>
      </c>
      <c r="C245" s="1" t="s">
        <v>618</v>
      </c>
      <c r="D245" s="22"/>
      <c r="E245" s="20">
        <f t="shared" si="9"/>
        <v>0</v>
      </c>
      <c r="F245" s="23">
        <f t="shared" si="10"/>
        <v>0</v>
      </c>
      <c r="G245" s="23">
        <f t="shared" si="11"/>
        <v>0</v>
      </c>
    </row>
    <row r="246" spans="1:7" x14ac:dyDescent="0.2">
      <c r="A246">
        <v>2020</v>
      </c>
      <c r="B246" s="1" t="s">
        <v>351</v>
      </c>
      <c r="C246" s="1" t="s">
        <v>352</v>
      </c>
      <c r="D246" s="22">
        <v>4142</v>
      </c>
      <c r="E246" s="20">
        <f t="shared" si="9"/>
        <v>5.3012958609447824E-4</v>
      </c>
      <c r="F246" s="23">
        <f t="shared" si="10"/>
        <v>92291.741885510433</v>
      </c>
      <c r="G246" s="23">
        <f t="shared" si="11"/>
        <v>96433.741885510433</v>
      </c>
    </row>
    <row r="247" spans="1:7" x14ac:dyDescent="0.2">
      <c r="A247">
        <v>2020</v>
      </c>
      <c r="B247" s="1" t="s">
        <v>353</v>
      </c>
      <c r="C247" s="1" t="s">
        <v>354</v>
      </c>
      <c r="D247" s="22">
        <v>7779</v>
      </c>
      <c r="E247" s="20">
        <f t="shared" si="9"/>
        <v>9.9562483105479146E-4</v>
      </c>
      <c r="F247" s="23">
        <f t="shared" si="10"/>
        <v>173331.11060535628</v>
      </c>
      <c r="G247" s="23">
        <f t="shared" si="11"/>
        <v>181110.11060535628</v>
      </c>
    </row>
    <row r="248" spans="1:7" x14ac:dyDescent="0.2">
      <c r="A248">
        <v>2020</v>
      </c>
      <c r="B248" s="1" t="s">
        <v>355</v>
      </c>
      <c r="C248" s="1" t="s">
        <v>356</v>
      </c>
      <c r="D248" s="22"/>
      <c r="E248" s="20">
        <f t="shared" si="9"/>
        <v>0</v>
      </c>
      <c r="F248" s="23">
        <f t="shared" si="10"/>
        <v>0</v>
      </c>
      <c r="G248" s="23">
        <f t="shared" si="11"/>
        <v>0</v>
      </c>
    </row>
    <row r="249" spans="1:7" x14ac:dyDescent="0.2">
      <c r="A249">
        <v>2020</v>
      </c>
      <c r="B249" s="1" t="s">
        <v>619</v>
      </c>
      <c r="C249" s="1" t="s">
        <v>357</v>
      </c>
      <c r="D249" s="22"/>
      <c r="E249" s="20">
        <f t="shared" si="9"/>
        <v>0</v>
      </c>
      <c r="F249" s="23">
        <f t="shared" si="10"/>
        <v>0</v>
      </c>
      <c r="G249" s="23">
        <f t="shared" si="11"/>
        <v>0</v>
      </c>
    </row>
    <row r="250" spans="1:7" x14ac:dyDescent="0.2">
      <c r="A250">
        <v>2020</v>
      </c>
      <c r="B250" s="1" t="s">
        <v>620</v>
      </c>
      <c r="C250" s="1" t="s">
        <v>358</v>
      </c>
      <c r="D250" s="22"/>
      <c r="E250" s="20">
        <f t="shared" si="9"/>
        <v>0</v>
      </c>
      <c r="F250" s="23">
        <f t="shared" si="10"/>
        <v>0</v>
      </c>
      <c r="G250" s="23">
        <f t="shared" si="11"/>
        <v>0</v>
      </c>
    </row>
    <row r="251" spans="1:7" x14ac:dyDescent="0.2">
      <c r="A251">
        <v>2020</v>
      </c>
      <c r="B251" s="1" t="s">
        <v>359</v>
      </c>
      <c r="C251" s="1" t="s">
        <v>360</v>
      </c>
      <c r="D251" s="22"/>
      <c r="E251" s="20">
        <f t="shared" si="9"/>
        <v>0</v>
      </c>
      <c r="F251" s="23">
        <f t="shared" si="10"/>
        <v>0</v>
      </c>
      <c r="G251" s="23">
        <f t="shared" si="11"/>
        <v>0</v>
      </c>
    </row>
    <row r="252" spans="1:7" x14ac:dyDescent="0.2">
      <c r="A252">
        <v>2020</v>
      </c>
      <c r="B252" s="1" t="s">
        <v>361</v>
      </c>
      <c r="C252" s="1" t="s">
        <v>362</v>
      </c>
      <c r="D252" s="22">
        <v>11966</v>
      </c>
      <c r="E252" s="20">
        <f t="shared" si="9"/>
        <v>1.5315139128938983E-3</v>
      </c>
      <c r="F252" s="23">
        <f t="shared" si="10"/>
        <v>266625.53920859919</v>
      </c>
      <c r="G252" s="23">
        <f t="shared" si="11"/>
        <v>278591.53920859919</v>
      </c>
    </row>
    <row r="254" spans="1:7" x14ac:dyDescent="0.2">
      <c r="D254" s="22">
        <f>SUM(D2:D252)</f>
        <v>7813184</v>
      </c>
    </row>
    <row r="256" spans="1:7" x14ac:dyDescent="0.2">
      <c r="B256" s="1" t="s">
        <v>482</v>
      </c>
      <c r="C256" s="1" t="s">
        <v>1</v>
      </c>
      <c r="D256" s="10">
        <v>174092796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817E-3B1A-B344-9B78-4B20B41FFEC1}">
  <sheetPr>
    <tabColor rgb="FFFFFF00"/>
  </sheetPr>
  <dimension ref="A1:G257"/>
  <sheetViews>
    <sheetView workbookViewId="0">
      <selection activeCell="F2" sqref="F2:G253"/>
    </sheetView>
  </sheetViews>
  <sheetFormatPr baseColWidth="10" defaultRowHeight="16" x14ac:dyDescent="0.2"/>
  <cols>
    <col min="2" max="2" width="38.6640625" style="1" bestFit="1" customWidth="1"/>
    <col min="3" max="3" width="13.5" style="1" bestFit="1" customWidth="1"/>
    <col min="4" max="4" width="18.83203125" style="1" bestFit="1" customWidth="1"/>
    <col min="6" max="6" width="17.1640625" bestFit="1" customWidth="1"/>
    <col min="7" max="7" width="16.83203125" bestFit="1" customWidth="1"/>
  </cols>
  <sheetData>
    <row r="1" spans="1:7" x14ac:dyDescent="0.2">
      <c r="A1" t="s">
        <v>639</v>
      </c>
      <c r="B1" s="1" t="s">
        <v>634</v>
      </c>
      <c r="C1" s="1" t="s">
        <v>364</v>
      </c>
      <c r="D1" s="1" t="s">
        <v>363</v>
      </c>
      <c r="F1" t="s">
        <v>637</v>
      </c>
      <c r="G1" t="s">
        <v>638</v>
      </c>
    </row>
    <row r="2" spans="1:7" x14ac:dyDescent="0.2">
      <c r="A2">
        <v>2021</v>
      </c>
      <c r="B2" s="1" t="s">
        <v>2</v>
      </c>
      <c r="C2" s="1" t="s">
        <v>3</v>
      </c>
      <c r="D2" s="22"/>
      <c r="E2" s="12">
        <f>D2/$D$254</f>
        <v>0</v>
      </c>
      <c r="F2">
        <f>E2*$D$257</f>
        <v>0</v>
      </c>
      <c r="G2" s="23">
        <f>SUM(F2,D2)</f>
        <v>0</v>
      </c>
    </row>
    <row r="3" spans="1:7" x14ac:dyDescent="0.2">
      <c r="A3">
        <v>2021</v>
      </c>
      <c r="B3" s="1" t="s">
        <v>4</v>
      </c>
      <c r="C3" s="1" t="s">
        <v>5</v>
      </c>
      <c r="D3" s="22"/>
      <c r="E3" s="12">
        <f t="shared" ref="E3:E66" si="0">D3/$D$254</f>
        <v>0</v>
      </c>
      <c r="F3">
        <f t="shared" ref="F3:F66" si="1">E3*$D$257</f>
        <v>0</v>
      </c>
      <c r="G3" s="23">
        <f t="shared" ref="G3:G66" si="2">SUM(F3,D3)</f>
        <v>0</v>
      </c>
    </row>
    <row r="4" spans="1:7" x14ac:dyDescent="0.2">
      <c r="A4">
        <v>2021</v>
      </c>
      <c r="B4" s="1" t="s">
        <v>6</v>
      </c>
      <c r="C4" s="1" t="s">
        <v>7</v>
      </c>
      <c r="D4" s="22">
        <v>35987</v>
      </c>
      <c r="E4" s="12">
        <f t="shared" si="0"/>
        <v>3.3796795300848953E-3</v>
      </c>
      <c r="F4">
        <f t="shared" si="1"/>
        <v>604558.22343262634</v>
      </c>
      <c r="G4" s="23">
        <f t="shared" si="2"/>
        <v>640545.22343262634</v>
      </c>
    </row>
    <row r="5" spans="1:7" x14ac:dyDescent="0.2">
      <c r="A5">
        <v>2021</v>
      </c>
      <c r="B5" s="1" t="s">
        <v>8</v>
      </c>
      <c r="C5" s="1" t="s">
        <v>9</v>
      </c>
      <c r="D5" s="22">
        <v>1902</v>
      </c>
      <c r="E5" s="12">
        <f t="shared" si="0"/>
        <v>1.7862423837000782E-4</v>
      </c>
      <c r="F5">
        <f t="shared" si="1"/>
        <v>31952.364491868044</v>
      </c>
      <c r="G5" s="23">
        <f t="shared" si="2"/>
        <v>33854.364491868044</v>
      </c>
    </row>
    <row r="6" spans="1:7" x14ac:dyDescent="0.2">
      <c r="A6">
        <v>2021</v>
      </c>
      <c r="B6" s="1" t="s">
        <v>483</v>
      </c>
      <c r="C6" s="1" t="s">
        <v>10</v>
      </c>
      <c r="D6" s="22">
        <v>41449</v>
      </c>
      <c r="E6" s="12">
        <f t="shared" si="0"/>
        <v>3.8926372535217947E-3</v>
      </c>
      <c r="F6">
        <f t="shared" si="1"/>
        <v>696316.2754066448</v>
      </c>
      <c r="G6" s="23">
        <f t="shared" si="2"/>
        <v>737765.2754066448</v>
      </c>
    </row>
    <row r="7" spans="1:7" x14ac:dyDescent="0.2">
      <c r="A7">
        <v>2021</v>
      </c>
      <c r="B7" s="1" t="s">
        <v>484</v>
      </c>
      <c r="C7" s="1" t="s">
        <v>11</v>
      </c>
      <c r="D7" s="22">
        <v>20514</v>
      </c>
      <c r="E7" s="12">
        <f t="shared" si="0"/>
        <v>1.9265497507478129E-3</v>
      </c>
      <c r="F7">
        <f t="shared" si="1"/>
        <v>344621.87444068404</v>
      </c>
      <c r="G7" s="23">
        <f t="shared" si="2"/>
        <v>365135.87444068404</v>
      </c>
    </row>
    <row r="8" spans="1:7" x14ac:dyDescent="0.2">
      <c r="A8">
        <v>2021</v>
      </c>
      <c r="B8" s="1" t="s">
        <v>12</v>
      </c>
      <c r="C8" s="1" t="s">
        <v>13</v>
      </c>
      <c r="D8" s="22"/>
      <c r="E8" s="12">
        <f t="shared" si="0"/>
        <v>0</v>
      </c>
      <c r="F8">
        <f t="shared" si="1"/>
        <v>0</v>
      </c>
      <c r="G8" s="23">
        <f t="shared" si="2"/>
        <v>0</v>
      </c>
    </row>
    <row r="9" spans="1:7" x14ac:dyDescent="0.2">
      <c r="A9">
        <v>2021</v>
      </c>
      <c r="B9" s="1" t="s">
        <v>14</v>
      </c>
      <c r="C9" s="1" t="s">
        <v>15</v>
      </c>
      <c r="D9" s="22"/>
      <c r="E9" s="12">
        <f t="shared" si="0"/>
        <v>0</v>
      </c>
      <c r="F9">
        <f t="shared" si="1"/>
        <v>0</v>
      </c>
      <c r="G9" s="23">
        <f t="shared" si="2"/>
        <v>0</v>
      </c>
    </row>
    <row r="10" spans="1:7" x14ac:dyDescent="0.2">
      <c r="A10">
        <v>2021</v>
      </c>
      <c r="B10" s="1" t="s">
        <v>16</v>
      </c>
      <c r="C10" s="1" t="s">
        <v>17</v>
      </c>
      <c r="D10" s="22"/>
      <c r="E10" s="12">
        <f t="shared" si="0"/>
        <v>0</v>
      </c>
      <c r="F10">
        <f t="shared" si="1"/>
        <v>0</v>
      </c>
      <c r="G10" s="23">
        <f t="shared" si="2"/>
        <v>0</v>
      </c>
    </row>
    <row r="11" spans="1:7" x14ac:dyDescent="0.2">
      <c r="A11">
        <v>2021</v>
      </c>
      <c r="B11" s="1" t="s">
        <v>18</v>
      </c>
      <c r="C11" s="1" t="s">
        <v>19</v>
      </c>
      <c r="D11" s="22"/>
      <c r="E11" s="12">
        <f t="shared" si="0"/>
        <v>0</v>
      </c>
      <c r="F11">
        <f t="shared" si="1"/>
        <v>0</v>
      </c>
      <c r="G11" s="23">
        <f t="shared" si="2"/>
        <v>0</v>
      </c>
    </row>
    <row r="12" spans="1:7" x14ac:dyDescent="0.2">
      <c r="A12">
        <v>2021</v>
      </c>
      <c r="B12" s="1" t="s">
        <v>20</v>
      </c>
      <c r="C12" s="1" t="s">
        <v>21</v>
      </c>
      <c r="D12" s="22"/>
      <c r="E12" s="12">
        <f t="shared" si="0"/>
        <v>0</v>
      </c>
      <c r="F12">
        <f t="shared" si="1"/>
        <v>0</v>
      </c>
      <c r="G12" s="23">
        <f t="shared" si="2"/>
        <v>0</v>
      </c>
    </row>
    <row r="13" spans="1:7" x14ac:dyDescent="0.2">
      <c r="A13">
        <v>2021</v>
      </c>
      <c r="B13" s="1" t="s">
        <v>22</v>
      </c>
      <c r="C13" s="1" t="s">
        <v>23</v>
      </c>
      <c r="D13" s="22"/>
      <c r="E13" s="12">
        <f t="shared" si="0"/>
        <v>0</v>
      </c>
      <c r="F13">
        <f t="shared" si="1"/>
        <v>0</v>
      </c>
      <c r="G13" s="23">
        <f t="shared" si="2"/>
        <v>0</v>
      </c>
    </row>
    <row r="14" spans="1:7" x14ac:dyDescent="0.2">
      <c r="A14">
        <v>2021</v>
      </c>
      <c r="B14" s="1" t="s">
        <v>24</v>
      </c>
      <c r="C14" s="1" t="s">
        <v>25</v>
      </c>
      <c r="D14" s="22"/>
      <c r="E14" s="12">
        <f t="shared" si="0"/>
        <v>0</v>
      </c>
      <c r="F14">
        <f t="shared" si="1"/>
        <v>0</v>
      </c>
      <c r="G14" s="23">
        <f t="shared" si="2"/>
        <v>0</v>
      </c>
    </row>
    <row r="15" spans="1:7" x14ac:dyDescent="0.2">
      <c r="A15">
        <v>2021</v>
      </c>
      <c r="B15" s="1" t="s">
        <v>26</v>
      </c>
      <c r="C15" s="1" t="s">
        <v>27</v>
      </c>
      <c r="D15" s="22"/>
      <c r="E15" s="12">
        <f t="shared" si="0"/>
        <v>0</v>
      </c>
      <c r="F15">
        <f t="shared" si="1"/>
        <v>0</v>
      </c>
      <c r="G15" s="23">
        <f t="shared" si="2"/>
        <v>0</v>
      </c>
    </row>
    <row r="16" spans="1:7" x14ac:dyDescent="0.2">
      <c r="A16">
        <v>2021</v>
      </c>
      <c r="B16" s="1" t="s">
        <v>28</v>
      </c>
      <c r="C16" s="1" t="s">
        <v>29</v>
      </c>
      <c r="D16" s="22"/>
      <c r="E16" s="12">
        <f t="shared" si="0"/>
        <v>0</v>
      </c>
      <c r="F16">
        <f t="shared" si="1"/>
        <v>0</v>
      </c>
      <c r="G16" s="23">
        <f t="shared" si="2"/>
        <v>0</v>
      </c>
    </row>
    <row r="17" spans="1:7" x14ac:dyDescent="0.2">
      <c r="A17">
        <v>2021</v>
      </c>
      <c r="B17" s="1" t="s">
        <v>30</v>
      </c>
      <c r="C17" s="1" t="s">
        <v>31</v>
      </c>
      <c r="D17" s="22"/>
      <c r="E17" s="12">
        <f t="shared" si="0"/>
        <v>0</v>
      </c>
      <c r="F17">
        <f t="shared" si="1"/>
        <v>0</v>
      </c>
      <c r="G17" s="23">
        <f t="shared" si="2"/>
        <v>0</v>
      </c>
    </row>
    <row r="18" spans="1:7" x14ac:dyDescent="0.2">
      <c r="A18">
        <v>2021</v>
      </c>
      <c r="B18" s="1" t="s">
        <v>32</v>
      </c>
      <c r="C18" s="1" t="s">
        <v>33</v>
      </c>
      <c r="D18" s="22">
        <v>7419</v>
      </c>
      <c r="E18" s="12">
        <f t="shared" si="0"/>
        <v>6.967472263233901E-4</v>
      </c>
      <c r="F18">
        <f t="shared" si="1"/>
        <v>124634.38073878497</v>
      </c>
      <c r="G18" s="23">
        <f t="shared" si="2"/>
        <v>132053.38073878497</v>
      </c>
    </row>
    <row r="19" spans="1:7" x14ac:dyDescent="0.2">
      <c r="A19">
        <v>2021</v>
      </c>
      <c r="B19" s="1" t="s">
        <v>485</v>
      </c>
      <c r="C19" s="1" t="s">
        <v>486</v>
      </c>
      <c r="D19" s="22">
        <v>2637</v>
      </c>
      <c r="E19" s="12">
        <f t="shared" si="0"/>
        <v>2.4765095509027898E-4</v>
      </c>
      <c r="F19">
        <f t="shared" si="1"/>
        <v>44299.887047873832</v>
      </c>
      <c r="G19" s="23">
        <f t="shared" si="2"/>
        <v>46936.887047873832</v>
      </c>
    </row>
    <row r="20" spans="1:7" x14ac:dyDescent="0.2">
      <c r="A20">
        <v>2021</v>
      </c>
      <c r="B20" s="1" t="s">
        <v>34</v>
      </c>
      <c r="C20" s="1" t="s">
        <v>35</v>
      </c>
      <c r="D20" s="22">
        <v>7275</v>
      </c>
      <c r="E20" s="12">
        <f t="shared" si="0"/>
        <v>6.832236246802349E-4</v>
      </c>
      <c r="F20">
        <f t="shared" si="1"/>
        <v>122215.2742788328</v>
      </c>
      <c r="G20" s="23">
        <f t="shared" si="2"/>
        <v>129490.2742788328</v>
      </c>
    </row>
    <row r="21" spans="1:7" x14ac:dyDescent="0.2">
      <c r="A21">
        <v>2021</v>
      </c>
      <c r="B21" s="1" t="s">
        <v>36</v>
      </c>
      <c r="C21" s="1" t="s">
        <v>37</v>
      </c>
      <c r="D21" s="22">
        <v>144530</v>
      </c>
      <c r="E21" s="12">
        <f t="shared" si="0"/>
        <v>1.3573376010313999E-2</v>
      </c>
      <c r="F21">
        <f t="shared" si="1"/>
        <v>2428010.1156728119</v>
      </c>
      <c r="G21" s="23">
        <f t="shared" si="2"/>
        <v>2572540.1156728119</v>
      </c>
    </row>
    <row r="22" spans="1:7" x14ac:dyDescent="0.2">
      <c r="A22">
        <v>2021</v>
      </c>
      <c r="B22" s="1" t="s">
        <v>38</v>
      </c>
      <c r="C22" s="1" t="s">
        <v>39</v>
      </c>
      <c r="D22" s="22">
        <v>210150</v>
      </c>
      <c r="E22" s="12">
        <f t="shared" si="0"/>
        <v>1.973600614797957E-2</v>
      </c>
      <c r="F22">
        <f t="shared" si="1"/>
        <v>3530383.4899926758</v>
      </c>
      <c r="G22" s="23">
        <f t="shared" si="2"/>
        <v>3740533.4899926758</v>
      </c>
    </row>
    <row r="23" spans="1:7" x14ac:dyDescent="0.2">
      <c r="A23">
        <v>2021</v>
      </c>
      <c r="B23" s="1" t="s">
        <v>40</v>
      </c>
      <c r="C23" s="1" t="s">
        <v>41</v>
      </c>
      <c r="D23" s="22">
        <v>231167</v>
      </c>
      <c r="E23" s="12">
        <f t="shared" si="0"/>
        <v>2.1709794590578126E-2</v>
      </c>
      <c r="F23">
        <f t="shared" si="1"/>
        <v>3883455.4376927759</v>
      </c>
      <c r="G23" s="23">
        <f t="shared" si="2"/>
        <v>4114622.4376927759</v>
      </c>
    </row>
    <row r="24" spans="1:7" x14ac:dyDescent="0.2">
      <c r="A24">
        <v>2021</v>
      </c>
      <c r="B24" s="1" t="s">
        <v>42</v>
      </c>
      <c r="C24" s="1" t="s">
        <v>43</v>
      </c>
      <c r="D24" s="22">
        <v>198056</v>
      </c>
      <c r="E24" s="12">
        <f t="shared" si="0"/>
        <v>1.8600211437755136E-2</v>
      </c>
      <c r="F24">
        <f t="shared" si="1"/>
        <v>3327212.1460575275</v>
      </c>
      <c r="G24" s="23">
        <f t="shared" si="2"/>
        <v>3525268.1460575275</v>
      </c>
    </row>
    <row r="25" spans="1:7" x14ac:dyDescent="0.2">
      <c r="A25">
        <v>2021</v>
      </c>
      <c r="B25" s="1" t="s">
        <v>44</v>
      </c>
      <c r="C25" s="1" t="s">
        <v>45</v>
      </c>
      <c r="D25" s="22">
        <v>59539</v>
      </c>
      <c r="E25" s="12">
        <f t="shared" si="0"/>
        <v>5.591539709943162E-3</v>
      </c>
      <c r="F25">
        <f t="shared" si="1"/>
        <v>1000216.5244381342</v>
      </c>
      <c r="G25" s="23">
        <f t="shared" si="2"/>
        <v>1059755.5244381342</v>
      </c>
    </row>
    <row r="26" spans="1:7" x14ac:dyDescent="0.2">
      <c r="A26">
        <v>2021</v>
      </c>
      <c r="B26" s="1" t="s">
        <v>46</v>
      </c>
      <c r="C26" s="1" t="s">
        <v>47</v>
      </c>
      <c r="D26" s="22">
        <v>62332</v>
      </c>
      <c r="E26" s="12">
        <f t="shared" si="0"/>
        <v>5.8538412334801929E-3</v>
      </c>
      <c r="F26">
        <f t="shared" si="1"/>
        <v>1047137.1101509563</v>
      </c>
      <c r="G26" s="23">
        <f t="shared" si="2"/>
        <v>1109469.1101509563</v>
      </c>
    </row>
    <row r="27" spans="1:7" x14ac:dyDescent="0.2">
      <c r="A27">
        <v>2021</v>
      </c>
      <c r="B27" s="1" t="s">
        <v>48</v>
      </c>
      <c r="C27" s="1" t="s">
        <v>49</v>
      </c>
      <c r="D27" s="22">
        <v>34635</v>
      </c>
      <c r="E27" s="12">
        <f t="shared" si="0"/>
        <v>3.2527079368797162E-3</v>
      </c>
      <c r="F27">
        <f t="shared" si="1"/>
        <v>581845.50166974217</v>
      </c>
      <c r="G27" s="23">
        <f t="shared" si="2"/>
        <v>616480.50166974217</v>
      </c>
    </row>
    <row r="28" spans="1:7" x14ac:dyDescent="0.2">
      <c r="A28">
        <v>2021</v>
      </c>
      <c r="B28" s="1" t="s">
        <v>50</v>
      </c>
      <c r="C28" s="1" t="s">
        <v>51</v>
      </c>
      <c r="D28" s="22">
        <v>1984</v>
      </c>
      <c r="E28" s="12">
        <f t="shared" si="0"/>
        <v>1.8632517819458229E-4</v>
      </c>
      <c r="F28">
        <f t="shared" si="1"/>
        <v>33329.911226007469</v>
      </c>
      <c r="G28" s="23">
        <f t="shared" si="2"/>
        <v>35313.911226007469</v>
      </c>
    </row>
    <row r="29" spans="1:7" x14ac:dyDescent="0.2">
      <c r="A29">
        <v>2021</v>
      </c>
      <c r="B29" s="1" t="s">
        <v>52</v>
      </c>
      <c r="C29" s="1" t="s">
        <v>53</v>
      </c>
      <c r="D29" s="22">
        <v>29693</v>
      </c>
      <c r="E29" s="12">
        <f t="shared" si="0"/>
        <v>2.7885854415986549E-3</v>
      </c>
      <c r="F29">
        <f t="shared" si="1"/>
        <v>498823.11191221752</v>
      </c>
      <c r="G29" s="23">
        <f t="shared" si="2"/>
        <v>528516.11191221746</v>
      </c>
    </row>
    <row r="30" spans="1:7" x14ac:dyDescent="0.2">
      <c r="A30">
        <v>2021</v>
      </c>
      <c r="B30" s="1" t="s">
        <v>54</v>
      </c>
      <c r="C30" s="1" t="s">
        <v>55</v>
      </c>
      <c r="D30" s="22"/>
      <c r="E30" s="12">
        <f t="shared" si="0"/>
        <v>0</v>
      </c>
      <c r="F30">
        <f t="shared" si="1"/>
        <v>0</v>
      </c>
      <c r="G30" s="23">
        <f t="shared" si="2"/>
        <v>0</v>
      </c>
    </row>
    <row r="31" spans="1:7" x14ac:dyDescent="0.2">
      <c r="A31">
        <v>2021</v>
      </c>
      <c r="B31" s="1" t="s">
        <v>56</v>
      </c>
      <c r="C31" s="1" t="s">
        <v>57</v>
      </c>
      <c r="D31" s="22">
        <v>9144</v>
      </c>
      <c r="E31" s="12">
        <f t="shared" si="0"/>
        <v>8.5874870434035297E-4</v>
      </c>
      <c r="F31">
        <f t="shared" si="1"/>
        <v>153613.2602069618</v>
      </c>
      <c r="G31" s="23">
        <f t="shared" si="2"/>
        <v>162757.2602069618</v>
      </c>
    </row>
    <row r="32" spans="1:7" x14ac:dyDescent="0.2">
      <c r="A32">
        <v>2021</v>
      </c>
      <c r="B32" s="1" t="s">
        <v>58</v>
      </c>
      <c r="C32" s="1" t="s">
        <v>59</v>
      </c>
      <c r="D32" s="22">
        <v>7639</v>
      </c>
      <c r="E32" s="12">
        <f t="shared" si="0"/>
        <v>7.1740828438932155E-4</v>
      </c>
      <c r="F32">
        <f t="shared" si="1"/>
        <v>128330.23783037854</v>
      </c>
      <c r="G32" s="23">
        <f t="shared" si="2"/>
        <v>135969.23783037852</v>
      </c>
    </row>
    <row r="33" spans="1:7" x14ac:dyDescent="0.2">
      <c r="A33">
        <v>2021</v>
      </c>
      <c r="B33" s="1" t="s">
        <v>60</v>
      </c>
      <c r="C33" s="1" t="s">
        <v>61</v>
      </c>
      <c r="D33" s="22">
        <v>2462</v>
      </c>
      <c r="E33" s="12">
        <f t="shared" si="0"/>
        <v>2.3121602253783346E-4</v>
      </c>
      <c r="F33">
        <f t="shared" si="1"/>
        <v>41360.000725015314</v>
      </c>
      <c r="G33" s="23">
        <f t="shared" si="2"/>
        <v>43822.000725015314</v>
      </c>
    </row>
    <row r="34" spans="1:7" x14ac:dyDescent="0.2">
      <c r="A34">
        <v>2021</v>
      </c>
      <c r="B34" s="1" t="s">
        <v>62</v>
      </c>
      <c r="C34" s="1" t="s">
        <v>63</v>
      </c>
      <c r="D34" s="22">
        <v>146108</v>
      </c>
      <c r="E34" s="12">
        <f t="shared" si="0"/>
        <v>1.3721572144986909E-2</v>
      </c>
      <c r="F34">
        <f t="shared" si="1"/>
        <v>2454519.4906297876</v>
      </c>
      <c r="G34" s="23">
        <f t="shared" si="2"/>
        <v>2600627.4906297876</v>
      </c>
    </row>
    <row r="35" spans="1:7" x14ac:dyDescent="0.2">
      <c r="A35">
        <v>2021</v>
      </c>
      <c r="B35" s="1" t="s">
        <v>64</v>
      </c>
      <c r="C35" s="1" t="s">
        <v>65</v>
      </c>
      <c r="D35" s="22">
        <v>19433</v>
      </c>
      <c r="E35" s="12">
        <f t="shared" si="0"/>
        <v>1.8250288245238494E-3</v>
      </c>
      <c r="F35">
        <f t="shared" si="1"/>
        <v>326461.77664062654</v>
      </c>
      <c r="G35" s="23">
        <f t="shared" si="2"/>
        <v>345894.77664062654</v>
      </c>
    </row>
    <row r="36" spans="1:7" x14ac:dyDescent="0.2">
      <c r="A36">
        <v>2021</v>
      </c>
      <c r="B36" s="1" t="s">
        <v>66</v>
      </c>
      <c r="C36" s="1" t="s">
        <v>67</v>
      </c>
      <c r="D36" s="22">
        <v>12131</v>
      </c>
      <c r="E36" s="12">
        <f t="shared" si="0"/>
        <v>1.1392695245355229E-3</v>
      </c>
      <c r="F36">
        <f t="shared" si="1"/>
        <v>203792.91990055269</v>
      </c>
      <c r="G36" s="23">
        <f t="shared" si="2"/>
        <v>215923.91990055269</v>
      </c>
    </row>
    <row r="37" spans="1:7" x14ac:dyDescent="0.2">
      <c r="A37">
        <v>2021</v>
      </c>
      <c r="B37" s="1" t="s">
        <v>68</v>
      </c>
      <c r="C37" s="1" t="s">
        <v>69</v>
      </c>
      <c r="D37" s="22">
        <v>50376</v>
      </c>
      <c r="E37" s="12">
        <f t="shared" si="0"/>
        <v>4.7310066414971153E-3</v>
      </c>
      <c r="F37">
        <f t="shared" si="1"/>
        <v>846284.07657326211</v>
      </c>
      <c r="G37" s="23">
        <f t="shared" si="2"/>
        <v>896660.07657326211</v>
      </c>
    </row>
    <row r="38" spans="1:7" x14ac:dyDescent="0.2">
      <c r="A38">
        <v>2021</v>
      </c>
      <c r="B38" s="1" t="s">
        <v>70</v>
      </c>
      <c r="C38" s="1" t="s">
        <v>71</v>
      </c>
      <c r="D38" s="22">
        <v>3091</v>
      </c>
      <c r="E38" s="12">
        <f t="shared" si="0"/>
        <v>2.9028786582633762E-4</v>
      </c>
      <c r="F38">
        <f t="shared" si="1"/>
        <v>51926.792136889657</v>
      </c>
      <c r="G38" s="23">
        <f t="shared" si="2"/>
        <v>55017.792136889657</v>
      </c>
    </row>
    <row r="39" spans="1:7" x14ac:dyDescent="0.2">
      <c r="A39">
        <v>2021</v>
      </c>
      <c r="B39" s="1" t="s">
        <v>72</v>
      </c>
      <c r="C39" s="1" t="s">
        <v>73</v>
      </c>
      <c r="D39" s="22">
        <v>8500</v>
      </c>
      <c r="E39" s="12">
        <f t="shared" si="0"/>
        <v>7.9826815254735353E-4</v>
      </c>
      <c r="F39">
        <f t="shared" si="1"/>
        <v>142794.47853884246</v>
      </c>
      <c r="G39" s="23">
        <f t="shared" si="2"/>
        <v>151294.47853884246</v>
      </c>
    </row>
    <row r="40" spans="1:7" x14ac:dyDescent="0.2">
      <c r="A40">
        <v>2021</v>
      </c>
      <c r="B40" s="1" t="s">
        <v>74</v>
      </c>
      <c r="C40" s="1" t="s">
        <v>75</v>
      </c>
      <c r="D40" s="22">
        <v>47795</v>
      </c>
      <c r="E40" s="12">
        <f t="shared" si="0"/>
        <v>4.4886148648236191E-3</v>
      </c>
      <c r="F40">
        <f t="shared" si="1"/>
        <v>802924.95314870297</v>
      </c>
      <c r="G40" s="23">
        <f t="shared" si="2"/>
        <v>850719.95314870297</v>
      </c>
    </row>
    <row r="41" spans="1:7" x14ac:dyDescent="0.2">
      <c r="A41">
        <v>2021</v>
      </c>
      <c r="B41" s="1" t="s">
        <v>76</v>
      </c>
      <c r="C41" s="1" t="s">
        <v>77</v>
      </c>
      <c r="D41" s="22">
        <v>22993</v>
      </c>
      <c r="E41" s="12">
        <f t="shared" si="0"/>
        <v>2.1593623095907412E-3</v>
      </c>
      <c r="F41">
        <f t="shared" si="1"/>
        <v>386267.46412277705</v>
      </c>
      <c r="G41" s="23">
        <f t="shared" si="2"/>
        <v>409260.46412277705</v>
      </c>
    </row>
    <row r="42" spans="1:7" x14ac:dyDescent="0.2">
      <c r="A42">
        <v>2021</v>
      </c>
      <c r="B42" s="1" t="s">
        <v>78</v>
      </c>
      <c r="C42" s="1" t="s">
        <v>79</v>
      </c>
      <c r="D42" s="22">
        <v>50305</v>
      </c>
      <c r="E42" s="12">
        <f t="shared" si="0"/>
        <v>4.7243387545758374E-3</v>
      </c>
      <c r="F42">
        <f t="shared" si="1"/>
        <v>845091.3226937023</v>
      </c>
      <c r="G42" s="23">
        <f t="shared" si="2"/>
        <v>895396.3226937023</v>
      </c>
    </row>
    <row r="43" spans="1:7" x14ac:dyDescent="0.2">
      <c r="A43">
        <v>2021</v>
      </c>
      <c r="B43" s="1" t="s">
        <v>80</v>
      </c>
      <c r="C43" s="1" t="s">
        <v>81</v>
      </c>
      <c r="D43" s="22">
        <v>664</v>
      </c>
      <c r="E43" s="12">
        <f t="shared" si="0"/>
        <v>6.235882979899326E-5</v>
      </c>
      <c r="F43">
        <f t="shared" si="1"/>
        <v>11154.768676446047</v>
      </c>
      <c r="G43" s="23">
        <f t="shared" si="2"/>
        <v>11818.768676446047</v>
      </c>
    </row>
    <row r="44" spans="1:7" x14ac:dyDescent="0.2">
      <c r="A44">
        <v>2021</v>
      </c>
      <c r="B44" s="1" t="s">
        <v>82</v>
      </c>
      <c r="C44" s="1" t="s">
        <v>83</v>
      </c>
      <c r="D44" s="22">
        <v>25915</v>
      </c>
      <c r="E44" s="12">
        <f t="shared" si="0"/>
        <v>2.4337787262664313E-3</v>
      </c>
      <c r="F44">
        <f t="shared" si="1"/>
        <v>435355.16603930615</v>
      </c>
      <c r="G44" s="23">
        <f t="shared" si="2"/>
        <v>461270.16603930615</v>
      </c>
    </row>
    <row r="45" spans="1:7" x14ac:dyDescent="0.2">
      <c r="A45">
        <v>2021</v>
      </c>
      <c r="B45" s="1" t="s">
        <v>84</v>
      </c>
      <c r="C45" s="1" t="s">
        <v>85</v>
      </c>
      <c r="D45" s="22">
        <v>10315</v>
      </c>
      <c r="E45" s="12">
        <f t="shared" si="0"/>
        <v>9.6872188159128844E-4</v>
      </c>
      <c r="F45">
        <f t="shared" si="1"/>
        <v>173285.29954448942</v>
      </c>
      <c r="G45" s="23">
        <f t="shared" si="2"/>
        <v>183600.29954448942</v>
      </c>
    </row>
    <row r="46" spans="1:7" x14ac:dyDescent="0.2">
      <c r="A46">
        <v>2021</v>
      </c>
      <c r="B46" s="1" t="s">
        <v>86</v>
      </c>
      <c r="C46" s="1" t="s">
        <v>87</v>
      </c>
      <c r="D46" s="22">
        <v>644364</v>
      </c>
      <c r="E46" s="12">
        <f t="shared" si="0"/>
        <v>6.0514736452708578E-2</v>
      </c>
      <c r="F46">
        <f t="shared" si="1"/>
        <v>10824896.631670905</v>
      </c>
      <c r="G46" s="23">
        <f t="shared" si="2"/>
        <v>11469260.631670905</v>
      </c>
    </row>
    <row r="47" spans="1:7" x14ac:dyDescent="0.2">
      <c r="A47">
        <v>2021</v>
      </c>
      <c r="B47" s="1" t="s">
        <v>88</v>
      </c>
      <c r="C47" s="1" t="s">
        <v>89</v>
      </c>
      <c r="D47" s="22">
        <v>21622</v>
      </c>
      <c r="E47" s="12">
        <f t="shared" si="0"/>
        <v>2.0306063522798679E-3</v>
      </c>
      <c r="F47">
        <f t="shared" si="1"/>
        <v>363235.55470198253</v>
      </c>
      <c r="G47" s="23">
        <f t="shared" si="2"/>
        <v>384857.55470198253</v>
      </c>
    </row>
    <row r="48" spans="1:7" x14ac:dyDescent="0.2">
      <c r="A48">
        <v>2021</v>
      </c>
      <c r="B48" s="1" t="s">
        <v>90</v>
      </c>
      <c r="C48" s="1" t="s">
        <v>91</v>
      </c>
      <c r="D48" s="22">
        <v>40803</v>
      </c>
      <c r="E48" s="12">
        <f t="shared" si="0"/>
        <v>3.8319688739281957E-3</v>
      </c>
      <c r="F48">
        <f t="shared" si="1"/>
        <v>685463.89503769274</v>
      </c>
      <c r="G48" s="23">
        <f t="shared" si="2"/>
        <v>726266.89503769274</v>
      </c>
    </row>
    <row r="49" spans="1:7" x14ac:dyDescent="0.2">
      <c r="A49">
        <v>2021</v>
      </c>
      <c r="B49" s="1" t="s">
        <v>632</v>
      </c>
      <c r="C49" s="1" t="s">
        <v>633</v>
      </c>
      <c r="D49" s="22">
        <v>12173</v>
      </c>
      <c r="E49" s="12">
        <f t="shared" si="0"/>
        <v>1.14321390834811E-3</v>
      </c>
      <c r="F49">
        <f t="shared" si="1"/>
        <v>204498.49261803876</v>
      </c>
      <c r="G49" s="23">
        <f t="shared" si="2"/>
        <v>216671.49261803876</v>
      </c>
    </row>
    <row r="50" spans="1:7" x14ac:dyDescent="0.2">
      <c r="A50">
        <v>2021</v>
      </c>
      <c r="B50" s="1" t="s">
        <v>92</v>
      </c>
      <c r="C50" s="1" t="s">
        <v>93</v>
      </c>
      <c r="D50" s="22"/>
      <c r="E50" s="12">
        <f t="shared" si="0"/>
        <v>0</v>
      </c>
      <c r="F50">
        <f t="shared" si="1"/>
        <v>0</v>
      </c>
      <c r="G50" s="23">
        <f t="shared" si="2"/>
        <v>0</v>
      </c>
    </row>
    <row r="51" spans="1:7" x14ac:dyDescent="0.2">
      <c r="A51">
        <v>2021</v>
      </c>
      <c r="B51" s="1" t="s">
        <v>94</v>
      </c>
      <c r="C51" s="1" t="s">
        <v>95</v>
      </c>
      <c r="D51" s="22">
        <v>27815</v>
      </c>
      <c r="E51" s="12">
        <f t="shared" si="0"/>
        <v>2.6122151368358397E-3</v>
      </c>
      <c r="F51">
        <f t="shared" si="1"/>
        <v>467273.93183034152</v>
      </c>
      <c r="G51" s="23">
        <f t="shared" si="2"/>
        <v>495088.93183034152</v>
      </c>
    </row>
    <row r="52" spans="1:7" x14ac:dyDescent="0.2">
      <c r="A52">
        <v>2021</v>
      </c>
      <c r="B52" s="1" t="s">
        <v>96</v>
      </c>
      <c r="C52" s="1" t="s">
        <v>97</v>
      </c>
      <c r="D52" s="22">
        <v>12774</v>
      </c>
      <c r="E52" s="12">
        <f t="shared" si="0"/>
        <v>1.1996561624282227E-3</v>
      </c>
      <c r="F52">
        <f t="shared" si="1"/>
        <v>214594.90221825571</v>
      </c>
      <c r="G52" s="23">
        <f t="shared" si="2"/>
        <v>227368.90221825571</v>
      </c>
    </row>
    <row r="53" spans="1:7" x14ac:dyDescent="0.2">
      <c r="A53">
        <v>2021</v>
      </c>
      <c r="B53" s="1" t="s">
        <v>487</v>
      </c>
      <c r="C53" s="1" t="s">
        <v>98</v>
      </c>
      <c r="D53" s="22">
        <v>14717</v>
      </c>
      <c r="E53" s="12">
        <f t="shared" si="0"/>
        <v>1.3821308707105179E-3</v>
      </c>
      <c r="F53">
        <f t="shared" si="1"/>
        <v>247236.04007719347</v>
      </c>
      <c r="G53" s="23">
        <f t="shared" si="2"/>
        <v>261953.04007719347</v>
      </c>
    </row>
    <row r="54" spans="1:7" x14ac:dyDescent="0.2">
      <c r="A54">
        <v>2021</v>
      </c>
      <c r="B54" s="1" t="s">
        <v>488</v>
      </c>
      <c r="C54" s="1" t="s">
        <v>99</v>
      </c>
      <c r="D54" s="22">
        <v>28848</v>
      </c>
      <c r="E54" s="12">
        <f t="shared" si="0"/>
        <v>2.7092281958454182E-3</v>
      </c>
      <c r="F54">
        <f t="shared" si="1"/>
        <v>484627.66081041499</v>
      </c>
      <c r="G54" s="23">
        <f t="shared" si="2"/>
        <v>513475.66081041499</v>
      </c>
    </row>
    <row r="55" spans="1:7" x14ac:dyDescent="0.2">
      <c r="A55">
        <v>2021</v>
      </c>
      <c r="B55" s="1" t="s">
        <v>626</v>
      </c>
      <c r="C55" s="1" t="s">
        <v>627</v>
      </c>
      <c r="D55" s="22">
        <v>514</v>
      </c>
      <c r="E55" s="12">
        <f t="shared" si="0"/>
        <v>4.8271744754039966E-5</v>
      </c>
      <c r="F55">
        <f t="shared" si="1"/>
        <v>8634.8661139958858</v>
      </c>
      <c r="G55" s="23">
        <f t="shared" si="2"/>
        <v>9148.8661139958858</v>
      </c>
    </row>
    <row r="56" spans="1:7" x14ac:dyDescent="0.2">
      <c r="A56">
        <v>2021</v>
      </c>
      <c r="B56" s="1" t="s">
        <v>489</v>
      </c>
      <c r="C56" s="1" t="s">
        <v>100</v>
      </c>
      <c r="D56" s="22"/>
      <c r="E56" s="12">
        <f t="shared" si="0"/>
        <v>0</v>
      </c>
      <c r="F56">
        <f t="shared" si="1"/>
        <v>0</v>
      </c>
      <c r="G56" s="23">
        <f t="shared" si="2"/>
        <v>0</v>
      </c>
    </row>
    <row r="57" spans="1:7" x14ac:dyDescent="0.2">
      <c r="A57">
        <v>2021</v>
      </c>
      <c r="B57" s="1" t="s">
        <v>490</v>
      </c>
      <c r="C57" s="1" t="s">
        <v>491</v>
      </c>
      <c r="D57" s="22">
        <v>10474</v>
      </c>
      <c r="E57" s="12">
        <f t="shared" si="0"/>
        <v>9.8365419173893878E-4</v>
      </c>
      <c r="F57">
        <f t="shared" si="1"/>
        <v>175956.39626068657</v>
      </c>
      <c r="G57" s="23">
        <f t="shared" si="2"/>
        <v>186430.39626068657</v>
      </c>
    </row>
    <row r="58" spans="1:7" x14ac:dyDescent="0.2">
      <c r="A58">
        <v>2021</v>
      </c>
      <c r="B58" s="1" t="s">
        <v>492</v>
      </c>
      <c r="C58" s="1" t="s">
        <v>101</v>
      </c>
      <c r="D58" s="22">
        <v>2039</v>
      </c>
      <c r="E58" s="12">
        <f t="shared" si="0"/>
        <v>1.9149044271106515E-4</v>
      </c>
      <c r="F58">
        <f t="shared" si="1"/>
        <v>34253.875498905858</v>
      </c>
      <c r="G58" s="23">
        <f t="shared" si="2"/>
        <v>36292.875498905858</v>
      </c>
    </row>
    <row r="59" spans="1:7" x14ac:dyDescent="0.2">
      <c r="A59">
        <v>2021</v>
      </c>
      <c r="B59" s="1" t="s">
        <v>493</v>
      </c>
      <c r="C59" s="1" t="s">
        <v>102</v>
      </c>
      <c r="D59" s="22">
        <v>1165383</v>
      </c>
      <c r="E59" s="12">
        <f t="shared" si="0"/>
        <v>0.10944566287295206</v>
      </c>
      <c r="F59">
        <f t="shared" si="1"/>
        <v>19577677.386239041</v>
      </c>
      <c r="G59" s="23">
        <f t="shared" si="2"/>
        <v>20743060.386239041</v>
      </c>
    </row>
    <row r="60" spans="1:7" x14ac:dyDescent="0.2">
      <c r="A60">
        <v>2021</v>
      </c>
      <c r="B60" s="1" t="s">
        <v>494</v>
      </c>
      <c r="C60" s="1" t="s">
        <v>103</v>
      </c>
      <c r="D60" s="22">
        <v>44254</v>
      </c>
      <c r="E60" s="12">
        <f t="shared" si="0"/>
        <v>4.1560657438624218E-3</v>
      </c>
      <c r="F60">
        <f t="shared" si="1"/>
        <v>743438.45332446287</v>
      </c>
      <c r="G60" s="23">
        <f t="shared" si="2"/>
        <v>787692.45332446287</v>
      </c>
    </row>
    <row r="61" spans="1:7" x14ac:dyDescent="0.2">
      <c r="A61">
        <v>2021</v>
      </c>
      <c r="B61" s="1" t="s">
        <v>495</v>
      </c>
      <c r="C61" s="1" t="s">
        <v>104</v>
      </c>
      <c r="D61" s="22">
        <v>149373</v>
      </c>
      <c r="E61" s="12">
        <f t="shared" si="0"/>
        <v>1.4028201029465392E-2</v>
      </c>
      <c r="F61">
        <f t="shared" si="1"/>
        <v>2509369.3697391194</v>
      </c>
      <c r="G61" s="23">
        <f t="shared" si="2"/>
        <v>2658742.3697391194</v>
      </c>
    </row>
    <row r="62" spans="1:7" x14ac:dyDescent="0.2">
      <c r="A62">
        <v>2021</v>
      </c>
      <c r="B62" s="1" t="s">
        <v>496</v>
      </c>
      <c r="C62" s="1" t="s">
        <v>105</v>
      </c>
      <c r="D62" s="22">
        <v>142045</v>
      </c>
      <c r="E62" s="12">
        <f t="shared" si="0"/>
        <v>1.3339999968069274E-2</v>
      </c>
      <c r="F62">
        <f t="shared" si="1"/>
        <v>2386263.7298882208</v>
      </c>
      <c r="G62" s="23">
        <f t="shared" si="2"/>
        <v>2528308.7298882208</v>
      </c>
    </row>
    <row r="63" spans="1:7" x14ac:dyDescent="0.2">
      <c r="A63">
        <v>2021</v>
      </c>
      <c r="B63" s="1" t="s">
        <v>628</v>
      </c>
      <c r="C63" s="1" t="s">
        <v>629</v>
      </c>
      <c r="D63" s="22">
        <v>16409</v>
      </c>
      <c r="E63" s="12">
        <f t="shared" si="0"/>
        <v>1.5410331900175911E-3</v>
      </c>
      <c r="F63">
        <f t="shared" si="1"/>
        <v>275660.54098163132</v>
      </c>
      <c r="G63" s="23">
        <f t="shared" si="2"/>
        <v>292069.54098163132</v>
      </c>
    </row>
    <row r="64" spans="1:7" x14ac:dyDescent="0.2">
      <c r="A64">
        <v>2021</v>
      </c>
      <c r="B64" s="1" t="s">
        <v>497</v>
      </c>
      <c r="C64" s="1" t="s">
        <v>106</v>
      </c>
      <c r="D64" s="22">
        <v>205342</v>
      </c>
      <c r="E64" s="12">
        <f t="shared" si="0"/>
        <v>1.9284468115338665E-2</v>
      </c>
      <c r="F64">
        <f t="shared" si="1"/>
        <v>3449612.2131909397</v>
      </c>
      <c r="G64" s="23">
        <f t="shared" si="2"/>
        <v>3654954.2131909397</v>
      </c>
    </row>
    <row r="65" spans="1:7" x14ac:dyDescent="0.2">
      <c r="A65">
        <v>2021</v>
      </c>
      <c r="B65" s="1" t="s">
        <v>498</v>
      </c>
      <c r="C65" s="1" t="s">
        <v>499</v>
      </c>
      <c r="D65" s="22">
        <v>9580</v>
      </c>
      <c r="E65" s="12">
        <f t="shared" si="0"/>
        <v>8.9969516487101728E-4</v>
      </c>
      <c r="F65">
        <f t="shared" si="1"/>
        <v>160937.77698848362</v>
      </c>
      <c r="G65" s="23">
        <f t="shared" si="2"/>
        <v>170517.77698848362</v>
      </c>
    </row>
    <row r="66" spans="1:7" x14ac:dyDescent="0.2">
      <c r="A66">
        <v>2021</v>
      </c>
      <c r="B66" s="1" t="s">
        <v>107</v>
      </c>
      <c r="C66" s="1" t="s">
        <v>108</v>
      </c>
      <c r="D66" s="22">
        <v>10387</v>
      </c>
      <c r="E66" s="12">
        <f t="shared" si="0"/>
        <v>9.7548368241286599E-4</v>
      </c>
      <c r="F66">
        <f t="shared" si="1"/>
        <v>174494.85277446549</v>
      </c>
      <c r="G66" s="23">
        <f t="shared" si="2"/>
        <v>184881.85277446549</v>
      </c>
    </row>
    <row r="67" spans="1:7" x14ac:dyDescent="0.2">
      <c r="A67">
        <v>2021</v>
      </c>
      <c r="B67" s="1" t="s">
        <v>500</v>
      </c>
      <c r="C67" s="1" t="s">
        <v>501</v>
      </c>
      <c r="D67" s="22">
        <v>7998</v>
      </c>
      <c r="E67" s="12">
        <f t="shared" ref="E67:E130" si="3">D67/$D$254</f>
        <v>7.5112337459690983E-4</v>
      </c>
      <c r="F67">
        <f t="shared" ref="F67:F130" si="4">E67*$D$257</f>
        <v>134361.2046298426</v>
      </c>
      <c r="G67" s="23">
        <f t="shared" ref="G67:G130" si="5">SUM(F67,D67)</f>
        <v>142359.2046298426</v>
      </c>
    </row>
    <row r="68" spans="1:7" x14ac:dyDescent="0.2">
      <c r="A68">
        <v>2021</v>
      </c>
      <c r="B68" s="1" t="s">
        <v>109</v>
      </c>
      <c r="C68" s="1" t="s">
        <v>110</v>
      </c>
      <c r="D68" s="22">
        <v>222052</v>
      </c>
      <c r="E68" s="12">
        <f t="shared" si="3"/>
        <v>2.0853769389346462E-2</v>
      </c>
      <c r="F68">
        <f t="shared" si="4"/>
        <v>3730329.3586478876</v>
      </c>
      <c r="G68" s="23">
        <f t="shared" si="5"/>
        <v>3952381.3586478876</v>
      </c>
    </row>
    <row r="69" spans="1:7" x14ac:dyDescent="0.2">
      <c r="A69">
        <v>2021</v>
      </c>
      <c r="B69" s="1" t="s">
        <v>502</v>
      </c>
      <c r="C69" s="1" t="s">
        <v>111</v>
      </c>
      <c r="D69" s="22">
        <v>39042</v>
      </c>
      <c r="E69" s="12">
        <f t="shared" si="3"/>
        <v>3.666586495500444E-3</v>
      </c>
      <c r="F69">
        <f t="shared" si="4"/>
        <v>655880.23895452789</v>
      </c>
      <c r="G69" s="23">
        <f t="shared" si="5"/>
        <v>694922.23895452789</v>
      </c>
    </row>
    <row r="70" spans="1:7" x14ac:dyDescent="0.2">
      <c r="A70">
        <v>2021</v>
      </c>
      <c r="B70" s="1" t="s">
        <v>503</v>
      </c>
      <c r="C70" s="1" t="s">
        <v>112</v>
      </c>
      <c r="D70" s="22">
        <v>21572</v>
      </c>
      <c r="E70" s="12">
        <f t="shared" si="3"/>
        <v>2.0259106572648837E-3</v>
      </c>
      <c r="F70">
        <f t="shared" si="4"/>
        <v>362395.58718116587</v>
      </c>
      <c r="G70" s="23">
        <f t="shared" si="5"/>
        <v>383967.58718116587</v>
      </c>
    </row>
    <row r="71" spans="1:7" x14ac:dyDescent="0.2">
      <c r="A71">
        <v>2021</v>
      </c>
      <c r="B71" s="1" t="s">
        <v>504</v>
      </c>
      <c r="C71" s="1" t="s">
        <v>113</v>
      </c>
      <c r="D71" s="22">
        <v>8549</v>
      </c>
      <c r="E71" s="12">
        <f t="shared" si="3"/>
        <v>8.028699336620382E-4</v>
      </c>
      <c r="F71">
        <f t="shared" si="4"/>
        <v>143617.64670924284</v>
      </c>
      <c r="G71" s="23">
        <f t="shared" si="5"/>
        <v>152166.64670924284</v>
      </c>
    </row>
    <row r="72" spans="1:7" x14ac:dyDescent="0.2">
      <c r="A72">
        <v>2021</v>
      </c>
      <c r="B72" s="1" t="s">
        <v>114</v>
      </c>
      <c r="C72" s="1" t="s">
        <v>115</v>
      </c>
      <c r="D72" s="22">
        <v>13148</v>
      </c>
      <c r="E72" s="12">
        <f t="shared" si="3"/>
        <v>1.2347799611403063E-3</v>
      </c>
      <c r="F72">
        <f t="shared" si="4"/>
        <v>220877.85927396477</v>
      </c>
      <c r="G72" s="23">
        <f t="shared" si="5"/>
        <v>234025.85927396477</v>
      </c>
    </row>
    <row r="73" spans="1:7" x14ac:dyDescent="0.2">
      <c r="A73">
        <v>2021</v>
      </c>
      <c r="B73" s="1" t="s">
        <v>505</v>
      </c>
      <c r="C73" s="1" t="s">
        <v>116</v>
      </c>
      <c r="D73" s="22">
        <v>137298</v>
      </c>
      <c r="E73" s="12">
        <f t="shared" si="3"/>
        <v>1.2894190683346652E-2</v>
      </c>
      <c r="F73">
        <f t="shared" si="4"/>
        <v>2306517.2134618815</v>
      </c>
      <c r="G73" s="23">
        <f t="shared" si="5"/>
        <v>2443815.2134618815</v>
      </c>
    </row>
    <row r="74" spans="1:7" x14ac:dyDescent="0.2">
      <c r="A74">
        <v>2021</v>
      </c>
      <c r="B74" s="1" t="s">
        <v>506</v>
      </c>
      <c r="C74" s="1" t="s">
        <v>117</v>
      </c>
      <c r="D74" s="22">
        <v>129786</v>
      </c>
      <c r="E74" s="12">
        <f t="shared" si="3"/>
        <v>1.2188709464295391E-2</v>
      </c>
      <c r="F74">
        <f t="shared" si="4"/>
        <v>2180320.4931343775</v>
      </c>
      <c r="G74" s="23">
        <f t="shared" si="5"/>
        <v>2310106.4931343775</v>
      </c>
    </row>
    <row r="75" spans="1:7" x14ac:dyDescent="0.2">
      <c r="A75">
        <v>2021</v>
      </c>
      <c r="B75" s="1" t="s">
        <v>118</v>
      </c>
      <c r="C75" s="1" t="s">
        <v>119</v>
      </c>
      <c r="D75" s="22">
        <v>41310</v>
      </c>
      <c r="E75" s="12">
        <f t="shared" si="3"/>
        <v>3.879583221380138E-3</v>
      </c>
      <c r="F75">
        <f t="shared" si="4"/>
        <v>693981.16569877439</v>
      </c>
      <c r="G75" s="23">
        <f t="shared" si="5"/>
        <v>735291.16569877439</v>
      </c>
    </row>
    <row r="76" spans="1:7" x14ac:dyDescent="0.2">
      <c r="A76">
        <v>2021</v>
      </c>
      <c r="B76" s="1" t="s">
        <v>507</v>
      </c>
      <c r="C76" s="1" t="s">
        <v>120</v>
      </c>
      <c r="D76" s="22">
        <v>91356</v>
      </c>
      <c r="E76" s="12">
        <f t="shared" si="3"/>
        <v>8.5795982757783558E-3</v>
      </c>
      <c r="F76">
        <f t="shared" si="4"/>
        <v>1534721.456634646</v>
      </c>
      <c r="G76" s="23">
        <f t="shared" si="5"/>
        <v>1626077.456634646</v>
      </c>
    </row>
    <row r="77" spans="1:7" x14ac:dyDescent="0.2">
      <c r="A77">
        <v>2021</v>
      </c>
      <c r="B77" s="1" t="s">
        <v>121</v>
      </c>
      <c r="C77" s="1" t="s">
        <v>122</v>
      </c>
      <c r="D77" s="22"/>
      <c r="E77" s="12">
        <f t="shared" si="3"/>
        <v>0</v>
      </c>
      <c r="F77">
        <f t="shared" si="4"/>
        <v>0</v>
      </c>
      <c r="G77" s="23">
        <f t="shared" si="5"/>
        <v>0</v>
      </c>
    </row>
    <row r="78" spans="1:7" x14ac:dyDescent="0.2">
      <c r="A78">
        <v>2021</v>
      </c>
      <c r="B78" s="1" t="s">
        <v>123</v>
      </c>
      <c r="C78" s="1" t="s">
        <v>124</v>
      </c>
      <c r="D78" s="22">
        <v>7903</v>
      </c>
      <c r="E78" s="12">
        <f t="shared" si="3"/>
        <v>7.4220155406843941E-4</v>
      </c>
      <c r="F78">
        <f t="shared" si="4"/>
        <v>132765.26634029084</v>
      </c>
      <c r="G78" s="23">
        <f t="shared" si="5"/>
        <v>140668.26634029084</v>
      </c>
    </row>
    <row r="79" spans="1:7" x14ac:dyDescent="0.2">
      <c r="A79">
        <v>2021</v>
      </c>
      <c r="B79" s="1" t="s">
        <v>508</v>
      </c>
      <c r="C79" s="1" t="s">
        <v>125</v>
      </c>
      <c r="D79" s="22">
        <v>139558</v>
      </c>
      <c r="E79" s="12">
        <f t="shared" si="3"/>
        <v>1.3106436098023947E-2</v>
      </c>
      <c r="F79">
        <f t="shared" si="4"/>
        <v>2344483.7454027971</v>
      </c>
      <c r="G79" s="23">
        <f t="shared" si="5"/>
        <v>2484041.7454027971</v>
      </c>
    </row>
    <row r="80" spans="1:7" x14ac:dyDescent="0.2">
      <c r="A80">
        <v>2021</v>
      </c>
      <c r="B80" s="1" t="s">
        <v>509</v>
      </c>
      <c r="C80" s="1" t="s">
        <v>126</v>
      </c>
      <c r="D80" s="22">
        <v>79519</v>
      </c>
      <c r="E80" s="12">
        <f t="shared" si="3"/>
        <v>7.4679394379309413E-3</v>
      </c>
      <c r="F80">
        <f t="shared" si="4"/>
        <v>1335867.5457564958</v>
      </c>
      <c r="G80" s="23">
        <f t="shared" si="5"/>
        <v>1415386.5457564958</v>
      </c>
    </row>
    <row r="81" spans="1:7" x14ac:dyDescent="0.2">
      <c r="A81">
        <v>2021</v>
      </c>
      <c r="B81" s="1" t="s">
        <v>127</v>
      </c>
      <c r="C81" s="1" t="s">
        <v>128</v>
      </c>
      <c r="D81" s="22"/>
      <c r="E81" s="12">
        <f t="shared" si="3"/>
        <v>0</v>
      </c>
      <c r="F81">
        <f t="shared" si="4"/>
        <v>0</v>
      </c>
      <c r="G81" s="23">
        <f t="shared" si="5"/>
        <v>0</v>
      </c>
    </row>
    <row r="82" spans="1:7" x14ac:dyDescent="0.2">
      <c r="A82">
        <v>2021</v>
      </c>
      <c r="B82" s="1" t="s">
        <v>129</v>
      </c>
      <c r="C82" s="1" t="s">
        <v>130</v>
      </c>
      <c r="D82" s="22">
        <v>18213</v>
      </c>
      <c r="E82" s="12">
        <f t="shared" si="3"/>
        <v>1.7104538661582294E-3</v>
      </c>
      <c r="F82">
        <f t="shared" si="4"/>
        <v>305966.56913269858</v>
      </c>
      <c r="G82" s="23">
        <f t="shared" si="5"/>
        <v>324179.56913269858</v>
      </c>
    </row>
    <row r="83" spans="1:7" x14ac:dyDescent="0.2">
      <c r="A83">
        <v>2021</v>
      </c>
      <c r="B83" s="1" t="s">
        <v>510</v>
      </c>
      <c r="C83" s="1" t="s">
        <v>131</v>
      </c>
      <c r="D83" s="22">
        <v>71646</v>
      </c>
      <c r="E83" s="12">
        <f t="shared" si="3"/>
        <v>6.7285553008714924E-3</v>
      </c>
      <c r="F83">
        <f t="shared" si="4"/>
        <v>1203606.2599286949</v>
      </c>
      <c r="G83" s="23">
        <f t="shared" si="5"/>
        <v>1275252.2599286949</v>
      </c>
    </row>
    <row r="84" spans="1:7" x14ac:dyDescent="0.2">
      <c r="A84">
        <v>2021</v>
      </c>
      <c r="B84" s="1" t="s">
        <v>511</v>
      </c>
      <c r="C84" s="1" t="s">
        <v>132</v>
      </c>
      <c r="D84" s="22">
        <v>82826</v>
      </c>
      <c r="E84" s="12">
        <f t="shared" si="3"/>
        <v>7.7785127062220119E-3</v>
      </c>
      <c r="F84">
        <f t="shared" si="4"/>
        <v>1391422.9975833136</v>
      </c>
      <c r="G84" s="23">
        <f t="shared" si="5"/>
        <v>1474248.9975833136</v>
      </c>
    </row>
    <row r="85" spans="1:7" x14ac:dyDescent="0.2">
      <c r="A85">
        <v>2021</v>
      </c>
      <c r="B85" s="1" t="s">
        <v>133</v>
      </c>
      <c r="C85" s="1" t="s">
        <v>134</v>
      </c>
      <c r="D85" s="22">
        <v>31273</v>
      </c>
      <c r="E85" s="12">
        <f t="shared" si="3"/>
        <v>2.9369694040721631E-3</v>
      </c>
      <c r="F85">
        <f t="shared" si="4"/>
        <v>525366.08557002596</v>
      </c>
      <c r="G85" s="23">
        <f t="shared" si="5"/>
        <v>556639.08557002596</v>
      </c>
    </row>
    <row r="86" spans="1:7" x14ac:dyDescent="0.2">
      <c r="A86">
        <v>2021</v>
      </c>
      <c r="B86" s="1" t="s">
        <v>512</v>
      </c>
      <c r="C86" s="1" t="s">
        <v>135</v>
      </c>
      <c r="D86" s="22">
        <v>89206</v>
      </c>
      <c r="E86" s="12">
        <f t="shared" si="3"/>
        <v>8.3776833901340261E-3</v>
      </c>
      <c r="F86">
        <f t="shared" si="4"/>
        <v>1498602.8532395272</v>
      </c>
      <c r="G86" s="23">
        <f t="shared" si="5"/>
        <v>1587808.8532395272</v>
      </c>
    </row>
    <row r="87" spans="1:7" x14ac:dyDescent="0.2">
      <c r="A87">
        <v>2021</v>
      </c>
      <c r="B87" s="1" t="s">
        <v>136</v>
      </c>
      <c r="C87" s="1" t="s">
        <v>137</v>
      </c>
      <c r="D87" s="22">
        <v>36953</v>
      </c>
      <c r="E87" s="12">
        <f t="shared" si="3"/>
        <v>3.4704003577743945E-3</v>
      </c>
      <c r="F87">
        <f t="shared" si="4"/>
        <v>620786.39593480539</v>
      </c>
      <c r="G87" s="23">
        <f t="shared" si="5"/>
        <v>657739.39593480539</v>
      </c>
    </row>
    <row r="88" spans="1:7" x14ac:dyDescent="0.2">
      <c r="A88">
        <v>2021</v>
      </c>
      <c r="B88" s="1" t="s">
        <v>513</v>
      </c>
      <c r="C88" s="1" t="s">
        <v>138</v>
      </c>
      <c r="D88" s="22">
        <v>26094</v>
      </c>
      <c r="E88" s="12">
        <f t="shared" si="3"/>
        <v>2.4505893144200755E-3</v>
      </c>
      <c r="F88">
        <f t="shared" si="4"/>
        <v>438362.24976382998</v>
      </c>
      <c r="G88" s="23">
        <f t="shared" si="5"/>
        <v>464456.24976382998</v>
      </c>
    </row>
    <row r="89" spans="1:7" x14ac:dyDescent="0.2">
      <c r="A89">
        <v>2021</v>
      </c>
      <c r="B89" s="1" t="s">
        <v>514</v>
      </c>
      <c r="C89" s="1" t="s">
        <v>139</v>
      </c>
      <c r="D89" s="22">
        <v>54111</v>
      </c>
      <c r="E89" s="12">
        <f t="shared" si="3"/>
        <v>5.0817750591164524E-3</v>
      </c>
      <c r="F89">
        <f t="shared" si="4"/>
        <v>909029.65037827112</v>
      </c>
      <c r="G89" s="23">
        <f t="shared" si="5"/>
        <v>963140.65037827112</v>
      </c>
    </row>
    <row r="90" spans="1:7" x14ac:dyDescent="0.2">
      <c r="A90">
        <v>2021</v>
      </c>
      <c r="B90" s="1" t="s">
        <v>140</v>
      </c>
      <c r="C90" s="1" t="s">
        <v>141</v>
      </c>
      <c r="D90" s="22">
        <v>21904</v>
      </c>
      <c r="E90" s="12">
        <f t="shared" si="3"/>
        <v>2.0570900721643801E-3</v>
      </c>
      <c r="F90">
        <f t="shared" si="4"/>
        <v>367972.97151938884</v>
      </c>
      <c r="G90" s="23">
        <f t="shared" si="5"/>
        <v>389876.97151938884</v>
      </c>
    </row>
    <row r="91" spans="1:7" x14ac:dyDescent="0.2">
      <c r="A91">
        <v>2021</v>
      </c>
      <c r="B91" s="1" t="s">
        <v>515</v>
      </c>
      <c r="C91" s="1" t="s">
        <v>142</v>
      </c>
      <c r="D91" s="22">
        <v>72420</v>
      </c>
      <c r="E91" s="12">
        <f t="shared" si="3"/>
        <v>6.8012446597034521E-3</v>
      </c>
      <c r="F91">
        <f t="shared" si="4"/>
        <v>1216608.9571509378</v>
      </c>
      <c r="G91" s="23">
        <f t="shared" si="5"/>
        <v>1289028.9571509378</v>
      </c>
    </row>
    <row r="92" spans="1:7" x14ac:dyDescent="0.2">
      <c r="A92">
        <v>2021</v>
      </c>
      <c r="B92" s="1" t="s">
        <v>516</v>
      </c>
      <c r="C92" s="1" t="s">
        <v>143</v>
      </c>
      <c r="D92" s="22">
        <v>14535</v>
      </c>
      <c r="E92" s="12">
        <f t="shared" si="3"/>
        <v>1.3650385408559744E-3</v>
      </c>
      <c r="F92">
        <f t="shared" si="4"/>
        <v>244178.55830142059</v>
      </c>
      <c r="G92" s="23">
        <f t="shared" si="5"/>
        <v>258713.55830142059</v>
      </c>
    </row>
    <row r="93" spans="1:7" x14ac:dyDescent="0.2">
      <c r="A93">
        <v>2021</v>
      </c>
      <c r="B93" s="1" t="s">
        <v>517</v>
      </c>
      <c r="C93" s="1" t="s">
        <v>144</v>
      </c>
      <c r="D93" s="22">
        <v>12707</v>
      </c>
      <c r="E93" s="12">
        <f t="shared" si="3"/>
        <v>1.1933639311081437E-3</v>
      </c>
      <c r="F93">
        <f t="shared" si="4"/>
        <v>213469.34574036131</v>
      </c>
      <c r="G93" s="23">
        <f t="shared" si="5"/>
        <v>226176.34574036131</v>
      </c>
    </row>
    <row r="94" spans="1:7" x14ac:dyDescent="0.2">
      <c r="A94">
        <v>2021</v>
      </c>
      <c r="B94" s="1" t="s">
        <v>518</v>
      </c>
      <c r="C94" s="1" t="s">
        <v>145</v>
      </c>
      <c r="D94" s="22">
        <v>96256</v>
      </c>
      <c r="E94" s="12">
        <f t="shared" si="3"/>
        <v>9.0397763872468312E-3</v>
      </c>
      <c r="F94">
        <f t="shared" si="4"/>
        <v>1617038.2736746848</v>
      </c>
      <c r="G94" s="23">
        <f t="shared" si="5"/>
        <v>1713294.2736746848</v>
      </c>
    </row>
    <row r="95" spans="1:7" x14ac:dyDescent="0.2">
      <c r="A95">
        <v>2021</v>
      </c>
      <c r="B95" s="1" t="s">
        <v>146</v>
      </c>
      <c r="C95" s="1" t="s">
        <v>147</v>
      </c>
      <c r="D95" s="22">
        <v>53701</v>
      </c>
      <c r="E95" s="12">
        <f t="shared" si="3"/>
        <v>5.04327035999358E-3</v>
      </c>
      <c r="F95">
        <f t="shared" si="4"/>
        <v>902141.91670757392</v>
      </c>
      <c r="G95" s="23">
        <f t="shared" si="5"/>
        <v>955842.91670757392</v>
      </c>
    </row>
    <row r="96" spans="1:7" x14ac:dyDescent="0.2">
      <c r="A96">
        <v>2021</v>
      </c>
      <c r="B96" s="1" t="s">
        <v>519</v>
      </c>
      <c r="C96" s="1" t="s">
        <v>148</v>
      </c>
      <c r="D96" s="22">
        <v>104912</v>
      </c>
      <c r="E96" s="12">
        <f t="shared" si="3"/>
        <v>9.8526951082409352E-3</v>
      </c>
      <c r="F96">
        <f t="shared" si="4"/>
        <v>1762453.4508784753</v>
      </c>
      <c r="G96" s="23">
        <f t="shared" si="5"/>
        <v>1867365.4508784753</v>
      </c>
    </row>
    <row r="97" spans="1:7" x14ac:dyDescent="0.2">
      <c r="A97">
        <v>2021</v>
      </c>
      <c r="B97" s="1" t="s">
        <v>520</v>
      </c>
      <c r="C97" s="1" t="s">
        <v>149</v>
      </c>
      <c r="D97" s="22">
        <v>15461</v>
      </c>
      <c r="E97" s="12">
        <f t="shared" si="3"/>
        <v>1.4520028125334862E-3</v>
      </c>
      <c r="F97">
        <f t="shared" si="4"/>
        <v>259734.75678694627</v>
      </c>
      <c r="G97" s="23">
        <f t="shared" si="5"/>
        <v>275195.75678694627</v>
      </c>
    </row>
    <row r="98" spans="1:7" x14ac:dyDescent="0.2">
      <c r="A98">
        <v>2021</v>
      </c>
      <c r="B98" s="1" t="s">
        <v>521</v>
      </c>
      <c r="C98" s="1" t="s">
        <v>150</v>
      </c>
      <c r="D98" s="22">
        <v>47332</v>
      </c>
      <c r="E98" s="12">
        <f t="shared" si="3"/>
        <v>4.445132728984863E-3</v>
      </c>
      <c r="F98">
        <f t="shared" si="4"/>
        <v>795146.8539059402</v>
      </c>
      <c r="G98" s="23">
        <f t="shared" si="5"/>
        <v>842478.8539059402</v>
      </c>
    </row>
    <row r="99" spans="1:7" x14ac:dyDescent="0.2">
      <c r="A99">
        <v>2021</v>
      </c>
      <c r="B99" s="1" t="s">
        <v>151</v>
      </c>
      <c r="C99" s="1" t="s">
        <v>152</v>
      </c>
      <c r="D99" s="22">
        <v>20567</v>
      </c>
      <c r="E99" s="12">
        <f t="shared" si="3"/>
        <v>1.9315271874636964E-3</v>
      </c>
      <c r="F99">
        <f t="shared" si="4"/>
        <v>345512.24001274974</v>
      </c>
      <c r="G99" s="23">
        <f t="shared" si="5"/>
        <v>366079.24001274974</v>
      </c>
    </row>
    <row r="100" spans="1:7" x14ac:dyDescent="0.2">
      <c r="A100">
        <v>2021</v>
      </c>
      <c r="B100" s="1" t="s">
        <v>522</v>
      </c>
      <c r="C100" s="1" t="s">
        <v>153</v>
      </c>
      <c r="D100" s="22">
        <v>90706</v>
      </c>
      <c r="E100" s="12">
        <f t="shared" si="3"/>
        <v>8.5185542405835576E-3</v>
      </c>
      <c r="F100">
        <f t="shared" si="4"/>
        <v>1523801.8788640285</v>
      </c>
      <c r="G100" s="23">
        <f t="shared" si="5"/>
        <v>1614507.8788640285</v>
      </c>
    </row>
    <row r="101" spans="1:7" x14ac:dyDescent="0.2">
      <c r="A101">
        <v>2021</v>
      </c>
      <c r="B101" s="1" t="s">
        <v>523</v>
      </c>
      <c r="C101" s="1" t="s">
        <v>154</v>
      </c>
      <c r="D101" s="22">
        <v>97487</v>
      </c>
      <c r="E101" s="12">
        <f t="shared" si="3"/>
        <v>9.1553843985157472E-3</v>
      </c>
      <c r="F101">
        <f t="shared" si="4"/>
        <v>1637718.2740371923</v>
      </c>
      <c r="G101" s="23">
        <f t="shared" si="5"/>
        <v>1735205.2740371923</v>
      </c>
    </row>
    <row r="102" spans="1:7" x14ac:dyDescent="0.2">
      <c r="A102">
        <v>2021</v>
      </c>
      <c r="B102" s="1" t="s">
        <v>524</v>
      </c>
      <c r="C102" s="1" t="s">
        <v>155</v>
      </c>
      <c r="D102" s="22">
        <v>38987</v>
      </c>
      <c r="E102" s="12">
        <f t="shared" si="3"/>
        <v>3.6614212309839613E-3</v>
      </c>
      <c r="F102">
        <f t="shared" si="4"/>
        <v>654956.2746816295</v>
      </c>
      <c r="G102" s="23">
        <f t="shared" si="5"/>
        <v>693943.2746816295</v>
      </c>
    </row>
    <row r="103" spans="1:7" x14ac:dyDescent="0.2">
      <c r="A103">
        <v>2021</v>
      </c>
      <c r="B103" s="1" t="s">
        <v>525</v>
      </c>
      <c r="C103" s="1" t="s">
        <v>156</v>
      </c>
      <c r="D103" s="22">
        <v>43065</v>
      </c>
      <c r="E103" s="12">
        <f t="shared" si="3"/>
        <v>4.0444021164060913E-3</v>
      </c>
      <c r="F103">
        <f t="shared" si="4"/>
        <v>723464.02567944117</v>
      </c>
      <c r="G103" s="23">
        <f t="shared" si="5"/>
        <v>766529.02567944117</v>
      </c>
    </row>
    <row r="104" spans="1:7" x14ac:dyDescent="0.2">
      <c r="A104">
        <v>2021</v>
      </c>
      <c r="B104" s="1" t="s">
        <v>526</v>
      </c>
      <c r="C104" s="1" t="s">
        <v>157</v>
      </c>
      <c r="D104" s="22">
        <v>266257</v>
      </c>
      <c r="E104" s="12">
        <f t="shared" si="3"/>
        <v>2.5005233352094199E-2</v>
      </c>
      <c r="F104">
        <f t="shared" si="4"/>
        <v>4472944.6438019499</v>
      </c>
      <c r="G104" s="23">
        <f t="shared" si="5"/>
        <v>4739201.6438019499</v>
      </c>
    </row>
    <row r="105" spans="1:7" x14ac:dyDescent="0.2">
      <c r="A105">
        <v>2021</v>
      </c>
      <c r="B105" s="1" t="s">
        <v>527</v>
      </c>
      <c r="C105" s="1" t="s">
        <v>158</v>
      </c>
      <c r="D105" s="22">
        <v>41968</v>
      </c>
      <c r="E105" s="12">
        <f t="shared" si="3"/>
        <v>3.9413785677773336E-3</v>
      </c>
      <c r="F105">
        <f t="shared" si="4"/>
        <v>705035.13827272248</v>
      </c>
      <c r="G105" s="23">
        <f t="shared" si="5"/>
        <v>747003.13827272248</v>
      </c>
    </row>
    <row r="106" spans="1:7" x14ac:dyDescent="0.2">
      <c r="A106">
        <v>2021</v>
      </c>
      <c r="B106" s="1" t="s">
        <v>528</v>
      </c>
      <c r="C106" s="1" t="s">
        <v>159</v>
      </c>
      <c r="D106" s="22">
        <v>67231</v>
      </c>
      <c r="E106" s="12">
        <f t="shared" si="3"/>
        <v>6.3139254310483678E-3</v>
      </c>
      <c r="F106">
        <f t="shared" si="4"/>
        <v>1129437.1278405786</v>
      </c>
      <c r="G106" s="23">
        <f t="shared" si="5"/>
        <v>1196668.1278405786</v>
      </c>
    </row>
    <row r="107" spans="1:7" x14ac:dyDescent="0.2">
      <c r="A107">
        <v>2021</v>
      </c>
      <c r="B107" s="1" t="s">
        <v>160</v>
      </c>
      <c r="C107" s="1" t="s">
        <v>161</v>
      </c>
      <c r="D107" s="22">
        <v>25746</v>
      </c>
      <c r="E107" s="12">
        <f t="shared" si="3"/>
        <v>2.4179072771157838E-3</v>
      </c>
      <c r="F107">
        <f t="shared" si="4"/>
        <v>432516.07581894565</v>
      </c>
      <c r="G107" s="23">
        <f t="shared" si="5"/>
        <v>458262.07581894565</v>
      </c>
    </row>
    <row r="108" spans="1:7" x14ac:dyDescent="0.2">
      <c r="A108">
        <v>2021</v>
      </c>
      <c r="B108" s="1" t="s">
        <v>162</v>
      </c>
      <c r="C108" s="1" t="s">
        <v>163</v>
      </c>
      <c r="D108" s="22">
        <v>62680</v>
      </c>
      <c r="E108" s="12">
        <f t="shared" si="3"/>
        <v>5.8865232707844845E-3</v>
      </c>
      <c r="F108">
        <f t="shared" si="4"/>
        <v>1052983.2840958408</v>
      </c>
      <c r="G108" s="23">
        <f t="shared" si="5"/>
        <v>1115663.2840958408</v>
      </c>
    </row>
    <row r="109" spans="1:7" x14ac:dyDescent="0.2">
      <c r="A109">
        <v>2021</v>
      </c>
      <c r="B109" s="1" t="s">
        <v>529</v>
      </c>
      <c r="C109" s="1" t="s">
        <v>164</v>
      </c>
      <c r="D109" s="22">
        <v>156481</v>
      </c>
      <c r="E109" s="12">
        <f t="shared" si="3"/>
        <v>1.4695741032795579E-2</v>
      </c>
      <c r="F109">
        <f t="shared" si="4"/>
        <v>2628779.1524984241</v>
      </c>
      <c r="G109" s="23">
        <f t="shared" si="5"/>
        <v>2785260.1524984241</v>
      </c>
    </row>
    <row r="110" spans="1:7" x14ac:dyDescent="0.2">
      <c r="A110">
        <v>2021</v>
      </c>
      <c r="B110" s="1" t="s">
        <v>530</v>
      </c>
      <c r="C110" s="1" t="s">
        <v>165</v>
      </c>
      <c r="D110" s="22">
        <v>109293</v>
      </c>
      <c r="E110" s="12">
        <f t="shared" si="3"/>
        <v>1.0264131905453871E-2</v>
      </c>
      <c r="F110">
        <f t="shared" si="4"/>
        <v>1836051.4050524363</v>
      </c>
      <c r="G110" s="23">
        <f t="shared" si="5"/>
        <v>1945344.4050524363</v>
      </c>
    </row>
    <row r="111" spans="1:7" x14ac:dyDescent="0.2">
      <c r="A111">
        <v>2021</v>
      </c>
      <c r="B111" s="1" t="s">
        <v>531</v>
      </c>
      <c r="C111" s="1" t="s">
        <v>166</v>
      </c>
      <c r="D111" s="22">
        <v>53632</v>
      </c>
      <c r="E111" s="12">
        <f t="shared" si="3"/>
        <v>5.0367903008729014E-3</v>
      </c>
      <c r="F111">
        <f t="shared" si="4"/>
        <v>900982.76152884692</v>
      </c>
      <c r="G111" s="23">
        <f t="shared" si="5"/>
        <v>954614.76152884692</v>
      </c>
    </row>
    <row r="112" spans="1:7" x14ac:dyDescent="0.2">
      <c r="A112">
        <v>2021</v>
      </c>
      <c r="B112" s="1" t="s">
        <v>167</v>
      </c>
      <c r="C112" s="1" t="s">
        <v>168</v>
      </c>
      <c r="D112" s="22"/>
      <c r="E112" s="12">
        <f t="shared" si="3"/>
        <v>0</v>
      </c>
      <c r="F112">
        <f t="shared" si="4"/>
        <v>0</v>
      </c>
      <c r="G112" s="23">
        <f t="shared" si="5"/>
        <v>0</v>
      </c>
    </row>
    <row r="113" spans="1:7" x14ac:dyDescent="0.2">
      <c r="A113">
        <v>2021</v>
      </c>
      <c r="B113" s="1" t="s">
        <v>532</v>
      </c>
      <c r="C113" s="1" t="s">
        <v>169</v>
      </c>
      <c r="D113" s="22">
        <v>50206</v>
      </c>
      <c r="E113" s="12">
        <f t="shared" si="3"/>
        <v>4.7150412784461686E-3</v>
      </c>
      <c r="F113">
        <f t="shared" si="4"/>
        <v>843428.18700248527</v>
      </c>
      <c r="G113" s="23">
        <f t="shared" si="5"/>
        <v>893634.18700248527</v>
      </c>
    </row>
    <row r="114" spans="1:7" x14ac:dyDescent="0.2">
      <c r="A114">
        <v>2021</v>
      </c>
      <c r="B114" s="1" t="s">
        <v>533</v>
      </c>
      <c r="C114" s="1" t="s">
        <v>170</v>
      </c>
      <c r="D114" s="22">
        <v>51813</v>
      </c>
      <c r="E114" s="12">
        <f t="shared" si="3"/>
        <v>4.865960916227768E-3</v>
      </c>
      <c r="F114">
        <f t="shared" si="4"/>
        <v>870424.7431215347</v>
      </c>
      <c r="G114" s="23">
        <f t="shared" si="5"/>
        <v>922237.7431215347</v>
      </c>
    </row>
    <row r="115" spans="1:7" x14ac:dyDescent="0.2">
      <c r="A115">
        <v>2021</v>
      </c>
      <c r="B115" s="1" t="s">
        <v>534</v>
      </c>
      <c r="C115" s="1" t="s">
        <v>171</v>
      </c>
      <c r="D115" s="22">
        <v>22590</v>
      </c>
      <c r="E115" s="12">
        <f t="shared" si="3"/>
        <v>2.1215150077699666E-3</v>
      </c>
      <c r="F115">
        <f t="shared" si="4"/>
        <v>379497.32590499427</v>
      </c>
      <c r="G115" s="23">
        <f t="shared" si="5"/>
        <v>402087.32590499427</v>
      </c>
    </row>
    <row r="116" spans="1:7" x14ac:dyDescent="0.2">
      <c r="A116">
        <v>2021</v>
      </c>
      <c r="B116" s="1" t="s">
        <v>535</v>
      </c>
      <c r="C116" s="1" t="s">
        <v>172</v>
      </c>
      <c r="D116" s="22">
        <v>62963</v>
      </c>
      <c r="E116" s="12">
        <f t="shared" si="3"/>
        <v>5.9131009045692963E-3</v>
      </c>
      <c r="F116">
        <f t="shared" si="4"/>
        <v>1057737.5002636632</v>
      </c>
      <c r="G116" s="23">
        <f t="shared" si="5"/>
        <v>1120700.5002636632</v>
      </c>
    </row>
    <row r="117" spans="1:7" x14ac:dyDescent="0.2">
      <c r="A117">
        <v>2021</v>
      </c>
      <c r="B117" s="1" t="s">
        <v>536</v>
      </c>
      <c r="C117" s="1" t="s">
        <v>173</v>
      </c>
      <c r="D117" s="22">
        <v>111720</v>
      </c>
      <c r="E117" s="12">
        <f t="shared" si="3"/>
        <v>1.0492060941481215E-2</v>
      </c>
      <c r="F117">
        <f t="shared" si="4"/>
        <v>1876823.4285128799</v>
      </c>
      <c r="G117" s="23">
        <f t="shared" si="5"/>
        <v>1988543.4285128799</v>
      </c>
    </row>
    <row r="118" spans="1:7" x14ac:dyDescent="0.2">
      <c r="A118">
        <v>2021</v>
      </c>
      <c r="B118" s="1" t="s">
        <v>537</v>
      </c>
      <c r="C118" s="1" t="s">
        <v>174</v>
      </c>
      <c r="D118" s="22">
        <v>38623</v>
      </c>
      <c r="E118" s="12">
        <f t="shared" si="3"/>
        <v>3.6272365712748745E-3</v>
      </c>
      <c r="F118">
        <f t="shared" si="4"/>
        <v>648841.31113008375</v>
      </c>
      <c r="G118" s="23">
        <f t="shared" si="5"/>
        <v>687464.31113008375</v>
      </c>
    </row>
    <row r="119" spans="1:7" x14ac:dyDescent="0.2">
      <c r="A119">
        <v>2021</v>
      </c>
      <c r="B119" s="1" t="s">
        <v>175</v>
      </c>
      <c r="C119" s="1" t="s">
        <v>176</v>
      </c>
      <c r="D119" s="22">
        <v>44510</v>
      </c>
      <c r="E119" s="12">
        <f t="shared" si="3"/>
        <v>4.1801077023391415E-3</v>
      </c>
      <c r="F119">
        <f t="shared" si="4"/>
        <v>747739.08703104442</v>
      </c>
      <c r="G119" s="23">
        <f t="shared" si="5"/>
        <v>792249.08703104442</v>
      </c>
    </row>
    <row r="120" spans="1:7" x14ac:dyDescent="0.2">
      <c r="A120">
        <v>2021</v>
      </c>
      <c r="B120" s="1" t="s">
        <v>538</v>
      </c>
      <c r="C120" s="1" t="s">
        <v>177</v>
      </c>
      <c r="D120" s="22">
        <v>36290</v>
      </c>
      <c r="E120" s="12">
        <f t="shared" si="3"/>
        <v>3.408135441875701E-3</v>
      </c>
      <c r="F120">
        <f t="shared" si="4"/>
        <v>609648.42660877563</v>
      </c>
      <c r="G120" s="23">
        <f t="shared" si="5"/>
        <v>645938.42660877563</v>
      </c>
    </row>
    <row r="121" spans="1:7" x14ac:dyDescent="0.2">
      <c r="A121">
        <v>2021</v>
      </c>
      <c r="B121" s="1" t="s">
        <v>539</v>
      </c>
      <c r="C121" s="1" t="s">
        <v>178</v>
      </c>
      <c r="D121" s="22">
        <v>13431</v>
      </c>
      <c r="E121" s="12">
        <f t="shared" si="3"/>
        <v>1.2613575949251181E-3</v>
      </c>
      <c r="F121">
        <f t="shared" si="4"/>
        <v>225632.0754417874</v>
      </c>
      <c r="G121" s="23">
        <f t="shared" si="5"/>
        <v>239063.0754417874</v>
      </c>
    </row>
    <row r="122" spans="1:7" x14ac:dyDescent="0.2">
      <c r="A122">
        <v>2021</v>
      </c>
      <c r="B122" s="1" t="s">
        <v>540</v>
      </c>
      <c r="C122" s="1" t="s">
        <v>179</v>
      </c>
      <c r="D122" s="22"/>
      <c r="E122" s="12">
        <f t="shared" si="3"/>
        <v>0</v>
      </c>
      <c r="F122">
        <f t="shared" si="4"/>
        <v>0</v>
      </c>
      <c r="G122" s="23">
        <f t="shared" si="5"/>
        <v>0</v>
      </c>
    </row>
    <row r="123" spans="1:7" x14ac:dyDescent="0.2">
      <c r="A123">
        <v>2021</v>
      </c>
      <c r="B123" s="1" t="s">
        <v>180</v>
      </c>
      <c r="C123" s="1" t="s">
        <v>181</v>
      </c>
      <c r="D123" s="22"/>
      <c r="E123" s="12">
        <f t="shared" si="3"/>
        <v>0</v>
      </c>
      <c r="F123">
        <f t="shared" si="4"/>
        <v>0</v>
      </c>
      <c r="G123" s="23">
        <f t="shared" si="5"/>
        <v>0</v>
      </c>
    </row>
    <row r="124" spans="1:7" x14ac:dyDescent="0.2">
      <c r="A124">
        <v>2021</v>
      </c>
      <c r="B124" s="1" t="s">
        <v>541</v>
      </c>
      <c r="C124" s="1" t="s">
        <v>182</v>
      </c>
      <c r="D124" s="22">
        <v>9744</v>
      </c>
      <c r="E124" s="12">
        <f t="shared" si="3"/>
        <v>9.1509704452016622E-4</v>
      </c>
      <c r="F124">
        <f t="shared" si="4"/>
        <v>163692.87045676247</v>
      </c>
      <c r="G124" s="23">
        <f t="shared" si="5"/>
        <v>173436.87045676247</v>
      </c>
    </row>
    <row r="125" spans="1:7" x14ac:dyDescent="0.2">
      <c r="A125">
        <v>2021</v>
      </c>
      <c r="B125" s="1" t="s">
        <v>542</v>
      </c>
      <c r="C125" s="1" t="s">
        <v>183</v>
      </c>
      <c r="D125" s="22">
        <v>758</v>
      </c>
      <c r="E125" s="12">
        <f t="shared" si="3"/>
        <v>7.1186736427163993E-5</v>
      </c>
      <c r="F125">
        <f t="shared" si="4"/>
        <v>12733.90761558148</v>
      </c>
      <c r="G125" s="23">
        <f t="shared" si="5"/>
        <v>13491.90761558148</v>
      </c>
    </row>
    <row r="126" spans="1:7" x14ac:dyDescent="0.2">
      <c r="A126">
        <v>2021</v>
      </c>
      <c r="B126" s="1" t="s">
        <v>543</v>
      </c>
      <c r="C126" s="1" t="s">
        <v>184</v>
      </c>
      <c r="D126" s="22"/>
      <c r="E126" s="12">
        <f t="shared" si="3"/>
        <v>0</v>
      </c>
      <c r="F126">
        <f t="shared" si="4"/>
        <v>0</v>
      </c>
      <c r="G126" s="23">
        <f t="shared" si="5"/>
        <v>0</v>
      </c>
    </row>
    <row r="127" spans="1:7" x14ac:dyDescent="0.2">
      <c r="A127">
        <v>2021</v>
      </c>
      <c r="B127" s="1" t="s">
        <v>544</v>
      </c>
      <c r="C127" s="1" t="s">
        <v>185</v>
      </c>
      <c r="D127" s="22">
        <v>1479</v>
      </c>
      <c r="E127" s="12">
        <f t="shared" si="3"/>
        <v>1.3889865854323951E-4</v>
      </c>
      <c r="F127">
        <f t="shared" si="4"/>
        <v>24846.239265758588</v>
      </c>
      <c r="G127" s="23">
        <f t="shared" si="5"/>
        <v>26325.239265758588</v>
      </c>
    </row>
    <row r="128" spans="1:7" x14ac:dyDescent="0.2">
      <c r="A128">
        <v>2021</v>
      </c>
      <c r="B128" s="1" t="s">
        <v>545</v>
      </c>
      <c r="C128" s="1" t="s">
        <v>186</v>
      </c>
      <c r="D128" s="22"/>
      <c r="E128" s="12">
        <f t="shared" si="3"/>
        <v>0</v>
      </c>
      <c r="F128">
        <f t="shared" si="4"/>
        <v>0</v>
      </c>
      <c r="G128" s="23">
        <f t="shared" si="5"/>
        <v>0</v>
      </c>
    </row>
    <row r="129" spans="1:7" x14ac:dyDescent="0.2">
      <c r="A129">
        <v>2021</v>
      </c>
      <c r="B129" s="1" t="s">
        <v>546</v>
      </c>
      <c r="C129" s="1" t="s">
        <v>187</v>
      </c>
      <c r="D129" s="22">
        <v>992</v>
      </c>
      <c r="E129" s="12">
        <f t="shared" si="3"/>
        <v>9.3162589097291144E-5</v>
      </c>
      <c r="F129">
        <f t="shared" si="4"/>
        <v>16664.955613003734</v>
      </c>
      <c r="G129" s="23">
        <f t="shared" si="5"/>
        <v>17656.955613003734</v>
      </c>
    </row>
    <row r="130" spans="1:7" x14ac:dyDescent="0.2">
      <c r="A130">
        <v>2021</v>
      </c>
      <c r="B130" s="1" t="s">
        <v>547</v>
      </c>
      <c r="C130" s="1" t="s">
        <v>188</v>
      </c>
      <c r="D130" s="22">
        <v>152465</v>
      </c>
      <c r="E130" s="12">
        <f t="shared" si="3"/>
        <v>1.4318582809192029E-2</v>
      </c>
      <c r="F130">
        <f t="shared" si="4"/>
        <v>2561312.9612264251</v>
      </c>
      <c r="G130" s="23">
        <f t="shared" si="5"/>
        <v>2713777.9612264251</v>
      </c>
    </row>
    <row r="131" spans="1:7" x14ac:dyDescent="0.2">
      <c r="A131">
        <v>2021</v>
      </c>
      <c r="B131" s="1" t="s">
        <v>548</v>
      </c>
      <c r="C131" s="1" t="s">
        <v>189</v>
      </c>
      <c r="D131" s="22">
        <v>72230</v>
      </c>
      <c r="E131" s="12">
        <f t="shared" ref="E131:E194" si="6">D131/$D$254</f>
        <v>6.7834010186465111E-3</v>
      </c>
      <c r="F131">
        <f t="shared" ref="F131:F194" si="7">E131*$D$257</f>
        <v>1213417.0805718342</v>
      </c>
      <c r="G131" s="23">
        <f t="shared" ref="G131:G194" si="8">SUM(F131,D131)</f>
        <v>1285647.0805718342</v>
      </c>
    </row>
    <row r="132" spans="1:7" x14ac:dyDescent="0.2">
      <c r="A132">
        <v>2021</v>
      </c>
      <c r="B132" s="1" t="s">
        <v>549</v>
      </c>
      <c r="C132" s="1" t="s">
        <v>190</v>
      </c>
      <c r="D132" s="22">
        <v>67446</v>
      </c>
      <c r="E132" s="12">
        <f t="shared" si="6"/>
        <v>6.3341169196128007E-3</v>
      </c>
      <c r="F132">
        <f t="shared" si="7"/>
        <v>1133048.9881800904</v>
      </c>
      <c r="G132" s="23">
        <f t="shared" si="8"/>
        <v>1200494.9881800904</v>
      </c>
    </row>
    <row r="133" spans="1:7" x14ac:dyDescent="0.2">
      <c r="A133">
        <v>2021</v>
      </c>
      <c r="B133" s="1" t="s">
        <v>550</v>
      </c>
      <c r="C133" s="1" t="s">
        <v>191</v>
      </c>
      <c r="D133" s="22">
        <v>19873</v>
      </c>
      <c r="E133" s="12">
        <f t="shared" si="6"/>
        <v>1.8663509406557125E-3</v>
      </c>
      <c r="F133">
        <f t="shared" si="7"/>
        <v>333853.49082381366</v>
      </c>
      <c r="G133" s="23">
        <f t="shared" si="8"/>
        <v>353726.49082381366</v>
      </c>
    </row>
    <row r="134" spans="1:7" x14ac:dyDescent="0.2">
      <c r="A134">
        <v>2021</v>
      </c>
      <c r="B134" s="1" t="s">
        <v>551</v>
      </c>
      <c r="C134" s="1" t="s">
        <v>192</v>
      </c>
      <c r="D134" s="22">
        <v>205981</v>
      </c>
      <c r="E134" s="12">
        <f t="shared" si="6"/>
        <v>1.9344479097630166E-2</v>
      </c>
      <c r="F134">
        <f t="shared" si="7"/>
        <v>3460346.9981069774</v>
      </c>
      <c r="G134" s="23">
        <f t="shared" si="8"/>
        <v>3666327.9981069774</v>
      </c>
    </row>
    <row r="135" spans="1:7" x14ac:dyDescent="0.2">
      <c r="A135">
        <v>2021</v>
      </c>
      <c r="B135" s="1" t="s">
        <v>552</v>
      </c>
      <c r="C135" s="1" t="s">
        <v>193</v>
      </c>
      <c r="D135" s="22">
        <v>75401</v>
      </c>
      <c r="E135" s="12">
        <f t="shared" si="6"/>
        <v>7.0812019964968239E-3</v>
      </c>
      <c r="F135">
        <f t="shared" si="7"/>
        <v>1266687.8207420306</v>
      </c>
      <c r="G135" s="23">
        <f t="shared" si="8"/>
        <v>1342088.8207420306</v>
      </c>
    </row>
    <row r="136" spans="1:7" x14ac:dyDescent="0.2">
      <c r="A136">
        <v>2021</v>
      </c>
      <c r="B136" s="1" t="s">
        <v>553</v>
      </c>
      <c r="C136" s="1" t="s">
        <v>194</v>
      </c>
      <c r="D136" s="22">
        <v>87671</v>
      </c>
      <c r="E136" s="12">
        <f t="shared" si="6"/>
        <v>8.2335255531740034E-3</v>
      </c>
      <c r="F136">
        <f t="shared" si="7"/>
        <v>1472815.8503504538</v>
      </c>
      <c r="G136" s="23">
        <f t="shared" si="8"/>
        <v>1560486.8503504538</v>
      </c>
    </row>
    <row r="137" spans="1:7" x14ac:dyDescent="0.2">
      <c r="A137">
        <v>2021</v>
      </c>
      <c r="B137" s="1" t="s">
        <v>554</v>
      </c>
      <c r="C137" s="1" t="s">
        <v>195</v>
      </c>
      <c r="D137" s="22">
        <v>89878</v>
      </c>
      <c r="E137" s="12">
        <f t="shared" si="6"/>
        <v>8.4407935311354154E-3</v>
      </c>
      <c r="F137">
        <f t="shared" si="7"/>
        <v>1509892.0167193038</v>
      </c>
      <c r="G137" s="23">
        <f t="shared" si="8"/>
        <v>1599770.0167193038</v>
      </c>
    </row>
    <row r="138" spans="1:7" x14ac:dyDescent="0.2">
      <c r="A138">
        <v>2021</v>
      </c>
      <c r="B138" s="1" t="s">
        <v>555</v>
      </c>
      <c r="C138" s="1" t="s">
        <v>196</v>
      </c>
      <c r="D138" s="22">
        <v>91107</v>
      </c>
      <c r="E138" s="12">
        <f t="shared" si="6"/>
        <v>8.5562137146037338E-3</v>
      </c>
      <c r="F138">
        <f t="shared" si="7"/>
        <v>1530538.418380979</v>
      </c>
      <c r="G138" s="23">
        <f t="shared" si="8"/>
        <v>1621645.418380979</v>
      </c>
    </row>
    <row r="139" spans="1:7" x14ac:dyDescent="0.2">
      <c r="A139">
        <v>2021</v>
      </c>
      <c r="B139" s="1" t="s">
        <v>556</v>
      </c>
      <c r="C139" s="1" t="s">
        <v>197</v>
      </c>
      <c r="D139" s="22">
        <v>119795</v>
      </c>
      <c r="E139" s="12">
        <f t="shared" si="6"/>
        <v>1.1250415686401201E-2</v>
      </c>
      <c r="F139">
        <f t="shared" si="7"/>
        <v>2012478.1831247802</v>
      </c>
      <c r="G139" s="23">
        <f t="shared" si="8"/>
        <v>2132273.1831247802</v>
      </c>
    </row>
    <row r="140" spans="1:7" x14ac:dyDescent="0.2">
      <c r="A140">
        <v>2021</v>
      </c>
      <c r="B140" s="1" t="s">
        <v>557</v>
      </c>
      <c r="C140" s="1" t="s">
        <v>198</v>
      </c>
      <c r="D140" s="22">
        <v>119441</v>
      </c>
      <c r="E140" s="12">
        <f t="shared" si="6"/>
        <v>1.1217170165695112E-2</v>
      </c>
      <c r="F140">
        <f t="shared" si="7"/>
        <v>2006531.213077398</v>
      </c>
      <c r="G140" s="23">
        <f t="shared" si="8"/>
        <v>2125972.213077398</v>
      </c>
    </row>
    <row r="141" spans="1:7" x14ac:dyDescent="0.2">
      <c r="A141">
        <v>2021</v>
      </c>
      <c r="B141" s="1" t="s">
        <v>558</v>
      </c>
      <c r="C141" s="1" t="s">
        <v>199</v>
      </c>
      <c r="D141" s="22">
        <v>31965</v>
      </c>
      <c r="E141" s="12">
        <f t="shared" si="6"/>
        <v>3.0019578230795476E-3</v>
      </c>
      <c r="F141">
        <f t="shared" si="7"/>
        <v>536991.23605812935</v>
      </c>
      <c r="G141" s="23">
        <f t="shared" si="8"/>
        <v>568956.23605812935</v>
      </c>
    </row>
    <row r="142" spans="1:7" x14ac:dyDescent="0.2">
      <c r="A142">
        <v>2021</v>
      </c>
      <c r="B142" s="1" t="s">
        <v>559</v>
      </c>
      <c r="C142" s="1" t="s">
        <v>200</v>
      </c>
      <c r="D142" s="22">
        <v>110610</v>
      </c>
      <c r="E142" s="12">
        <f t="shared" si="6"/>
        <v>1.0387816512148561E-2</v>
      </c>
      <c r="F142">
        <f t="shared" si="7"/>
        <v>1858176.1495507488</v>
      </c>
      <c r="G142" s="23">
        <f t="shared" si="8"/>
        <v>1968786.1495507488</v>
      </c>
    </row>
    <row r="143" spans="1:7" x14ac:dyDescent="0.2">
      <c r="A143">
        <v>2021</v>
      </c>
      <c r="B143" s="1" t="s">
        <v>560</v>
      </c>
      <c r="C143" s="1" t="s">
        <v>201</v>
      </c>
      <c r="D143" s="22">
        <v>66514</v>
      </c>
      <c r="E143" s="12">
        <f t="shared" si="6"/>
        <v>6.2465891645334904E-3</v>
      </c>
      <c r="F143">
        <f t="shared" si="7"/>
        <v>1117391.9935920667</v>
      </c>
      <c r="G143" s="23">
        <f t="shared" si="8"/>
        <v>1183905.9935920667</v>
      </c>
    </row>
    <row r="144" spans="1:7" x14ac:dyDescent="0.2">
      <c r="A144">
        <v>2021</v>
      </c>
      <c r="B144" s="1" t="s">
        <v>561</v>
      </c>
      <c r="C144" s="1" t="s">
        <v>202</v>
      </c>
      <c r="D144" s="22">
        <v>71927</v>
      </c>
      <c r="E144" s="12">
        <f t="shared" si="6"/>
        <v>6.7549451068557058E-3</v>
      </c>
      <c r="F144">
        <f t="shared" si="7"/>
        <v>1208326.8773956851</v>
      </c>
      <c r="G144" s="23">
        <f t="shared" si="8"/>
        <v>1280253.8773956851</v>
      </c>
    </row>
    <row r="145" spans="1:7" x14ac:dyDescent="0.2">
      <c r="A145">
        <v>2021</v>
      </c>
      <c r="B145" s="1" t="s">
        <v>562</v>
      </c>
      <c r="C145" s="1" t="s">
        <v>203</v>
      </c>
      <c r="D145" s="22">
        <v>90080</v>
      </c>
      <c r="E145" s="12">
        <f t="shared" si="6"/>
        <v>8.4597641389959535E-3</v>
      </c>
      <c r="F145">
        <f t="shared" si="7"/>
        <v>1513285.4855034035</v>
      </c>
      <c r="G145" s="23">
        <f t="shared" si="8"/>
        <v>1603365.4855034035</v>
      </c>
    </row>
    <row r="146" spans="1:7" x14ac:dyDescent="0.2">
      <c r="A146">
        <v>2021</v>
      </c>
      <c r="B146" s="1" t="s">
        <v>563</v>
      </c>
      <c r="C146" s="1" t="s">
        <v>204</v>
      </c>
      <c r="D146" s="22">
        <v>34606</v>
      </c>
      <c r="E146" s="12">
        <f t="shared" si="6"/>
        <v>3.2499844337710252E-3</v>
      </c>
      <c r="F146">
        <f t="shared" si="7"/>
        <v>581358.32050766842</v>
      </c>
      <c r="G146" s="23">
        <f t="shared" si="8"/>
        <v>615964.32050766842</v>
      </c>
    </row>
    <row r="147" spans="1:7" x14ac:dyDescent="0.2">
      <c r="A147">
        <v>2021</v>
      </c>
      <c r="B147" s="1" t="s">
        <v>564</v>
      </c>
      <c r="C147" s="1" t="s">
        <v>205</v>
      </c>
      <c r="D147" s="22">
        <v>104408</v>
      </c>
      <c r="E147" s="12">
        <f t="shared" si="6"/>
        <v>9.8053625024898915E-3</v>
      </c>
      <c r="F147">
        <f t="shared" si="7"/>
        <v>1753986.5782686425</v>
      </c>
      <c r="G147" s="23">
        <f t="shared" si="8"/>
        <v>1858394.5782686425</v>
      </c>
    </row>
    <row r="148" spans="1:7" x14ac:dyDescent="0.2">
      <c r="A148">
        <v>2021</v>
      </c>
      <c r="B148" s="1" t="s">
        <v>565</v>
      </c>
      <c r="C148" s="1" t="s">
        <v>206</v>
      </c>
      <c r="D148" s="22">
        <v>74893</v>
      </c>
      <c r="E148" s="12">
        <f t="shared" si="6"/>
        <v>7.0334937351445815E-3</v>
      </c>
      <c r="F148">
        <f t="shared" si="7"/>
        <v>1258153.7507305327</v>
      </c>
      <c r="G148" s="23">
        <f t="shared" si="8"/>
        <v>1333046.7507305327</v>
      </c>
    </row>
    <row r="149" spans="1:7" x14ac:dyDescent="0.2">
      <c r="A149">
        <v>2021</v>
      </c>
      <c r="B149" s="1" t="s">
        <v>566</v>
      </c>
      <c r="C149" s="1" t="s">
        <v>207</v>
      </c>
      <c r="D149" s="22">
        <v>72007</v>
      </c>
      <c r="E149" s="12">
        <f t="shared" si="6"/>
        <v>6.7624582188796807E-3</v>
      </c>
      <c r="F149">
        <f t="shared" si="7"/>
        <v>1209670.8254289918</v>
      </c>
      <c r="G149" s="23">
        <f t="shared" si="8"/>
        <v>1281677.8254289918</v>
      </c>
    </row>
    <row r="150" spans="1:7" x14ac:dyDescent="0.2">
      <c r="A150">
        <v>2021</v>
      </c>
      <c r="B150" s="1" t="s">
        <v>567</v>
      </c>
      <c r="C150" s="1" t="s">
        <v>208</v>
      </c>
      <c r="D150" s="22">
        <v>22995</v>
      </c>
      <c r="E150" s="12">
        <f t="shared" si="6"/>
        <v>2.1595501373913406E-3</v>
      </c>
      <c r="F150">
        <f t="shared" si="7"/>
        <v>386301.06282360974</v>
      </c>
      <c r="G150" s="23">
        <f t="shared" si="8"/>
        <v>409296.06282360974</v>
      </c>
    </row>
    <row r="151" spans="1:7" x14ac:dyDescent="0.2">
      <c r="A151">
        <v>2021</v>
      </c>
      <c r="B151" s="1" t="s">
        <v>624</v>
      </c>
      <c r="C151" s="1" t="s">
        <v>625</v>
      </c>
      <c r="D151" s="22">
        <v>64993</v>
      </c>
      <c r="E151" s="12">
        <f t="shared" si="6"/>
        <v>6.103746122177664E-3</v>
      </c>
      <c r="F151">
        <f t="shared" si="7"/>
        <v>1091840.181608822</v>
      </c>
      <c r="G151" s="23">
        <f t="shared" si="8"/>
        <v>1156833.181608822</v>
      </c>
    </row>
    <row r="152" spans="1:7" x14ac:dyDescent="0.2">
      <c r="A152">
        <v>2021</v>
      </c>
      <c r="B152" s="1" t="s">
        <v>568</v>
      </c>
      <c r="C152" s="1" t="s">
        <v>569</v>
      </c>
      <c r="D152" s="22">
        <v>162136</v>
      </c>
      <c r="E152" s="12">
        <f t="shared" si="6"/>
        <v>1.5226824138990319E-2</v>
      </c>
      <c r="F152">
        <f t="shared" si="7"/>
        <v>2723779.4791027955</v>
      </c>
      <c r="G152" s="23">
        <f t="shared" si="8"/>
        <v>2885915.4791027955</v>
      </c>
    </row>
    <row r="153" spans="1:7" x14ac:dyDescent="0.2">
      <c r="A153">
        <v>2021</v>
      </c>
      <c r="B153" s="1" t="s">
        <v>570</v>
      </c>
      <c r="C153" s="1" t="s">
        <v>209</v>
      </c>
      <c r="D153" s="22">
        <v>106722</v>
      </c>
      <c r="E153" s="12">
        <f t="shared" si="6"/>
        <v>1.0022679267783371E-2</v>
      </c>
      <c r="F153">
        <f t="shared" si="7"/>
        <v>1792860.2751320405</v>
      </c>
      <c r="G153" s="23">
        <f t="shared" si="8"/>
        <v>1899582.2751320405</v>
      </c>
    </row>
    <row r="154" spans="1:7" x14ac:dyDescent="0.2">
      <c r="A154">
        <v>2021</v>
      </c>
      <c r="B154" s="1" t="s">
        <v>571</v>
      </c>
      <c r="C154" s="1" t="s">
        <v>210</v>
      </c>
      <c r="D154" s="22">
        <v>27492</v>
      </c>
      <c r="E154" s="12">
        <f t="shared" si="6"/>
        <v>2.5818809470390404E-3</v>
      </c>
      <c r="F154">
        <f t="shared" si="7"/>
        <v>461847.74164586555</v>
      </c>
      <c r="G154" s="23">
        <f t="shared" si="8"/>
        <v>489339.74164586555</v>
      </c>
    </row>
    <row r="155" spans="1:7" x14ac:dyDescent="0.2">
      <c r="A155">
        <v>2021</v>
      </c>
      <c r="B155" s="1" t="s">
        <v>630</v>
      </c>
      <c r="C155" s="1" t="s">
        <v>631</v>
      </c>
      <c r="D155" s="22">
        <v>21790</v>
      </c>
      <c r="E155" s="12">
        <f t="shared" si="6"/>
        <v>2.0463838875302157E-3</v>
      </c>
      <c r="F155">
        <f t="shared" si="7"/>
        <v>366057.84557192674</v>
      </c>
      <c r="G155" s="23">
        <f t="shared" si="8"/>
        <v>387847.84557192674</v>
      </c>
    </row>
    <row r="156" spans="1:7" x14ac:dyDescent="0.2">
      <c r="A156">
        <v>2021</v>
      </c>
      <c r="B156" s="1" t="s">
        <v>621</v>
      </c>
      <c r="C156" s="1" t="s">
        <v>211</v>
      </c>
      <c r="D156" s="22"/>
      <c r="E156" s="12">
        <f t="shared" si="6"/>
        <v>0</v>
      </c>
      <c r="F156">
        <f t="shared" si="7"/>
        <v>0</v>
      </c>
      <c r="G156" s="23">
        <f t="shared" si="8"/>
        <v>0</v>
      </c>
    </row>
    <row r="157" spans="1:7" x14ac:dyDescent="0.2">
      <c r="A157">
        <v>2021</v>
      </c>
      <c r="B157" s="1" t="s">
        <v>573</v>
      </c>
      <c r="C157" s="1" t="s">
        <v>212</v>
      </c>
      <c r="D157" s="22"/>
      <c r="E157" s="12">
        <f t="shared" si="6"/>
        <v>0</v>
      </c>
      <c r="F157">
        <f t="shared" si="7"/>
        <v>0</v>
      </c>
      <c r="G157" s="23">
        <f t="shared" si="8"/>
        <v>0</v>
      </c>
    </row>
    <row r="158" spans="1:7" x14ac:dyDescent="0.2">
      <c r="A158">
        <v>2021</v>
      </c>
      <c r="B158" s="1" t="s">
        <v>574</v>
      </c>
      <c r="C158" s="1" t="s">
        <v>213</v>
      </c>
      <c r="D158" s="22"/>
      <c r="E158" s="12">
        <f t="shared" si="6"/>
        <v>0</v>
      </c>
      <c r="F158">
        <f t="shared" si="7"/>
        <v>0</v>
      </c>
      <c r="G158" s="23">
        <f t="shared" si="8"/>
        <v>0</v>
      </c>
    </row>
    <row r="159" spans="1:7" x14ac:dyDescent="0.2">
      <c r="A159">
        <v>2021</v>
      </c>
      <c r="B159" s="1" t="s">
        <v>575</v>
      </c>
      <c r="C159" s="1" t="s">
        <v>214</v>
      </c>
      <c r="D159" s="22"/>
      <c r="E159" s="12">
        <f t="shared" si="6"/>
        <v>0</v>
      </c>
      <c r="F159">
        <f t="shared" si="7"/>
        <v>0</v>
      </c>
      <c r="G159" s="23">
        <f t="shared" si="8"/>
        <v>0</v>
      </c>
    </row>
    <row r="160" spans="1:7" x14ac:dyDescent="0.2">
      <c r="A160">
        <v>2021</v>
      </c>
      <c r="B160" s="1" t="s">
        <v>576</v>
      </c>
      <c r="C160" s="1" t="s">
        <v>215</v>
      </c>
      <c r="D160" s="22">
        <v>31971</v>
      </c>
      <c r="E160" s="12">
        <f t="shared" si="6"/>
        <v>3.0025213064813457E-3</v>
      </c>
      <c r="F160">
        <f t="shared" si="7"/>
        <v>537092.03216062731</v>
      </c>
      <c r="G160" s="23">
        <f t="shared" si="8"/>
        <v>569063.03216062731</v>
      </c>
    </row>
    <row r="161" spans="1:7" x14ac:dyDescent="0.2">
      <c r="A161">
        <v>2021</v>
      </c>
      <c r="B161" s="1" t="s">
        <v>216</v>
      </c>
      <c r="C161" s="1" t="s">
        <v>217</v>
      </c>
      <c r="D161" s="22">
        <v>57871</v>
      </c>
      <c r="E161" s="12">
        <f t="shared" si="6"/>
        <v>5.4348913242432814E-3</v>
      </c>
      <c r="F161">
        <f t="shared" si="7"/>
        <v>972195.20794368838</v>
      </c>
      <c r="G161" s="23">
        <f t="shared" si="8"/>
        <v>1030066.2079436884</v>
      </c>
    </row>
    <row r="162" spans="1:7" x14ac:dyDescent="0.2">
      <c r="A162">
        <v>2021</v>
      </c>
      <c r="B162" s="1" t="s">
        <v>218</v>
      </c>
      <c r="C162" s="1" t="s">
        <v>219</v>
      </c>
      <c r="D162" s="22"/>
      <c r="E162" s="12">
        <f t="shared" si="6"/>
        <v>0</v>
      </c>
      <c r="F162">
        <f t="shared" si="7"/>
        <v>0</v>
      </c>
      <c r="G162" s="23">
        <f t="shared" si="8"/>
        <v>0</v>
      </c>
    </row>
    <row r="163" spans="1:7" x14ac:dyDescent="0.2">
      <c r="A163">
        <v>2021</v>
      </c>
      <c r="B163" s="1" t="s">
        <v>220</v>
      </c>
      <c r="C163" s="1" t="s">
        <v>221</v>
      </c>
      <c r="D163" s="22">
        <v>3466</v>
      </c>
      <c r="E163" s="12">
        <f t="shared" si="6"/>
        <v>3.2550557843872083E-4</v>
      </c>
      <c r="F163">
        <f t="shared" si="7"/>
        <v>58226.548543015051</v>
      </c>
      <c r="G163" s="23">
        <f t="shared" si="8"/>
        <v>61692.548543015051</v>
      </c>
    </row>
    <row r="164" spans="1:7" x14ac:dyDescent="0.2">
      <c r="A164">
        <v>2021</v>
      </c>
      <c r="B164" s="1" t="s">
        <v>222</v>
      </c>
      <c r="C164" s="1" t="s">
        <v>223</v>
      </c>
      <c r="D164" s="22">
        <v>9701</v>
      </c>
      <c r="E164" s="12">
        <f t="shared" si="6"/>
        <v>9.1105874680727961E-4</v>
      </c>
      <c r="F164">
        <f t="shared" si="7"/>
        <v>162970.49838886008</v>
      </c>
      <c r="G164" s="23">
        <f t="shared" si="8"/>
        <v>172671.49838886008</v>
      </c>
    </row>
    <row r="165" spans="1:7" x14ac:dyDescent="0.2">
      <c r="A165">
        <v>2021</v>
      </c>
      <c r="B165" s="1" t="s">
        <v>224</v>
      </c>
      <c r="C165" s="1" t="s">
        <v>225</v>
      </c>
      <c r="D165" s="22"/>
      <c r="E165" s="12">
        <f t="shared" si="6"/>
        <v>0</v>
      </c>
      <c r="F165">
        <f t="shared" si="7"/>
        <v>0</v>
      </c>
      <c r="G165" s="23">
        <f t="shared" si="8"/>
        <v>0</v>
      </c>
    </row>
    <row r="166" spans="1:7" x14ac:dyDescent="0.2">
      <c r="A166">
        <v>2021</v>
      </c>
      <c r="B166" s="1" t="s">
        <v>577</v>
      </c>
      <c r="C166" s="1" t="s">
        <v>227</v>
      </c>
      <c r="D166" s="22">
        <v>57145</v>
      </c>
      <c r="E166" s="12">
        <f t="shared" si="6"/>
        <v>5.3667098326257079E-3</v>
      </c>
      <c r="F166">
        <f t="shared" si="7"/>
        <v>959998.87954142969</v>
      </c>
      <c r="G166" s="23">
        <f t="shared" si="8"/>
        <v>1017143.8795414297</v>
      </c>
    </row>
    <row r="167" spans="1:7" x14ac:dyDescent="0.2">
      <c r="A167">
        <v>2021</v>
      </c>
      <c r="B167" s="1" t="s">
        <v>578</v>
      </c>
      <c r="C167" s="1" t="s">
        <v>228</v>
      </c>
      <c r="D167" s="22">
        <v>6566</v>
      </c>
      <c r="E167" s="12">
        <f t="shared" si="6"/>
        <v>6.1663866936775564E-4</v>
      </c>
      <c r="F167">
        <f t="shared" si="7"/>
        <v>110304.53483365172</v>
      </c>
      <c r="G167" s="23">
        <f t="shared" si="8"/>
        <v>116870.53483365172</v>
      </c>
    </row>
    <row r="168" spans="1:7" x14ac:dyDescent="0.2">
      <c r="A168">
        <v>2021</v>
      </c>
      <c r="B168" s="1" t="s">
        <v>229</v>
      </c>
      <c r="C168" s="1" t="s">
        <v>230</v>
      </c>
      <c r="D168" s="22"/>
      <c r="E168" s="12">
        <f t="shared" si="6"/>
        <v>0</v>
      </c>
      <c r="F168">
        <f t="shared" si="7"/>
        <v>0</v>
      </c>
      <c r="G168" s="23">
        <f t="shared" si="8"/>
        <v>0</v>
      </c>
    </row>
    <row r="169" spans="1:7" x14ac:dyDescent="0.2">
      <c r="A169">
        <v>2021</v>
      </c>
      <c r="B169" s="1" t="s">
        <v>231</v>
      </c>
      <c r="C169" s="1" t="s">
        <v>232</v>
      </c>
      <c r="D169" s="22"/>
      <c r="E169" s="12">
        <f t="shared" si="6"/>
        <v>0</v>
      </c>
      <c r="F169">
        <f t="shared" si="7"/>
        <v>0</v>
      </c>
      <c r="G169" s="23">
        <f t="shared" si="8"/>
        <v>0</v>
      </c>
    </row>
    <row r="170" spans="1:7" x14ac:dyDescent="0.2">
      <c r="A170">
        <v>2021</v>
      </c>
      <c r="B170" s="1" t="s">
        <v>579</v>
      </c>
      <c r="C170" s="1" t="s">
        <v>233</v>
      </c>
      <c r="D170" s="22"/>
      <c r="E170" s="12">
        <f t="shared" si="6"/>
        <v>0</v>
      </c>
      <c r="F170">
        <f t="shared" si="7"/>
        <v>0</v>
      </c>
      <c r="G170" s="23">
        <f t="shared" si="8"/>
        <v>0</v>
      </c>
    </row>
    <row r="171" spans="1:7" x14ac:dyDescent="0.2">
      <c r="A171">
        <v>2021</v>
      </c>
      <c r="B171" s="1" t="s">
        <v>580</v>
      </c>
      <c r="C171" s="1" t="s">
        <v>234</v>
      </c>
      <c r="D171" s="22">
        <v>15847</v>
      </c>
      <c r="E171" s="12">
        <f t="shared" si="6"/>
        <v>1.488253578049166E-3</v>
      </c>
      <c r="F171">
        <f t="shared" si="7"/>
        <v>266219.30604765133</v>
      </c>
      <c r="G171" s="23">
        <f t="shared" si="8"/>
        <v>282066.30604765133</v>
      </c>
    </row>
    <row r="172" spans="1:7" x14ac:dyDescent="0.2">
      <c r="A172">
        <v>2021</v>
      </c>
      <c r="B172" s="1" t="s">
        <v>581</v>
      </c>
      <c r="C172" s="1" t="s">
        <v>235</v>
      </c>
      <c r="D172" s="22">
        <v>1833</v>
      </c>
      <c r="E172" s="12">
        <f t="shared" si="6"/>
        <v>1.721441792493293E-4</v>
      </c>
      <c r="F172">
        <f t="shared" si="7"/>
        <v>30793.209313140971</v>
      </c>
      <c r="G172" s="23">
        <f t="shared" si="8"/>
        <v>32626.209313140971</v>
      </c>
    </row>
    <row r="173" spans="1:7" x14ac:dyDescent="0.2">
      <c r="A173">
        <v>2021</v>
      </c>
      <c r="B173" s="1" t="s">
        <v>582</v>
      </c>
      <c r="C173" s="1" t="s">
        <v>236</v>
      </c>
      <c r="D173" s="22">
        <v>18517</v>
      </c>
      <c r="E173" s="12">
        <f t="shared" si="6"/>
        <v>1.7390036918493346E-3</v>
      </c>
      <c r="F173">
        <f t="shared" si="7"/>
        <v>311073.57165926421</v>
      </c>
      <c r="G173" s="23">
        <f t="shared" si="8"/>
        <v>329590.57165926421</v>
      </c>
    </row>
    <row r="174" spans="1:7" x14ac:dyDescent="0.2">
      <c r="A174">
        <v>2021</v>
      </c>
      <c r="B174" s="1" t="s">
        <v>583</v>
      </c>
      <c r="C174" s="1" t="s">
        <v>237</v>
      </c>
      <c r="D174" s="22">
        <v>10298</v>
      </c>
      <c r="E174" s="12">
        <f t="shared" si="6"/>
        <v>9.6712534528619373E-4</v>
      </c>
      <c r="F174">
        <f t="shared" si="7"/>
        <v>172999.71058741174</v>
      </c>
      <c r="G174" s="23">
        <f t="shared" si="8"/>
        <v>183297.71058741174</v>
      </c>
    </row>
    <row r="175" spans="1:7" x14ac:dyDescent="0.2">
      <c r="A175">
        <v>2021</v>
      </c>
      <c r="B175" s="1" t="s">
        <v>238</v>
      </c>
      <c r="C175" s="1" t="s">
        <v>239</v>
      </c>
      <c r="D175" s="22">
        <v>6997</v>
      </c>
      <c r="E175" s="12">
        <f t="shared" si="6"/>
        <v>6.5711556039692147E-4</v>
      </c>
      <c r="F175">
        <f t="shared" si="7"/>
        <v>117545.05486309185</v>
      </c>
      <c r="G175" s="23">
        <f t="shared" si="8"/>
        <v>124542.05486309185</v>
      </c>
    </row>
    <row r="176" spans="1:7" x14ac:dyDescent="0.2">
      <c r="A176">
        <v>2021</v>
      </c>
      <c r="B176" s="1" t="s">
        <v>240</v>
      </c>
      <c r="C176" s="1" t="s">
        <v>241</v>
      </c>
      <c r="D176" s="22">
        <v>4496</v>
      </c>
      <c r="E176" s="12">
        <f t="shared" si="6"/>
        <v>4.2223689574740018E-4</v>
      </c>
      <c r="F176">
        <f t="shared" si="7"/>
        <v>75529.879471839493</v>
      </c>
      <c r="G176" s="23">
        <f t="shared" si="8"/>
        <v>80025.879471839493</v>
      </c>
    </row>
    <row r="177" spans="1:7" x14ac:dyDescent="0.2">
      <c r="A177">
        <v>2021</v>
      </c>
      <c r="B177" s="1" t="s">
        <v>242</v>
      </c>
      <c r="C177" s="1" t="s">
        <v>243</v>
      </c>
      <c r="D177" s="22"/>
      <c r="E177" s="12">
        <f t="shared" si="6"/>
        <v>0</v>
      </c>
      <c r="F177">
        <f t="shared" si="7"/>
        <v>0</v>
      </c>
      <c r="G177" s="23">
        <f t="shared" si="8"/>
        <v>0</v>
      </c>
    </row>
    <row r="178" spans="1:7" x14ac:dyDescent="0.2">
      <c r="A178">
        <v>2021</v>
      </c>
      <c r="B178" s="1" t="s">
        <v>244</v>
      </c>
      <c r="C178" s="1" t="s">
        <v>245</v>
      </c>
      <c r="D178" s="22"/>
      <c r="E178" s="12">
        <f t="shared" si="6"/>
        <v>0</v>
      </c>
      <c r="F178">
        <f t="shared" si="7"/>
        <v>0</v>
      </c>
      <c r="G178" s="23">
        <f t="shared" si="8"/>
        <v>0</v>
      </c>
    </row>
    <row r="179" spans="1:7" x14ac:dyDescent="0.2">
      <c r="A179">
        <v>2021</v>
      </c>
      <c r="B179" s="1" t="s">
        <v>246</v>
      </c>
      <c r="C179" s="1" t="s">
        <v>247</v>
      </c>
      <c r="D179" s="22"/>
      <c r="E179" s="12">
        <f t="shared" si="6"/>
        <v>0</v>
      </c>
      <c r="F179">
        <f t="shared" si="7"/>
        <v>0</v>
      </c>
      <c r="G179" s="23">
        <f t="shared" si="8"/>
        <v>0</v>
      </c>
    </row>
    <row r="180" spans="1:7" x14ac:dyDescent="0.2">
      <c r="A180">
        <v>2021</v>
      </c>
      <c r="B180" s="1" t="s">
        <v>248</v>
      </c>
      <c r="C180" s="1" t="s">
        <v>249</v>
      </c>
      <c r="D180" s="22">
        <v>24023</v>
      </c>
      <c r="E180" s="12">
        <f t="shared" si="6"/>
        <v>2.2560936268994202E-3</v>
      </c>
      <c r="F180">
        <f t="shared" si="7"/>
        <v>403570.79505160142</v>
      </c>
      <c r="G180" s="23">
        <f t="shared" si="8"/>
        <v>427593.79505160142</v>
      </c>
    </row>
    <row r="181" spans="1:7" x14ac:dyDescent="0.2">
      <c r="A181">
        <v>2021</v>
      </c>
      <c r="B181" s="1" t="s">
        <v>584</v>
      </c>
      <c r="C181" s="1" t="s">
        <v>251</v>
      </c>
      <c r="D181" s="22">
        <v>3168</v>
      </c>
      <c r="E181" s="12">
        <f t="shared" si="6"/>
        <v>2.9751923614941366E-4</v>
      </c>
      <c r="F181">
        <f t="shared" si="7"/>
        <v>53220.342118947403</v>
      </c>
      <c r="G181" s="23">
        <f t="shared" si="8"/>
        <v>56388.342118947403</v>
      </c>
    </row>
    <row r="182" spans="1:7" x14ac:dyDescent="0.2">
      <c r="A182">
        <v>2021</v>
      </c>
      <c r="B182" s="1" t="s">
        <v>585</v>
      </c>
      <c r="C182" s="1" t="s">
        <v>252</v>
      </c>
      <c r="D182" s="22"/>
      <c r="E182" s="12">
        <f t="shared" si="6"/>
        <v>0</v>
      </c>
      <c r="F182">
        <f t="shared" si="7"/>
        <v>0</v>
      </c>
      <c r="G182" s="23">
        <f t="shared" si="8"/>
        <v>0</v>
      </c>
    </row>
    <row r="183" spans="1:7" x14ac:dyDescent="0.2">
      <c r="A183">
        <v>2021</v>
      </c>
      <c r="B183" s="1" t="s">
        <v>586</v>
      </c>
      <c r="C183" s="1" t="s">
        <v>253</v>
      </c>
      <c r="D183" s="22">
        <v>19979</v>
      </c>
      <c r="E183" s="12">
        <f t="shared" si="6"/>
        <v>1.8763058140874795E-3</v>
      </c>
      <c r="F183">
        <f t="shared" si="7"/>
        <v>335634.22196794511</v>
      </c>
      <c r="G183" s="23">
        <f t="shared" si="8"/>
        <v>355613.22196794511</v>
      </c>
    </row>
    <row r="184" spans="1:7" x14ac:dyDescent="0.2">
      <c r="A184">
        <v>2021</v>
      </c>
      <c r="B184" s="1" t="s">
        <v>587</v>
      </c>
      <c r="C184" s="1" t="s">
        <v>254</v>
      </c>
      <c r="D184" s="22">
        <v>143</v>
      </c>
      <c r="E184" s="12">
        <f t="shared" si="6"/>
        <v>1.3429687742855476E-5</v>
      </c>
      <c r="F184">
        <f t="shared" si="7"/>
        <v>2402.30710953582</v>
      </c>
      <c r="G184" s="23">
        <f t="shared" si="8"/>
        <v>2545.30710953582</v>
      </c>
    </row>
    <row r="185" spans="1:7" x14ac:dyDescent="0.2">
      <c r="A185">
        <v>2021</v>
      </c>
      <c r="B185" s="1" t="s">
        <v>588</v>
      </c>
      <c r="C185" s="1" t="s">
        <v>255</v>
      </c>
      <c r="D185" s="22">
        <v>50135</v>
      </c>
      <c r="E185" s="12">
        <f t="shared" si="6"/>
        <v>4.7083733915248907E-3</v>
      </c>
      <c r="F185">
        <f t="shared" si="7"/>
        <v>842235.43312292558</v>
      </c>
      <c r="G185" s="23">
        <f t="shared" si="8"/>
        <v>892370.43312292558</v>
      </c>
    </row>
    <row r="186" spans="1:7" x14ac:dyDescent="0.2">
      <c r="A186">
        <v>2021</v>
      </c>
      <c r="B186" s="1" t="s">
        <v>589</v>
      </c>
      <c r="C186" s="1" t="s">
        <v>256</v>
      </c>
      <c r="D186" s="22">
        <v>18758</v>
      </c>
      <c r="E186" s="12">
        <f t="shared" si="6"/>
        <v>1.7616369418215596E-3</v>
      </c>
      <c r="F186">
        <f t="shared" si="7"/>
        <v>315122.2151096008</v>
      </c>
      <c r="G186" s="23">
        <f t="shared" si="8"/>
        <v>333880.2151096008</v>
      </c>
    </row>
    <row r="187" spans="1:7" x14ac:dyDescent="0.2">
      <c r="A187">
        <v>2021</v>
      </c>
      <c r="B187" s="1" t="s">
        <v>257</v>
      </c>
      <c r="C187" s="1" t="s">
        <v>258</v>
      </c>
      <c r="D187" s="22">
        <v>3607</v>
      </c>
      <c r="E187" s="12">
        <f t="shared" si="6"/>
        <v>3.3874743838097695E-4</v>
      </c>
      <c r="F187">
        <f t="shared" si="7"/>
        <v>60595.256951718206</v>
      </c>
      <c r="G187" s="23">
        <f t="shared" si="8"/>
        <v>64202.256951718206</v>
      </c>
    </row>
    <row r="188" spans="1:7" x14ac:dyDescent="0.2">
      <c r="A188">
        <v>2021</v>
      </c>
      <c r="B188" s="1" t="s">
        <v>259</v>
      </c>
      <c r="C188" s="1" t="s">
        <v>260</v>
      </c>
      <c r="D188" s="22">
        <v>22111</v>
      </c>
      <c r="E188" s="12">
        <f t="shared" si="6"/>
        <v>2.0765302495264156E-3</v>
      </c>
      <c r="F188">
        <f t="shared" si="7"/>
        <v>371450.43705557007</v>
      </c>
      <c r="G188" s="23">
        <f t="shared" si="8"/>
        <v>393561.43705557007</v>
      </c>
    </row>
    <row r="189" spans="1:7" x14ac:dyDescent="0.2">
      <c r="A189">
        <v>2021</v>
      </c>
      <c r="B189" s="1" t="s">
        <v>590</v>
      </c>
      <c r="C189" s="1" t="s">
        <v>261</v>
      </c>
      <c r="D189" s="22">
        <v>33774</v>
      </c>
      <c r="E189" s="12">
        <f t="shared" si="6"/>
        <v>3.1718480687216843E-3</v>
      </c>
      <c r="F189">
        <f t="shared" si="7"/>
        <v>567381.26096127823</v>
      </c>
      <c r="G189" s="23">
        <f t="shared" si="8"/>
        <v>601155.26096127823</v>
      </c>
    </row>
    <row r="190" spans="1:7" x14ac:dyDescent="0.2">
      <c r="A190">
        <v>2021</v>
      </c>
      <c r="B190" s="1" t="s">
        <v>591</v>
      </c>
      <c r="C190" s="1" t="s">
        <v>262</v>
      </c>
      <c r="D190" s="22">
        <v>1024</v>
      </c>
      <c r="E190" s="12">
        <f t="shared" si="6"/>
        <v>9.6167833906881173E-5</v>
      </c>
      <c r="F190">
        <f t="shared" si="7"/>
        <v>17202.534826326431</v>
      </c>
      <c r="G190" s="23">
        <f t="shared" si="8"/>
        <v>18226.534826326431</v>
      </c>
    </row>
    <row r="191" spans="1:7" x14ac:dyDescent="0.2">
      <c r="A191">
        <v>2021</v>
      </c>
      <c r="B191" s="1" t="s">
        <v>592</v>
      </c>
      <c r="C191" s="1" t="s">
        <v>263</v>
      </c>
      <c r="D191" s="22">
        <v>65</v>
      </c>
      <c r="E191" s="12">
        <f t="shared" si="6"/>
        <v>6.1044035194797621E-6</v>
      </c>
      <c r="F191">
        <f t="shared" si="7"/>
        <v>1091.9577770617366</v>
      </c>
      <c r="G191" s="23">
        <f t="shared" si="8"/>
        <v>1156.9577770617366</v>
      </c>
    </row>
    <row r="192" spans="1:7" x14ac:dyDescent="0.2">
      <c r="A192">
        <v>2021</v>
      </c>
      <c r="B192" s="1" t="s">
        <v>593</v>
      </c>
      <c r="C192" s="1" t="s">
        <v>264</v>
      </c>
      <c r="D192" s="22">
        <v>6253</v>
      </c>
      <c r="E192" s="12">
        <f t="shared" si="6"/>
        <v>5.8724361857395312E-4</v>
      </c>
      <c r="F192">
        <f t="shared" si="7"/>
        <v>105046.33815333905</v>
      </c>
      <c r="G192" s="23">
        <f t="shared" si="8"/>
        <v>111299.33815333905</v>
      </c>
    </row>
    <row r="193" spans="1:7" x14ac:dyDescent="0.2">
      <c r="A193">
        <v>2021</v>
      </c>
      <c r="B193" s="1" t="s">
        <v>594</v>
      </c>
      <c r="C193" s="1" t="s">
        <v>265</v>
      </c>
      <c r="D193" s="22">
        <v>9184</v>
      </c>
      <c r="E193" s="12">
        <f t="shared" si="6"/>
        <v>8.6250526035234055E-4</v>
      </c>
      <c r="F193">
        <f t="shared" si="7"/>
        <v>154285.2342236152</v>
      </c>
      <c r="G193" s="23">
        <f t="shared" si="8"/>
        <v>163469.2342236152</v>
      </c>
    </row>
    <row r="194" spans="1:7" x14ac:dyDescent="0.2">
      <c r="A194">
        <v>2021</v>
      </c>
      <c r="B194" s="1" t="s">
        <v>595</v>
      </c>
      <c r="C194" s="1" t="s">
        <v>266</v>
      </c>
      <c r="D194" s="22">
        <v>11143</v>
      </c>
      <c r="E194" s="12">
        <f t="shared" si="6"/>
        <v>1.0464825910394306E-3</v>
      </c>
      <c r="F194">
        <f t="shared" si="7"/>
        <v>187195.16168921429</v>
      </c>
      <c r="G194" s="23">
        <f t="shared" si="8"/>
        <v>198338.16168921429</v>
      </c>
    </row>
    <row r="195" spans="1:7" x14ac:dyDescent="0.2">
      <c r="A195">
        <v>2021</v>
      </c>
      <c r="B195" s="1" t="s">
        <v>596</v>
      </c>
      <c r="C195" s="1" t="s">
        <v>267</v>
      </c>
      <c r="D195" s="22">
        <v>1569</v>
      </c>
      <c r="E195" s="12">
        <f t="shared" ref="E195:E252" si="9">D195/$D$254</f>
        <v>1.473509095702115E-4</v>
      </c>
      <c r="F195">
        <f t="shared" ref="F195:F252" si="10">E195*$D$257</f>
        <v>26358.180803228686</v>
      </c>
      <c r="G195" s="23">
        <f t="shared" ref="G195:G252" si="11">SUM(F195,D195)</f>
        <v>27927.180803228686</v>
      </c>
    </row>
    <row r="196" spans="1:7" x14ac:dyDescent="0.2">
      <c r="A196">
        <v>2021</v>
      </c>
      <c r="B196" s="1" t="s">
        <v>597</v>
      </c>
      <c r="C196" s="1" t="s">
        <v>268</v>
      </c>
      <c r="D196" s="22">
        <v>14440</v>
      </c>
      <c r="E196" s="12">
        <f t="shared" si="9"/>
        <v>1.3561167203275041E-3</v>
      </c>
      <c r="F196">
        <f t="shared" si="10"/>
        <v>242582.62001186886</v>
      </c>
      <c r="G196" s="23">
        <f t="shared" si="11"/>
        <v>257022.62001186886</v>
      </c>
    </row>
    <row r="197" spans="1:7" x14ac:dyDescent="0.2">
      <c r="A197">
        <v>2021</v>
      </c>
      <c r="B197" s="1" t="s">
        <v>269</v>
      </c>
      <c r="C197" s="1" t="s">
        <v>270</v>
      </c>
      <c r="D197" s="22"/>
      <c r="E197" s="12">
        <f t="shared" si="9"/>
        <v>0</v>
      </c>
      <c r="F197">
        <f t="shared" si="10"/>
        <v>0</v>
      </c>
      <c r="G197" s="23">
        <f t="shared" si="11"/>
        <v>0</v>
      </c>
    </row>
    <row r="198" spans="1:7" x14ac:dyDescent="0.2">
      <c r="A198">
        <v>2021</v>
      </c>
      <c r="B198" s="1" t="s">
        <v>271</v>
      </c>
      <c r="C198" s="1" t="s">
        <v>272</v>
      </c>
      <c r="D198" s="22">
        <v>117565</v>
      </c>
      <c r="E198" s="12">
        <f t="shared" si="9"/>
        <v>1.1040987688732896E-2</v>
      </c>
      <c r="F198">
        <f t="shared" si="10"/>
        <v>1975015.6316963546</v>
      </c>
      <c r="G198" s="23">
        <f t="shared" si="11"/>
        <v>2092580.6316963546</v>
      </c>
    </row>
    <row r="199" spans="1:7" x14ac:dyDescent="0.2">
      <c r="A199">
        <v>2021</v>
      </c>
      <c r="B199" s="1" t="s">
        <v>598</v>
      </c>
      <c r="C199" s="1" t="s">
        <v>273</v>
      </c>
      <c r="D199" s="22">
        <v>36176</v>
      </c>
      <c r="E199" s="12">
        <f t="shared" si="9"/>
        <v>3.3974292572415367E-3</v>
      </c>
      <c r="F199">
        <f t="shared" si="10"/>
        <v>607733.30066131358</v>
      </c>
      <c r="G199" s="23">
        <f t="shared" si="11"/>
        <v>643909.30066131358</v>
      </c>
    </row>
    <row r="200" spans="1:7" x14ac:dyDescent="0.2">
      <c r="A200">
        <v>2021</v>
      </c>
      <c r="B200" s="1" t="s">
        <v>599</v>
      </c>
      <c r="C200" s="1" t="s">
        <v>274</v>
      </c>
      <c r="D200" s="22">
        <v>83382</v>
      </c>
      <c r="E200" s="12">
        <f t="shared" si="9"/>
        <v>7.8307288347886396E-3</v>
      </c>
      <c r="F200">
        <f t="shared" si="10"/>
        <v>1400763.4364147957</v>
      </c>
      <c r="G200" s="23">
        <f t="shared" si="11"/>
        <v>1484145.4364147957</v>
      </c>
    </row>
    <row r="201" spans="1:7" x14ac:dyDescent="0.2">
      <c r="A201">
        <v>2021</v>
      </c>
      <c r="B201" s="1" t="s">
        <v>600</v>
      </c>
      <c r="C201" s="1" t="s">
        <v>275</v>
      </c>
      <c r="D201" s="22">
        <v>10064</v>
      </c>
      <c r="E201" s="12">
        <f t="shared" si="9"/>
        <v>9.4514949261606659E-4</v>
      </c>
      <c r="F201">
        <f t="shared" si="10"/>
        <v>169068.66258998949</v>
      </c>
      <c r="G201" s="23">
        <f t="shared" si="11"/>
        <v>179132.66258998949</v>
      </c>
    </row>
    <row r="202" spans="1:7" x14ac:dyDescent="0.2">
      <c r="A202">
        <v>2021</v>
      </c>
      <c r="B202" s="1" t="s">
        <v>276</v>
      </c>
      <c r="C202" s="1" t="s">
        <v>277</v>
      </c>
      <c r="D202" s="22">
        <v>22354</v>
      </c>
      <c r="E202" s="12">
        <f t="shared" si="9"/>
        <v>2.09935132729924E-3</v>
      </c>
      <c r="F202">
        <f t="shared" si="10"/>
        <v>375532.67920673935</v>
      </c>
      <c r="G202" s="23">
        <f t="shared" si="11"/>
        <v>397886.67920673935</v>
      </c>
    </row>
    <row r="203" spans="1:7" x14ac:dyDescent="0.2">
      <c r="A203">
        <v>2021</v>
      </c>
      <c r="B203" s="1" t="s">
        <v>278</v>
      </c>
      <c r="C203" s="1" t="s">
        <v>279</v>
      </c>
      <c r="D203" s="22">
        <v>5480</v>
      </c>
      <c r="E203" s="12">
        <f t="shared" si="9"/>
        <v>5.1464817364229383E-4</v>
      </c>
      <c r="F203">
        <f t="shared" si="10"/>
        <v>92060.440281512565</v>
      </c>
      <c r="G203" s="23">
        <f t="shared" si="11"/>
        <v>97540.440281512565</v>
      </c>
    </row>
    <row r="204" spans="1:7" x14ac:dyDescent="0.2">
      <c r="A204">
        <v>2021</v>
      </c>
      <c r="B204" s="1" t="s">
        <v>280</v>
      </c>
      <c r="C204" s="1" t="s">
        <v>281</v>
      </c>
      <c r="D204" s="22">
        <v>14547</v>
      </c>
      <c r="E204" s="12">
        <f t="shared" si="9"/>
        <v>1.3661655076595708E-3</v>
      </c>
      <c r="F204">
        <f t="shared" si="10"/>
        <v>244380.15050641663</v>
      </c>
      <c r="G204" s="23">
        <f t="shared" si="11"/>
        <v>258927.15050641663</v>
      </c>
    </row>
    <row r="205" spans="1:7" x14ac:dyDescent="0.2">
      <c r="A205">
        <v>2021</v>
      </c>
      <c r="B205" s="1" t="s">
        <v>282</v>
      </c>
      <c r="C205" s="1" t="s">
        <v>283</v>
      </c>
      <c r="D205" s="22">
        <v>2475</v>
      </c>
      <c r="E205" s="12">
        <f t="shared" si="9"/>
        <v>2.3243690324172941E-4</v>
      </c>
      <c r="F205">
        <f t="shared" si="10"/>
        <v>41578.392280427659</v>
      </c>
      <c r="G205" s="23">
        <f t="shared" si="11"/>
        <v>44053.392280427659</v>
      </c>
    </row>
    <row r="206" spans="1:7" x14ac:dyDescent="0.2">
      <c r="A206">
        <v>2021</v>
      </c>
      <c r="B206" s="1" t="s">
        <v>284</v>
      </c>
      <c r="C206" s="1" t="s">
        <v>285</v>
      </c>
      <c r="D206" s="22">
        <v>11777</v>
      </c>
      <c r="E206" s="12">
        <f t="shared" si="9"/>
        <v>1.1060240038294332E-3</v>
      </c>
      <c r="F206">
        <f t="shared" si="10"/>
        <v>197845.94985317031</v>
      </c>
      <c r="G206" s="23">
        <f t="shared" si="11"/>
        <v>209622.94985317031</v>
      </c>
    </row>
    <row r="207" spans="1:7" x14ac:dyDescent="0.2">
      <c r="A207">
        <v>2021</v>
      </c>
      <c r="B207" s="1" t="s">
        <v>286</v>
      </c>
      <c r="C207" s="1" t="s">
        <v>287</v>
      </c>
      <c r="D207" s="22"/>
      <c r="E207" s="12">
        <f t="shared" si="9"/>
        <v>0</v>
      </c>
      <c r="F207">
        <f t="shared" si="10"/>
        <v>0</v>
      </c>
      <c r="G207" s="23">
        <f t="shared" si="11"/>
        <v>0</v>
      </c>
    </row>
    <row r="208" spans="1:7" x14ac:dyDescent="0.2">
      <c r="A208">
        <v>2021</v>
      </c>
      <c r="B208" s="1" t="s">
        <v>601</v>
      </c>
      <c r="C208" s="1" t="s">
        <v>289</v>
      </c>
      <c r="D208" s="22">
        <v>80057</v>
      </c>
      <c r="E208" s="12">
        <f t="shared" si="9"/>
        <v>7.518465116292174E-3</v>
      </c>
      <c r="F208">
        <f t="shared" si="10"/>
        <v>1344905.5962804835</v>
      </c>
      <c r="G208" s="23">
        <f t="shared" si="11"/>
        <v>1424962.5962804835</v>
      </c>
    </row>
    <row r="209" spans="1:7" x14ac:dyDescent="0.2">
      <c r="A209">
        <v>2021</v>
      </c>
      <c r="B209" s="1" t="s">
        <v>293</v>
      </c>
      <c r="C209" s="1" t="s">
        <v>290</v>
      </c>
      <c r="D209" s="22">
        <v>6128</v>
      </c>
      <c r="E209" s="12">
        <f t="shared" si="9"/>
        <v>5.7550438103649208E-4</v>
      </c>
      <c r="F209">
        <f t="shared" si="10"/>
        <v>102946.41935129726</v>
      </c>
      <c r="G209" s="23">
        <f t="shared" si="11"/>
        <v>109074.41935129726</v>
      </c>
    </row>
    <row r="210" spans="1:7" x14ac:dyDescent="0.2">
      <c r="A210">
        <v>2021</v>
      </c>
      <c r="B210" s="1" t="s">
        <v>291</v>
      </c>
      <c r="C210" s="1" t="s">
        <v>292</v>
      </c>
      <c r="D210" s="22"/>
      <c r="E210" s="12">
        <f t="shared" si="9"/>
        <v>0</v>
      </c>
      <c r="F210">
        <f t="shared" si="10"/>
        <v>0</v>
      </c>
      <c r="G210" s="23">
        <f t="shared" si="11"/>
        <v>0</v>
      </c>
    </row>
    <row r="211" spans="1:7" x14ac:dyDescent="0.2">
      <c r="A211">
        <v>2021</v>
      </c>
      <c r="B211" s="1" t="s">
        <v>602</v>
      </c>
      <c r="C211" s="1" t="s">
        <v>294</v>
      </c>
      <c r="D211" s="22"/>
      <c r="E211" s="12">
        <f t="shared" si="9"/>
        <v>0</v>
      </c>
      <c r="F211">
        <f t="shared" si="10"/>
        <v>0</v>
      </c>
      <c r="G211" s="23">
        <f t="shared" si="11"/>
        <v>0</v>
      </c>
    </row>
    <row r="212" spans="1:7" x14ac:dyDescent="0.2">
      <c r="A212">
        <v>2021</v>
      </c>
      <c r="B212" s="1" t="s">
        <v>603</v>
      </c>
      <c r="C212" s="1" t="s">
        <v>296</v>
      </c>
      <c r="D212" s="22"/>
      <c r="E212" s="12">
        <f t="shared" si="9"/>
        <v>0</v>
      </c>
      <c r="F212">
        <f t="shared" si="10"/>
        <v>0</v>
      </c>
      <c r="G212" s="23">
        <f t="shared" si="11"/>
        <v>0</v>
      </c>
    </row>
    <row r="213" spans="1:7" x14ac:dyDescent="0.2">
      <c r="A213">
        <v>2021</v>
      </c>
      <c r="B213" s="1" t="s">
        <v>297</v>
      </c>
      <c r="C213" s="1" t="s">
        <v>298</v>
      </c>
      <c r="D213" s="22"/>
      <c r="E213" s="12">
        <f t="shared" si="9"/>
        <v>0</v>
      </c>
      <c r="F213">
        <f t="shared" si="10"/>
        <v>0</v>
      </c>
      <c r="G213" s="23">
        <f t="shared" si="11"/>
        <v>0</v>
      </c>
    </row>
    <row r="214" spans="1:7" x14ac:dyDescent="0.2">
      <c r="A214">
        <v>2021</v>
      </c>
      <c r="B214" s="1" t="s">
        <v>299</v>
      </c>
      <c r="C214" s="1" t="s">
        <v>300</v>
      </c>
      <c r="D214" s="22">
        <v>13303</v>
      </c>
      <c r="E214" s="12">
        <f t="shared" si="9"/>
        <v>1.2493366156867581E-3</v>
      </c>
      <c r="F214">
        <f t="shared" si="10"/>
        <v>223481.75858849662</v>
      </c>
      <c r="G214" s="23">
        <f t="shared" si="11"/>
        <v>236784.75858849662</v>
      </c>
    </row>
    <row r="215" spans="1:7" x14ac:dyDescent="0.2">
      <c r="A215">
        <v>2021</v>
      </c>
      <c r="B215" s="1" t="s">
        <v>301</v>
      </c>
      <c r="C215" s="1" t="s">
        <v>302</v>
      </c>
      <c r="D215" s="22">
        <v>3661</v>
      </c>
      <c r="E215" s="12">
        <f t="shared" si="9"/>
        <v>3.4381878899716016E-4</v>
      </c>
      <c r="F215">
        <f t="shared" si="10"/>
        <v>61502.42187420027</v>
      </c>
      <c r="G215" s="23">
        <f t="shared" si="11"/>
        <v>65163.42187420027</v>
      </c>
    </row>
    <row r="216" spans="1:7" x14ac:dyDescent="0.2">
      <c r="A216">
        <v>2021</v>
      </c>
      <c r="B216" s="1" t="s">
        <v>303</v>
      </c>
      <c r="C216" s="1" t="s">
        <v>304</v>
      </c>
      <c r="D216" s="22">
        <v>47975</v>
      </c>
      <c r="E216" s="12">
        <f t="shared" si="9"/>
        <v>4.5055193668775625E-3</v>
      </c>
      <c r="F216">
        <f t="shared" si="10"/>
        <v>805948.83622364316</v>
      </c>
      <c r="G216" s="23">
        <f t="shared" si="11"/>
        <v>853923.83622364316</v>
      </c>
    </row>
    <row r="217" spans="1:7" x14ac:dyDescent="0.2">
      <c r="A217">
        <v>2021</v>
      </c>
      <c r="B217" s="1" t="s">
        <v>305</v>
      </c>
      <c r="C217" s="1" t="s">
        <v>604</v>
      </c>
      <c r="D217" s="22"/>
      <c r="E217" s="12">
        <f t="shared" si="9"/>
        <v>0</v>
      </c>
      <c r="F217">
        <f t="shared" si="10"/>
        <v>0</v>
      </c>
      <c r="G217" s="23">
        <f t="shared" si="11"/>
        <v>0</v>
      </c>
    </row>
    <row r="218" spans="1:7" x14ac:dyDescent="0.2">
      <c r="A218">
        <v>2021</v>
      </c>
      <c r="B218" s="1" t="s">
        <v>307</v>
      </c>
      <c r="C218" s="1" t="s">
        <v>308</v>
      </c>
      <c r="D218" s="22"/>
      <c r="E218" s="12">
        <f t="shared" si="9"/>
        <v>0</v>
      </c>
      <c r="F218">
        <f t="shared" si="10"/>
        <v>0</v>
      </c>
      <c r="G218" s="23">
        <f t="shared" si="11"/>
        <v>0</v>
      </c>
    </row>
    <row r="219" spans="1:7" x14ac:dyDescent="0.2">
      <c r="A219">
        <v>2021</v>
      </c>
      <c r="B219" s="1" t="s">
        <v>309</v>
      </c>
      <c r="C219" s="1" t="s">
        <v>310</v>
      </c>
      <c r="D219" s="22"/>
      <c r="E219" s="12">
        <f t="shared" si="9"/>
        <v>0</v>
      </c>
      <c r="F219">
        <f t="shared" si="10"/>
        <v>0</v>
      </c>
      <c r="G219" s="23">
        <f t="shared" si="11"/>
        <v>0</v>
      </c>
    </row>
    <row r="220" spans="1:7" x14ac:dyDescent="0.2">
      <c r="A220">
        <v>2021</v>
      </c>
      <c r="B220" s="1" t="s">
        <v>605</v>
      </c>
      <c r="C220" s="1" t="s">
        <v>311</v>
      </c>
      <c r="D220" s="22">
        <v>1422</v>
      </c>
      <c r="E220" s="12">
        <f t="shared" si="9"/>
        <v>1.3354556622615727E-4</v>
      </c>
      <c r="F220">
        <f t="shared" si="10"/>
        <v>23888.676292027529</v>
      </c>
      <c r="G220" s="23">
        <f t="shared" si="11"/>
        <v>25310.676292027529</v>
      </c>
    </row>
    <row r="221" spans="1:7" x14ac:dyDescent="0.2">
      <c r="A221">
        <v>2021</v>
      </c>
      <c r="B221" s="1" t="s">
        <v>622</v>
      </c>
      <c r="C221" s="1" t="s">
        <v>623</v>
      </c>
      <c r="D221" s="22"/>
      <c r="E221" s="12">
        <f t="shared" si="9"/>
        <v>0</v>
      </c>
      <c r="F221">
        <f t="shared" si="10"/>
        <v>0</v>
      </c>
      <c r="G221" s="23">
        <f t="shared" si="11"/>
        <v>0</v>
      </c>
    </row>
    <row r="222" spans="1:7" x14ac:dyDescent="0.2">
      <c r="A222">
        <v>2021</v>
      </c>
      <c r="B222" s="1" t="s">
        <v>312</v>
      </c>
      <c r="C222" s="1" t="s">
        <v>606</v>
      </c>
      <c r="D222" s="22">
        <v>4705</v>
      </c>
      <c r="E222" s="12">
        <f t="shared" si="9"/>
        <v>4.4186490091003509E-4</v>
      </c>
      <c r="F222">
        <f t="shared" si="10"/>
        <v>79040.943708853389</v>
      </c>
      <c r="G222" s="23">
        <f t="shared" si="11"/>
        <v>83745.943708853389</v>
      </c>
    </row>
    <row r="223" spans="1:7" x14ac:dyDescent="0.2">
      <c r="A223">
        <v>2021</v>
      </c>
      <c r="B223" s="1" t="s">
        <v>607</v>
      </c>
      <c r="C223" s="1" t="s">
        <v>314</v>
      </c>
      <c r="D223" s="22">
        <v>8736</v>
      </c>
      <c r="E223" s="12">
        <f t="shared" si="9"/>
        <v>8.2043183301808002E-4</v>
      </c>
      <c r="F223">
        <f t="shared" si="10"/>
        <v>146759.12523709738</v>
      </c>
      <c r="G223" s="23">
        <f t="shared" si="11"/>
        <v>155495.12523709738</v>
      </c>
    </row>
    <row r="224" spans="1:7" x14ac:dyDescent="0.2">
      <c r="A224">
        <v>2021</v>
      </c>
      <c r="B224" s="1" t="s">
        <v>315</v>
      </c>
      <c r="C224" s="1" t="s">
        <v>316</v>
      </c>
      <c r="D224" s="22">
        <v>3690</v>
      </c>
      <c r="E224" s="12">
        <f t="shared" si="9"/>
        <v>3.4654229210585109E-4</v>
      </c>
      <c r="F224">
        <f t="shared" si="10"/>
        <v>61989.603036273962</v>
      </c>
      <c r="G224" s="23">
        <f t="shared" si="11"/>
        <v>65679.603036273969</v>
      </c>
    </row>
    <row r="225" spans="1:7" x14ac:dyDescent="0.2">
      <c r="A225">
        <v>2021</v>
      </c>
      <c r="B225" s="1" t="s">
        <v>317</v>
      </c>
      <c r="C225" s="1" t="s">
        <v>318</v>
      </c>
      <c r="D225" s="22"/>
      <c r="E225" s="12">
        <f t="shared" si="9"/>
        <v>0</v>
      </c>
      <c r="F225">
        <f t="shared" si="10"/>
        <v>0</v>
      </c>
      <c r="G225" s="23">
        <f t="shared" si="11"/>
        <v>0</v>
      </c>
    </row>
    <row r="226" spans="1:7" x14ac:dyDescent="0.2">
      <c r="A226">
        <v>2021</v>
      </c>
      <c r="B226" s="1" t="s">
        <v>608</v>
      </c>
      <c r="C226" s="1" t="s">
        <v>319</v>
      </c>
      <c r="D226" s="22"/>
      <c r="E226" s="12">
        <f t="shared" si="9"/>
        <v>0</v>
      </c>
      <c r="F226">
        <f t="shared" si="10"/>
        <v>0</v>
      </c>
      <c r="G226" s="23">
        <f t="shared" si="11"/>
        <v>0</v>
      </c>
    </row>
    <row r="227" spans="1:7" x14ac:dyDescent="0.2">
      <c r="A227">
        <v>2021</v>
      </c>
      <c r="B227" s="1" t="s">
        <v>609</v>
      </c>
      <c r="C227" s="1" t="s">
        <v>320</v>
      </c>
      <c r="D227" s="22"/>
      <c r="E227" s="12">
        <f t="shared" si="9"/>
        <v>0</v>
      </c>
      <c r="F227">
        <f t="shared" si="10"/>
        <v>0</v>
      </c>
      <c r="G227" s="23">
        <f t="shared" si="11"/>
        <v>0</v>
      </c>
    </row>
    <row r="228" spans="1:7" x14ac:dyDescent="0.2">
      <c r="A228">
        <v>2021</v>
      </c>
      <c r="B228" s="1" t="s">
        <v>321</v>
      </c>
      <c r="C228" s="1" t="s">
        <v>322</v>
      </c>
      <c r="D228" s="22"/>
      <c r="E228" s="12">
        <f t="shared" si="9"/>
        <v>0</v>
      </c>
      <c r="F228">
        <f t="shared" si="10"/>
        <v>0</v>
      </c>
      <c r="G228" s="23">
        <f t="shared" si="11"/>
        <v>0</v>
      </c>
    </row>
    <row r="229" spans="1:7" x14ac:dyDescent="0.2">
      <c r="A229">
        <v>2021</v>
      </c>
      <c r="B229" s="1" t="s">
        <v>610</v>
      </c>
      <c r="C229" s="1" t="s">
        <v>323</v>
      </c>
      <c r="D229" s="22">
        <v>21548</v>
      </c>
      <c r="E229" s="12">
        <f t="shared" si="9"/>
        <v>2.023656723657691E-3</v>
      </c>
      <c r="F229">
        <f t="shared" si="10"/>
        <v>361992.4027711738</v>
      </c>
      <c r="G229" s="23">
        <f t="shared" si="11"/>
        <v>383540.4027711738</v>
      </c>
    </row>
    <row r="230" spans="1:7" x14ac:dyDescent="0.2">
      <c r="A230">
        <v>2021</v>
      </c>
      <c r="B230" s="1" t="s">
        <v>324</v>
      </c>
      <c r="C230" s="1" t="s">
        <v>325</v>
      </c>
      <c r="D230" s="22">
        <v>6754</v>
      </c>
      <c r="E230" s="12">
        <f t="shared" si="9"/>
        <v>6.3429448262409714E-4</v>
      </c>
      <c r="F230">
        <f t="shared" si="10"/>
        <v>113462.81271192258</v>
      </c>
      <c r="G230" s="23">
        <f t="shared" si="11"/>
        <v>120216.81271192258</v>
      </c>
    </row>
    <row r="231" spans="1:7" x14ac:dyDescent="0.2">
      <c r="A231">
        <v>2021</v>
      </c>
      <c r="B231" s="1" t="s">
        <v>326</v>
      </c>
      <c r="C231" s="1" t="s">
        <v>327</v>
      </c>
      <c r="D231" s="22">
        <v>3473</v>
      </c>
      <c r="E231" s="12">
        <f t="shared" si="9"/>
        <v>3.2616297574081867E-4</v>
      </c>
      <c r="F231">
        <f t="shared" si="10"/>
        <v>58344.143995929393</v>
      </c>
      <c r="G231" s="23">
        <f t="shared" si="11"/>
        <v>61817.143995929393</v>
      </c>
    </row>
    <row r="232" spans="1:7" x14ac:dyDescent="0.2">
      <c r="A232">
        <v>2021</v>
      </c>
      <c r="B232" s="1" t="s">
        <v>611</v>
      </c>
      <c r="C232" s="1" t="s">
        <v>328</v>
      </c>
      <c r="D232" s="22">
        <v>1994</v>
      </c>
      <c r="E232" s="12">
        <f t="shared" si="9"/>
        <v>1.8726431719757916E-4</v>
      </c>
      <c r="F232">
        <f t="shared" si="10"/>
        <v>33497.904730170805</v>
      </c>
      <c r="G232" s="23">
        <f t="shared" si="11"/>
        <v>35491.904730170805</v>
      </c>
    </row>
    <row r="233" spans="1:7" x14ac:dyDescent="0.2">
      <c r="A233">
        <v>2021</v>
      </c>
      <c r="B233" s="1" t="s">
        <v>329</v>
      </c>
      <c r="C233" s="1" t="s">
        <v>330</v>
      </c>
      <c r="D233" s="22">
        <v>11741</v>
      </c>
      <c r="E233" s="12">
        <f t="shared" si="9"/>
        <v>1.1026431034186445E-3</v>
      </c>
      <c r="F233">
        <f t="shared" si="10"/>
        <v>197241.17323818229</v>
      </c>
      <c r="G233" s="23">
        <f t="shared" si="11"/>
        <v>208982.17323818229</v>
      </c>
    </row>
    <row r="234" spans="1:7" x14ac:dyDescent="0.2">
      <c r="A234">
        <v>2021</v>
      </c>
      <c r="B234" s="1" t="s">
        <v>612</v>
      </c>
      <c r="C234" s="1" t="s">
        <v>331</v>
      </c>
      <c r="D234" s="22">
        <v>17479</v>
      </c>
      <c r="E234" s="12">
        <f t="shared" si="9"/>
        <v>1.6415210633382578E-3</v>
      </c>
      <c r="F234">
        <f t="shared" si="10"/>
        <v>293635.84592710907</v>
      </c>
      <c r="G234" s="23">
        <f t="shared" si="11"/>
        <v>311114.84592710907</v>
      </c>
    </row>
    <row r="235" spans="1:7" x14ac:dyDescent="0.2">
      <c r="A235">
        <v>2021</v>
      </c>
      <c r="B235" s="1" t="s">
        <v>332</v>
      </c>
      <c r="C235" s="1" t="s">
        <v>333</v>
      </c>
      <c r="D235" s="22">
        <v>28770</v>
      </c>
      <c r="E235" s="12">
        <f t="shared" si="9"/>
        <v>2.7019029116220426E-3</v>
      </c>
      <c r="F235">
        <f t="shared" si="10"/>
        <v>483317.31147794094</v>
      </c>
      <c r="G235" s="23">
        <f t="shared" si="11"/>
        <v>512087.31147794094</v>
      </c>
    </row>
    <row r="236" spans="1:7" x14ac:dyDescent="0.2">
      <c r="A236">
        <v>2021</v>
      </c>
      <c r="B236" s="1" t="s">
        <v>334</v>
      </c>
      <c r="C236" s="1" t="s">
        <v>335</v>
      </c>
      <c r="D236" s="22">
        <v>1431</v>
      </c>
      <c r="E236" s="12">
        <f t="shared" si="9"/>
        <v>1.3439079132885446E-4</v>
      </c>
      <c r="F236">
        <f t="shared" si="10"/>
        <v>24039.870445774537</v>
      </c>
      <c r="G236" s="23">
        <f t="shared" si="11"/>
        <v>25470.870445774537</v>
      </c>
    </row>
    <row r="237" spans="1:7" x14ac:dyDescent="0.2">
      <c r="A237">
        <v>2021</v>
      </c>
      <c r="B237" s="1" t="s">
        <v>613</v>
      </c>
      <c r="C237" s="1" t="s">
        <v>336</v>
      </c>
      <c r="D237" s="22">
        <v>5553</v>
      </c>
      <c r="E237" s="12">
        <f t="shared" si="9"/>
        <v>5.2150388836417105E-4</v>
      </c>
      <c r="F237">
        <f t="shared" si="10"/>
        <v>93286.792861904964</v>
      </c>
      <c r="G237" s="23">
        <f t="shared" si="11"/>
        <v>98839.792861904964</v>
      </c>
    </row>
    <row r="238" spans="1:7" x14ac:dyDescent="0.2">
      <c r="A238">
        <v>2021</v>
      </c>
      <c r="B238" s="1" t="s">
        <v>614</v>
      </c>
      <c r="C238" s="1" t="s">
        <v>338</v>
      </c>
      <c r="D238" s="22">
        <v>16439</v>
      </c>
      <c r="E238" s="12">
        <f t="shared" si="9"/>
        <v>1.5438506070265816E-3</v>
      </c>
      <c r="F238">
        <f t="shared" si="10"/>
        <v>276164.52149412129</v>
      </c>
      <c r="G238" s="23">
        <f t="shared" si="11"/>
        <v>292603.52149412129</v>
      </c>
    </row>
    <row r="239" spans="1:7" x14ac:dyDescent="0.2">
      <c r="A239">
        <v>2021</v>
      </c>
      <c r="B239" s="1" t="s">
        <v>615</v>
      </c>
      <c r="C239" s="1" t="s">
        <v>340</v>
      </c>
      <c r="D239" s="22">
        <v>26671</v>
      </c>
      <c r="E239" s="12">
        <f t="shared" si="9"/>
        <v>2.5047776348929959E-3</v>
      </c>
      <c r="F239">
        <f t="shared" si="10"/>
        <v>448055.47495405498</v>
      </c>
      <c r="G239" s="23">
        <f t="shared" si="11"/>
        <v>474726.47495405498</v>
      </c>
    </row>
    <row r="240" spans="1:7" x14ac:dyDescent="0.2">
      <c r="A240">
        <v>2021</v>
      </c>
      <c r="B240" s="1" t="s">
        <v>616</v>
      </c>
      <c r="C240" s="1" t="s">
        <v>342</v>
      </c>
      <c r="D240" s="22"/>
      <c r="E240" s="12">
        <f t="shared" si="9"/>
        <v>0</v>
      </c>
      <c r="F240">
        <f t="shared" si="10"/>
        <v>0</v>
      </c>
      <c r="G240" s="23">
        <f t="shared" si="11"/>
        <v>0</v>
      </c>
    </row>
    <row r="241" spans="1:7" x14ac:dyDescent="0.2">
      <c r="A241">
        <v>2021</v>
      </c>
      <c r="B241" s="1" t="s">
        <v>343</v>
      </c>
      <c r="C241" s="1" t="s">
        <v>344</v>
      </c>
      <c r="D241" s="22">
        <v>2081</v>
      </c>
      <c r="E241" s="12">
        <f t="shared" si="9"/>
        <v>1.9543482652365206E-4</v>
      </c>
      <c r="F241">
        <f t="shared" si="10"/>
        <v>34959.448216391902</v>
      </c>
      <c r="G241" s="23">
        <f t="shared" si="11"/>
        <v>37040.448216391902</v>
      </c>
    </row>
    <row r="242" spans="1:7" x14ac:dyDescent="0.2">
      <c r="A242">
        <v>2021</v>
      </c>
      <c r="B242" s="1" t="s">
        <v>345</v>
      </c>
      <c r="C242" s="1" t="s">
        <v>346</v>
      </c>
      <c r="D242" s="22">
        <v>6757</v>
      </c>
      <c r="E242" s="12">
        <f t="shared" si="9"/>
        <v>6.3457622432499616E-4</v>
      </c>
      <c r="F242">
        <f t="shared" si="10"/>
        <v>113513.21076317158</v>
      </c>
      <c r="G242" s="23">
        <f t="shared" si="11"/>
        <v>120270.21076317158</v>
      </c>
    </row>
    <row r="243" spans="1:7" x14ac:dyDescent="0.2">
      <c r="A243">
        <v>2021</v>
      </c>
      <c r="B243" s="1" t="s">
        <v>347</v>
      </c>
      <c r="C243" s="1" t="s">
        <v>348</v>
      </c>
      <c r="D243" s="22"/>
      <c r="E243" s="12">
        <f t="shared" si="9"/>
        <v>0</v>
      </c>
      <c r="F243">
        <f t="shared" si="10"/>
        <v>0</v>
      </c>
      <c r="G243" s="23">
        <f t="shared" si="11"/>
        <v>0</v>
      </c>
    </row>
    <row r="244" spans="1:7" x14ac:dyDescent="0.2">
      <c r="A244">
        <v>2021</v>
      </c>
      <c r="B244" s="1" t="s">
        <v>349</v>
      </c>
      <c r="C244" s="1" t="s">
        <v>350</v>
      </c>
      <c r="D244" s="22">
        <v>5543</v>
      </c>
      <c r="E244" s="12">
        <f t="shared" si="9"/>
        <v>5.2056474936117419E-4</v>
      </c>
      <c r="F244">
        <f t="shared" si="10"/>
        <v>93118.79935774162</v>
      </c>
      <c r="G244" s="23">
        <f t="shared" si="11"/>
        <v>98661.79935774162</v>
      </c>
    </row>
    <row r="245" spans="1:7" x14ac:dyDescent="0.2">
      <c r="A245">
        <v>2021</v>
      </c>
      <c r="B245" s="1" t="s">
        <v>617</v>
      </c>
      <c r="C245" s="1" t="s">
        <v>618</v>
      </c>
      <c r="D245" s="22"/>
      <c r="E245" s="12">
        <f t="shared" si="9"/>
        <v>0</v>
      </c>
      <c r="F245">
        <f t="shared" si="10"/>
        <v>0</v>
      </c>
      <c r="G245" s="23">
        <f t="shared" si="11"/>
        <v>0</v>
      </c>
    </row>
    <row r="246" spans="1:7" x14ac:dyDescent="0.2">
      <c r="A246">
        <v>2021</v>
      </c>
      <c r="B246" s="1" t="s">
        <v>351</v>
      </c>
      <c r="C246" s="1" t="s">
        <v>352</v>
      </c>
      <c r="D246" s="22">
        <v>6405</v>
      </c>
      <c r="E246" s="12">
        <f t="shared" si="9"/>
        <v>6.0151853141950584E-4</v>
      </c>
      <c r="F246">
        <f t="shared" si="10"/>
        <v>107599.83941662189</v>
      </c>
      <c r="G246" s="23">
        <f t="shared" si="11"/>
        <v>114004.83941662189</v>
      </c>
    </row>
    <row r="247" spans="1:7" x14ac:dyDescent="0.2">
      <c r="A247">
        <v>2021</v>
      </c>
      <c r="B247" s="1" t="s">
        <v>353</v>
      </c>
      <c r="C247" s="1" t="s">
        <v>354</v>
      </c>
      <c r="D247" s="22">
        <v>8838</v>
      </c>
      <c r="E247" s="12">
        <f t="shared" si="9"/>
        <v>8.3001105084864828E-4</v>
      </c>
      <c r="F247">
        <f t="shared" si="10"/>
        <v>148472.65897956348</v>
      </c>
      <c r="G247" s="23">
        <f t="shared" si="11"/>
        <v>157310.65897956348</v>
      </c>
    </row>
    <row r="248" spans="1:7" x14ac:dyDescent="0.2">
      <c r="A248">
        <v>2021</v>
      </c>
      <c r="B248" s="1" t="s">
        <v>355</v>
      </c>
      <c r="C248" s="1" t="s">
        <v>356</v>
      </c>
      <c r="D248" s="22"/>
      <c r="E248" s="12">
        <f t="shared" si="9"/>
        <v>0</v>
      </c>
      <c r="F248">
        <f t="shared" si="10"/>
        <v>0</v>
      </c>
      <c r="G248" s="23">
        <f t="shared" si="11"/>
        <v>0</v>
      </c>
    </row>
    <row r="249" spans="1:7" x14ac:dyDescent="0.2">
      <c r="A249">
        <v>2021</v>
      </c>
      <c r="B249" s="1" t="s">
        <v>619</v>
      </c>
      <c r="C249" s="1" t="s">
        <v>357</v>
      </c>
      <c r="D249" s="22"/>
      <c r="E249" s="12">
        <f t="shared" si="9"/>
        <v>0</v>
      </c>
      <c r="F249">
        <f t="shared" si="10"/>
        <v>0</v>
      </c>
      <c r="G249" s="23">
        <f t="shared" si="11"/>
        <v>0</v>
      </c>
    </row>
    <row r="250" spans="1:7" x14ac:dyDescent="0.2">
      <c r="A250">
        <v>2021</v>
      </c>
      <c r="B250" s="1" t="s">
        <v>620</v>
      </c>
      <c r="C250" s="1" t="s">
        <v>358</v>
      </c>
      <c r="D250" s="22">
        <v>1495</v>
      </c>
      <c r="E250" s="12">
        <f t="shared" si="9"/>
        <v>1.4040128094803452E-4</v>
      </c>
      <c r="F250">
        <f t="shared" si="10"/>
        <v>25115.028872419938</v>
      </c>
      <c r="G250" s="23">
        <f t="shared" si="11"/>
        <v>26610.028872419938</v>
      </c>
    </row>
    <row r="251" spans="1:7" x14ac:dyDescent="0.2">
      <c r="A251">
        <v>2021</v>
      </c>
      <c r="B251" s="1" t="s">
        <v>359</v>
      </c>
      <c r="C251" s="1" t="s">
        <v>360</v>
      </c>
      <c r="D251" s="22"/>
      <c r="E251" s="12">
        <f t="shared" si="9"/>
        <v>0</v>
      </c>
      <c r="F251">
        <f t="shared" si="10"/>
        <v>0</v>
      </c>
      <c r="G251" s="23">
        <f t="shared" si="11"/>
        <v>0</v>
      </c>
    </row>
    <row r="252" spans="1:7" x14ac:dyDescent="0.2">
      <c r="A252">
        <v>2021</v>
      </c>
      <c r="B252" s="1" t="s">
        <v>361</v>
      </c>
      <c r="C252" s="1" t="s">
        <v>362</v>
      </c>
      <c r="D252" s="22">
        <v>20156</v>
      </c>
      <c r="E252" s="12">
        <f t="shared" si="9"/>
        <v>1.8929285744405243E-3</v>
      </c>
      <c r="F252">
        <f t="shared" si="10"/>
        <v>338607.70699163631</v>
      </c>
      <c r="G252" s="23">
        <f t="shared" si="11"/>
        <v>358763.70699163631</v>
      </c>
    </row>
    <row r="253" spans="1:7" x14ac:dyDescent="0.2">
      <c r="D253" s="22"/>
    </row>
    <row r="254" spans="1:7" x14ac:dyDescent="0.2">
      <c r="D254" s="22">
        <f>SUM(D2:D252)</f>
        <v>10648051</v>
      </c>
    </row>
    <row r="255" spans="1:7" x14ac:dyDescent="0.2">
      <c r="D255" s="22"/>
    </row>
    <row r="257" spans="2:5" x14ac:dyDescent="0.2">
      <c r="B257" s="1" t="s">
        <v>482</v>
      </c>
      <c r="C257" s="1" t="s">
        <v>1</v>
      </c>
      <c r="D257" s="10">
        <v>178880340</v>
      </c>
      <c r="E257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58C7-A5D0-1047-9845-5DE469F10CCA}">
  <sheetPr>
    <tabColor rgb="FFFFFF00"/>
  </sheetPr>
  <dimension ref="A1:G257"/>
  <sheetViews>
    <sheetView workbookViewId="0">
      <selection activeCell="F2" sqref="F2:G253"/>
    </sheetView>
  </sheetViews>
  <sheetFormatPr baseColWidth="10" defaultRowHeight="16" x14ac:dyDescent="0.2"/>
  <cols>
    <col min="2" max="2" width="38.6640625" style="1" bestFit="1" customWidth="1"/>
    <col min="3" max="3" width="13.5" style="1" bestFit="1" customWidth="1"/>
    <col min="4" max="4" width="18.83203125" style="1" bestFit="1" customWidth="1"/>
    <col min="6" max="6" width="17.1640625" bestFit="1" customWidth="1"/>
    <col min="7" max="7" width="16.83203125" bestFit="1" customWidth="1"/>
  </cols>
  <sheetData>
    <row r="1" spans="1:7" x14ac:dyDescent="0.2">
      <c r="A1" t="s">
        <v>639</v>
      </c>
      <c r="B1" s="1" t="s">
        <v>634</v>
      </c>
      <c r="C1" s="1" t="s">
        <v>364</v>
      </c>
      <c r="D1" s="1" t="s">
        <v>363</v>
      </c>
      <c r="F1" t="s">
        <v>637</v>
      </c>
      <c r="G1" t="s">
        <v>638</v>
      </c>
    </row>
    <row r="2" spans="1:7" x14ac:dyDescent="0.2">
      <c r="A2">
        <v>2022</v>
      </c>
      <c r="B2" s="1" t="s">
        <v>2</v>
      </c>
      <c r="C2" s="1" t="s">
        <v>3</v>
      </c>
      <c r="E2" s="12">
        <f>D2/$D$255</f>
        <v>0</v>
      </c>
      <c r="F2">
        <f>E2*$D$257</f>
        <v>0</v>
      </c>
      <c r="G2">
        <f>SUM(F2,D2)</f>
        <v>0</v>
      </c>
    </row>
    <row r="3" spans="1:7" x14ac:dyDescent="0.2">
      <c r="A3">
        <v>2022</v>
      </c>
      <c r="B3" s="1" t="s">
        <v>4</v>
      </c>
      <c r="C3" s="1" t="s">
        <v>5</v>
      </c>
      <c r="E3" s="12">
        <f t="shared" ref="E3:E66" si="0">D3/$D$255</f>
        <v>0</v>
      </c>
      <c r="F3">
        <f t="shared" ref="F3:F66" si="1">E3*$D$257</f>
        <v>0</v>
      </c>
      <c r="G3">
        <f t="shared" ref="G3:G66" si="2">SUM(F3,D3)</f>
        <v>0</v>
      </c>
    </row>
    <row r="4" spans="1:7" x14ac:dyDescent="0.2">
      <c r="A4">
        <v>2022</v>
      </c>
      <c r="B4" s="1" t="s">
        <v>6</v>
      </c>
      <c r="C4" s="1" t="s">
        <v>7</v>
      </c>
      <c r="D4" s="10">
        <v>47998</v>
      </c>
      <c r="E4" s="12">
        <f t="shared" si="0"/>
        <v>3.5572919816483518E-3</v>
      </c>
      <c r="F4">
        <f t="shared" si="1"/>
        <v>690929.90105884243</v>
      </c>
      <c r="G4">
        <f t="shared" si="2"/>
        <v>738927.90105884243</v>
      </c>
    </row>
    <row r="5" spans="1:7" x14ac:dyDescent="0.2">
      <c r="A5">
        <v>2022</v>
      </c>
      <c r="B5" s="1" t="s">
        <v>8</v>
      </c>
      <c r="C5" s="1" t="s">
        <v>9</v>
      </c>
      <c r="D5" s="10">
        <v>2592</v>
      </c>
      <c r="E5" s="12">
        <f t="shared" si="0"/>
        <v>1.9210177124947972E-4</v>
      </c>
      <c r="F5">
        <f t="shared" si="1"/>
        <v>37311.769314232253</v>
      </c>
      <c r="G5">
        <f t="shared" si="2"/>
        <v>39903.769314232253</v>
      </c>
    </row>
    <row r="6" spans="1:7" x14ac:dyDescent="0.2">
      <c r="A6">
        <v>2022</v>
      </c>
      <c r="B6" s="1" t="s">
        <v>483</v>
      </c>
      <c r="C6" s="1" t="s">
        <v>10</v>
      </c>
      <c r="D6" s="10">
        <v>83037</v>
      </c>
      <c r="E6" s="12">
        <f t="shared" si="0"/>
        <v>6.154149220386978E-3</v>
      </c>
      <c r="F6">
        <f t="shared" si="1"/>
        <v>1195315.3505192527</v>
      </c>
      <c r="G6">
        <f t="shared" si="2"/>
        <v>1278352.3505192527</v>
      </c>
    </row>
    <row r="7" spans="1:7" x14ac:dyDescent="0.2">
      <c r="A7">
        <v>2022</v>
      </c>
      <c r="B7" s="1" t="s">
        <v>484</v>
      </c>
      <c r="C7" s="1" t="s">
        <v>11</v>
      </c>
      <c r="D7" s="10">
        <v>14224</v>
      </c>
      <c r="E7" s="12">
        <f t="shared" si="0"/>
        <v>1.0541881150665895E-3</v>
      </c>
      <c r="F7">
        <f t="shared" si="1"/>
        <v>204754.0921009412</v>
      </c>
      <c r="G7">
        <f t="shared" si="2"/>
        <v>218978.0921009412</v>
      </c>
    </row>
    <row r="8" spans="1:7" x14ac:dyDescent="0.2">
      <c r="A8">
        <v>2022</v>
      </c>
      <c r="B8" s="1" t="s">
        <v>12</v>
      </c>
      <c r="C8" s="1" t="s">
        <v>13</v>
      </c>
      <c r="E8" s="12">
        <f t="shared" si="0"/>
        <v>0</v>
      </c>
      <c r="F8">
        <f t="shared" si="1"/>
        <v>0</v>
      </c>
      <c r="G8">
        <f t="shared" si="2"/>
        <v>0</v>
      </c>
    </row>
    <row r="9" spans="1:7" x14ac:dyDescent="0.2">
      <c r="A9">
        <v>2022</v>
      </c>
      <c r="B9" s="1" t="s">
        <v>14</v>
      </c>
      <c r="C9" s="1" t="s">
        <v>15</v>
      </c>
      <c r="E9" s="12">
        <f t="shared" si="0"/>
        <v>0</v>
      </c>
      <c r="F9">
        <f t="shared" si="1"/>
        <v>0</v>
      </c>
      <c r="G9">
        <f t="shared" si="2"/>
        <v>0</v>
      </c>
    </row>
    <row r="10" spans="1:7" x14ac:dyDescent="0.2">
      <c r="A10">
        <v>2022</v>
      </c>
      <c r="B10" s="1" t="s">
        <v>16</v>
      </c>
      <c r="C10" s="1" t="s">
        <v>17</v>
      </c>
      <c r="E10" s="12">
        <f t="shared" si="0"/>
        <v>0</v>
      </c>
      <c r="F10">
        <f t="shared" si="1"/>
        <v>0</v>
      </c>
      <c r="G10">
        <f t="shared" si="2"/>
        <v>0</v>
      </c>
    </row>
    <row r="11" spans="1:7" x14ac:dyDescent="0.2">
      <c r="A11">
        <v>2022</v>
      </c>
      <c r="B11" s="1" t="s">
        <v>18</v>
      </c>
      <c r="C11" s="1" t="s">
        <v>19</v>
      </c>
      <c r="E11" s="12">
        <f t="shared" si="0"/>
        <v>0</v>
      </c>
      <c r="F11">
        <f t="shared" si="1"/>
        <v>0</v>
      </c>
      <c r="G11">
        <f t="shared" si="2"/>
        <v>0</v>
      </c>
    </row>
    <row r="12" spans="1:7" x14ac:dyDescent="0.2">
      <c r="A12">
        <v>2022</v>
      </c>
      <c r="B12" s="1" t="s">
        <v>20</v>
      </c>
      <c r="C12" s="1" t="s">
        <v>21</v>
      </c>
      <c r="E12" s="12">
        <f t="shared" si="0"/>
        <v>0</v>
      </c>
      <c r="F12">
        <f t="shared" si="1"/>
        <v>0</v>
      </c>
      <c r="G12">
        <f t="shared" si="2"/>
        <v>0</v>
      </c>
    </row>
    <row r="13" spans="1:7" x14ac:dyDescent="0.2">
      <c r="A13">
        <v>2022</v>
      </c>
      <c r="B13" s="1" t="s">
        <v>22</v>
      </c>
      <c r="C13" s="1" t="s">
        <v>23</v>
      </c>
      <c r="E13" s="12">
        <f t="shared" si="0"/>
        <v>0</v>
      </c>
      <c r="F13">
        <f t="shared" si="1"/>
        <v>0</v>
      </c>
      <c r="G13">
        <f t="shared" si="2"/>
        <v>0</v>
      </c>
    </row>
    <row r="14" spans="1:7" x14ac:dyDescent="0.2">
      <c r="A14">
        <v>2022</v>
      </c>
      <c r="B14" s="1" t="s">
        <v>24</v>
      </c>
      <c r="C14" s="1" t="s">
        <v>25</v>
      </c>
      <c r="E14" s="12">
        <f t="shared" si="0"/>
        <v>0</v>
      </c>
      <c r="F14">
        <f t="shared" si="1"/>
        <v>0</v>
      </c>
      <c r="G14">
        <f t="shared" si="2"/>
        <v>0</v>
      </c>
    </row>
    <row r="15" spans="1:7" x14ac:dyDescent="0.2">
      <c r="A15">
        <v>2022</v>
      </c>
      <c r="B15" s="1" t="s">
        <v>26</v>
      </c>
      <c r="C15" s="1" t="s">
        <v>27</v>
      </c>
      <c r="E15" s="12">
        <f t="shared" si="0"/>
        <v>0</v>
      </c>
      <c r="F15">
        <f t="shared" si="1"/>
        <v>0</v>
      </c>
      <c r="G15">
        <f t="shared" si="2"/>
        <v>0</v>
      </c>
    </row>
    <row r="16" spans="1:7" x14ac:dyDescent="0.2">
      <c r="A16">
        <v>2022</v>
      </c>
      <c r="B16" s="1" t="s">
        <v>28</v>
      </c>
      <c r="C16" s="1" t="s">
        <v>29</v>
      </c>
      <c r="E16" s="12">
        <f t="shared" si="0"/>
        <v>0</v>
      </c>
      <c r="F16">
        <f t="shared" si="1"/>
        <v>0</v>
      </c>
      <c r="G16">
        <f t="shared" si="2"/>
        <v>0</v>
      </c>
    </row>
    <row r="17" spans="1:7" x14ac:dyDescent="0.2">
      <c r="A17">
        <v>2022</v>
      </c>
      <c r="B17" s="1" t="s">
        <v>30</v>
      </c>
      <c r="C17" s="1" t="s">
        <v>31</v>
      </c>
      <c r="E17" s="12">
        <f t="shared" si="0"/>
        <v>0</v>
      </c>
      <c r="F17">
        <f t="shared" si="1"/>
        <v>0</v>
      </c>
      <c r="G17">
        <f t="shared" si="2"/>
        <v>0</v>
      </c>
    </row>
    <row r="18" spans="1:7" x14ac:dyDescent="0.2">
      <c r="A18">
        <v>2022</v>
      </c>
      <c r="B18" s="1" t="s">
        <v>32</v>
      </c>
      <c r="C18" s="1" t="s">
        <v>33</v>
      </c>
      <c r="D18" s="10">
        <v>22592</v>
      </c>
      <c r="E18" s="12">
        <f t="shared" si="0"/>
        <v>1.6743685247176876E-3</v>
      </c>
      <c r="F18">
        <f t="shared" si="1"/>
        <v>325211.22389935766</v>
      </c>
      <c r="G18">
        <f t="shared" si="2"/>
        <v>347803.22389935766</v>
      </c>
    </row>
    <row r="19" spans="1:7" x14ac:dyDescent="0.2">
      <c r="A19">
        <v>2022</v>
      </c>
      <c r="B19" s="1" t="s">
        <v>485</v>
      </c>
      <c r="C19" s="1" t="s">
        <v>486</v>
      </c>
      <c r="D19" s="10">
        <v>3812</v>
      </c>
      <c r="E19" s="12">
        <f t="shared" si="0"/>
        <v>2.825200432110404E-4</v>
      </c>
      <c r="F19">
        <f t="shared" si="1"/>
        <v>54873.636043924904</v>
      </c>
      <c r="G19">
        <f t="shared" si="2"/>
        <v>58685.636043924904</v>
      </c>
    </row>
    <row r="20" spans="1:7" x14ac:dyDescent="0.2">
      <c r="A20">
        <v>2022</v>
      </c>
      <c r="B20" s="1" t="s">
        <v>34</v>
      </c>
      <c r="C20" s="1" t="s">
        <v>35</v>
      </c>
      <c r="D20" s="10">
        <v>8163</v>
      </c>
      <c r="E20" s="12">
        <f t="shared" si="0"/>
        <v>6.0498717542804901E-4</v>
      </c>
      <c r="F20">
        <f t="shared" si="1"/>
        <v>117506.16238891894</v>
      </c>
      <c r="G20">
        <f t="shared" si="2"/>
        <v>125669.16238891894</v>
      </c>
    </row>
    <row r="21" spans="1:7" x14ac:dyDescent="0.2">
      <c r="A21">
        <v>2022</v>
      </c>
      <c r="B21" s="1" t="s">
        <v>36</v>
      </c>
      <c r="C21" s="1" t="s">
        <v>37</v>
      </c>
      <c r="D21" s="10">
        <v>360830</v>
      </c>
      <c r="E21" s="12">
        <f t="shared" si="0"/>
        <v>2.6742315632696669E-2</v>
      </c>
      <c r="F21">
        <f t="shared" si="1"/>
        <v>5194138.0098975394</v>
      </c>
      <c r="G21">
        <f t="shared" si="2"/>
        <v>5554968.0098975394</v>
      </c>
    </row>
    <row r="22" spans="1:7" x14ac:dyDescent="0.2">
      <c r="A22">
        <v>2022</v>
      </c>
      <c r="B22" s="1" t="s">
        <v>38</v>
      </c>
      <c r="C22" s="1" t="s">
        <v>39</v>
      </c>
      <c r="D22" s="10">
        <v>280236</v>
      </c>
      <c r="E22" s="12">
        <f t="shared" si="0"/>
        <v>2.0769225296245832E-2</v>
      </c>
      <c r="F22">
        <f t="shared" si="1"/>
        <v>4033989.5777558596</v>
      </c>
      <c r="G22">
        <f t="shared" si="2"/>
        <v>4314225.5777558591</v>
      </c>
    </row>
    <row r="23" spans="1:7" x14ac:dyDescent="0.2">
      <c r="A23">
        <v>2022</v>
      </c>
      <c r="B23" s="1" t="s">
        <v>40</v>
      </c>
      <c r="C23" s="1" t="s">
        <v>41</v>
      </c>
      <c r="D23" s="10">
        <v>230934</v>
      </c>
      <c r="E23" s="12">
        <f t="shared" si="0"/>
        <v>1.7115289522271353E-2</v>
      </c>
      <c r="F23">
        <f t="shared" si="1"/>
        <v>3324288.6322580674</v>
      </c>
      <c r="G23">
        <f t="shared" si="2"/>
        <v>3555222.6322580674</v>
      </c>
    </row>
    <row r="24" spans="1:7" x14ac:dyDescent="0.2">
      <c r="A24">
        <v>2022</v>
      </c>
      <c r="B24" s="1" t="s">
        <v>42</v>
      </c>
      <c r="C24" s="1" t="s">
        <v>43</v>
      </c>
      <c r="D24" s="10">
        <v>184309</v>
      </c>
      <c r="E24" s="12">
        <f t="shared" si="0"/>
        <v>1.3659755153248595E-2</v>
      </c>
      <c r="F24">
        <f t="shared" si="1"/>
        <v>2653123.0287564937</v>
      </c>
      <c r="G24">
        <f t="shared" si="2"/>
        <v>2837432.0287564937</v>
      </c>
    </row>
    <row r="25" spans="1:7" x14ac:dyDescent="0.2">
      <c r="A25">
        <v>2022</v>
      </c>
      <c r="B25" s="1" t="s">
        <v>44</v>
      </c>
      <c r="C25" s="1" t="s">
        <v>45</v>
      </c>
      <c r="D25" s="10">
        <v>49938</v>
      </c>
      <c r="E25" s="12">
        <f t="shared" si="0"/>
        <v>3.701071856734768E-3</v>
      </c>
      <c r="F25">
        <f t="shared" si="1"/>
        <v>718856.14815359958</v>
      </c>
      <c r="G25">
        <f t="shared" si="2"/>
        <v>768794.14815359958</v>
      </c>
    </row>
    <row r="26" spans="1:7" x14ac:dyDescent="0.2">
      <c r="A26">
        <v>2022</v>
      </c>
      <c r="B26" s="1" t="s">
        <v>46</v>
      </c>
      <c r="C26" s="1" t="s">
        <v>47</v>
      </c>
      <c r="D26" s="10">
        <v>171057</v>
      </c>
      <c r="E26" s="12">
        <f t="shared" si="0"/>
        <v>1.2677605202400561E-2</v>
      </c>
      <c r="F26">
        <f t="shared" si="1"/>
        <v>2462360.85014839</v>
      </c>
      <c r="G26">
        <f t="shared" si="2"/>
        <v>2633417.85014839</v>
      </c>
    </row>
    <row r="27" spans="1:7" x14ac:dyDescent="0.2">
      <c r="A27">
        <v>2022</v>
      </c>
      <c r="B27" s="1" t="s">
        <v>48</v>
      </c>
      <c r="C27" s="1" t="s">
        <v>49</v>
      </c>
      <c r="D27" s="10">
        <v>33056</v>
      </c>
      <c r="E27" s="12">
        <f t="shared" si="0"/>
        <v>2.4498904901322539E-3</v>
      </c>
      <c r="F27">
        <f t="shared" si="1"/>
        <v>475840.2185382953</v>
      </c>
      <c r="G27">
        <f t="shared" si="2"/>
        <v>508896.2185382953</v>
      </c>
    </row>
    <row r="28" spans="1:7" x14ac:dyDescent="0.2">
      <c r="A28">
        <v>2022</v>
      </c>
      <c r="B28" s="1" t="s">
        <v>50</v>
      </c>
      <c r="C28" s="1" t="s">
        <v>51</v>
      </c>
      <c r="D28" s="10">
        <v>5231</v>
      </c>
      <c r="E28" s="12">
        <f t="shared" si="0"/>
        <v>3.8768686936960976E-4</v>
      </c>
      <c r="F28">
        <f t="shared" si="1"/>
        <v>75300.102346739557</v>
      </c>
      <c r="G28">
        <f t="shared" si="2"/>
        <v>80531.102346739557</v>
      </c>
    </row>
    <row r="29" spans="1:7" x14ac:dyDescent="0.2">
      <c r="A29">
        <v>2022</v>
      </c>
      <c r="B29" s="1" t="s">
        <v>52</v>
      </c>
      <c r="C29" s="1" t="s">
        <v>53</v>
      </c>
      <c r="D29" s="10">
        <v>12754</v>
      </c>
      <c r="E29" s="12">
        <f t="shared" si="0"/>
        <v>9.452415086866761E-4</v>
      </c>
      <c r="F29">
        <f t="shared" si="1"/>
        <v>183593.48218893446</v>
      </c>
      <c r="G29">
        <f t="shared" si="2"/>
        <v>196347.48218893446</v>
      </c>
    </row>
    <row r="30" spans="1:7" x14ac:dyDescent="0.2">
      <c r="A30">
        <v>2022</v>
      </c>
      <c r="B30" s="1" t="s">
        <v>54</v>
      </c>
      <c r="C30" s="1" t="s">
        <v>55</v>
      </c>
      <c r="E30" s="12">
        <f t="shared" si="0"/>
        <v>0</v>
      </c>
      <c r="F30">
        <f t="shared" si="1"/>
        <v>0</v>
      </c>
      <c r="G30">
        <f t="shared" si="2"/>
        <v>0</v>
      </c>
    </row>
    <row r="31" spans="1:7" x14ac:dyDescent="0.2">
      <c r="A31">
        <v>2022</v>
      </c>
      <c r="B31" s="1" t="s">
        <v>56</v>
      </c>
      <c r="C31" s="1" t="s">
        <v>57</v>
      </c>
      <c r="D31" s="10">
        <v>18625</v>
      </c>
      <c r="E31" s="12">
        <f t="shared" si="0"/>
        <v>1.3803609141672685E-3</v>
      </c>
      <c r="F31">
        <f t="shared" si="1"/>
        <v>268106.36708239804</v>
      </c>
      <c r="G31">
        <f t="shared" si="2"/>
        <v>286731.36708239804</v>
      </c>
    </row>
    <row r="32" spans="1:7" x14ac:dyDescent="0.2">
      <c r="A32">
        <v>2022</v>
      </c>
      <c r="B32" s="1" t="s">
        <v>58</v>
      </c>
      <c r="C32" s="1" t="s">
        <v>59</v>
      </c>
      <c r="D32" s="10">
        <v>9390</v>
      </c>
      <c r="E32" s="12">
        <f t="shared" si="0"/>
        <v>6.9592424075332353E-4</v>
      </c>
      <c r="F32">
        <f t="shared" si="1"/>
        <v>135168.79392771638</v>
      </c>
      <c r="G32">
        <f t="shared" si="2"/>
        <v>144558.79392771638</v>
      </c>
    </row>
    <row r="33" spans="1:7" x14ac:dyDescent="0.2">
      <c r="A33">
        <v>2022</v>
      </c>
      <c r="B33" s="1" t="s">
        <v>60</v>
      </c>
      <c r="C33" s="1" t="s">
        <v>61</v>
      </c>
      <c r="D33" s="10">
        <v>3144</v>
      </c>
      <c r="E33" s="12">
        <f t="shared" si="0"/>
        <v>2.3301233364520226E-4</v>
      </c>
      <c r="F33">
        <f t="shared" si="1"/>
        <v>45257.794260781709</v>
      </c>
      <c r="G33">
        <f t="shared" si="2"/>
        <v>48401.794260781709</v>
      </c>
    </row>
    <row r="34" spans="1:7" x14ac:dyDescent="0.2">
      <c r="A34">
        <v>2022</v>
      </c>
      <c r="B34" s="1" t="s">
        <v>62</v>
      </c>
      <c r="C34" s="1" t="s">
        <v>63</v>
      </c>
      <c r="D34" s="10">
        <v>162855</v>
      </c>
      <c r="E34" s="12">
        <f t="shared" si="0"/>
        <v>1.2069727606803249E-2</v>
      </c>
      <c r="F34">
        <f t="shared" si="1"/>
        <v>2344293.2838230301</v>
      </c>
      <c r="G34">
        <f t="shared" si="2"/>
        <v>2507148.2838230301</v>
      </c>
    </row>
    <row r="35" spans="1:7" x14ac:dyDescent="0.2">
      <c r="A35">
        <v>2022</v>
      </c>
      <c r="B35" s="1" t="s">
        <v>64</v>
      </c>
      <c r="C35" s="1" t="s">
        <v>65</v>
      </c>
      <c r="D35" s="10">
        <v>16467</v>
      </c>
      <c r="E35" s="12">
        <f t="shared" si="0"/>
        <v>1.2204243314680489E-3</v>
      </c>
      <c r="F35">
        <f t="shared" si="1"/>
        <v>237042.01593266299</v>
      </c>
      <c r="G35">
        <f t="shared" si="2"/>
        <v>253509.01593266299</v>
      </c>
    </row>
    <row r="36" spans="1:7" x14ac:dyDescent="0.2">
      <c r="A36">
        <v>2022</v>
      </c>
      <c r="B36" s="1" t="s">
        <v>66</v>
      </c>
      <c r="C36" s="1" t="s">
        <v>67</v>
      </c>
      <c r="D36" s="10">
        <v>10867</v>
      </c>
      <c r="E36" s="12">
        <f t="shared" si="0"/>
        <v>8.0538964049695072E-4</v>
      </c>
      <c r="F36">
        <f t="shared" si="1"/>
        <v>156430.16864882788</v>
      </c>
      <c r="G36">
        <f t="shared" si="2"/>
        <v>167297.16864882788</v>
      </c>
    </row>
    <row r="37" spans="1:7" x14ac:dyDescent="0.2">
      <c r="A37">
        <v>2022</v>
      </c>
      <c r="B37" s="1" t="s">
        <v>68</v>
      </c>
      <c r="C37" s="1" t="s">
        <v>69</v>
      </c>
      <c r="D37" s="10">
        <v>22762</v>
      </c>
      <c r="E37" s="12">
        <f t="shared" si="0"/>
        <v>1.6869677921221673E-3</v>
      </c>
      <c r="F37">
        <f t="shared" si="1"/>
        <v>327658.36926333123</v>
      </c>
      <c r="G37">
        <f t="shared" si="2"/>
        <v>350420.36926333123</v>
      </c>
    </row>
    <row r="38" spans="1:7" x14ac:dyDescent="0.2">
      <c r="A38">
        <v>2022</v>
      </c>
      <c r="B38" s="1" t="s">
        <v>70</v>
      </c>
      <c r="C38" s="1" t="s">
        <v>71</v>
      </c>
      <c r="D38" s="10">
        <v>3168</v>
      </c>
      <c r="E38" s="12">
        <f t="shared" si="0"/>
        <v>2.347910537493641E-4</v>
      </c>
      <c r="F38">
        <f t="shared" si="1"/>
        <v>45603.273606283859</v>
      </c>
      <c r="G38">
        <f t="shared" si="2"/>
        <v>48771.273606283859</v>
      </c>
    </row>
    <row r="39" spans="1:7" x14ac:dyDescent="0.2">
      <c r="A39">
        <v>2022</v>
      </c>
      <c r="B39" s="1" t="s">
        <v>72</v>
      </c>
      <c r="C39" s="1" t="s">
        <v>73</v>
      </c>
      <c r="D39" s="10">
        <v>14252</v>
      </c>
      <c r="E39" s="12">
        <f t="shared" si="0"/>
        <v>1.0562632885214448E-3</v>
      </c>
      <c r="F39">
        <f t="shared" si="1"/>
        <v>205157.15133736035</v>
      </c>
      <c r="G39">
        <f t="shared" si="2"/>
        <v>219409.15133736035</v>
      </c>
    </row>
    <row r="40" spans="1:7" x14ac:dyDescent="0.2">
      <c r="A40">
        <v>2022</v>
      </c>
      <c r="B40" s="1" t="s">
        <v>74</v>
      </c>
      <c r="C40" s="1" t="s">
        <v>75</v>
      </c>
      <c r="D40" s="10">
        <v>107817</v>
      </c>
      <c r="E40" s="12">
        <f t="shared" si="0"/>
        <v>7.9906777279340879E-3</v>
      </c>
      <c r="F40">
        <f t="shared" si="1"/>
        <v>1552022.7747502232</v>
      </c>
      <c r="G40">
        <f t="shared" si="2"/>
        <v>1659839.7747502232</v>
      </c>
    </row>
    <row r="41" spans="1:7" x14ac:dyDescent="0.2">
      <c r="A41">
        <v>2022</v>
      </c>
      <c r="B41" s="1" t="s">
        <v>76</v>
      </c>
      <c r="C41" s="1" t="s">
        <v>77</v>
      </c>
      <c r="D41" s="10">
        <v>22012</v>
      </c>
      <c r="E41" s="12">
        <f t="shared" si="0"/>
        <v>1.6313827888671095E-3</v>
      </c>
      <c r="F41">
        <f t="shared" si="1"/>
        <v>316862.13971638901</v>
      </c>
      <c r="G41">
        <f t="shared" si="2"/>
        <v>338874.13971638901</v>
      </c>
    </row>
    <row r="42" spans="1:7" x14ac:dyDescent="0.2">
      <c r="A42">
        <v>2022</v>
      </c>
      <c r="B42" s="1" t="s">
        <v>78</v>
      </c>
      <c r="C42" s="1" t="s">
        <v>79</v>
      </c>
      <c r="D42" s="10">
        <v>50124</v>
      </c>
      <c r="E42" s="12">
        <f t="shared" si="0"/>
        <v>3.7148569375420222E-3</v>
      </c>
      <c r="F42">
        <f t="shared" si="1"/>
        <v>721533.61308124126</v>
      </c>
      <c r="G42">
        <f t="shared" si="2"/>
        <v>771657.61308124126</v>
      </c>
    </row>
    <row r="43" spans="1:7" x14ac:dyDescent="0.2">
      <c r="A43">
        <v>2022</v>
      </c>
      <c r="B43" s="1" t="s">
        <v>80</v>
      </c>
      <c r="C43" s="1" t="s">
        <v>81</v>
      </c>
      <c r="D43" s="10">
        <v>1134</v>
      </c>
      <c r="E43" s="12">
        <f t="shared" si="0"/>
        <v>8.4044524921647379E-5</v>
      </c>
      <c r="F43">
        <f t="shared" si="1"/>
        <v>16323.899074976609</v>
      </c>
      <c r="G43">
        <f t="shared" si="2"/>
        <v>17457.899074976609</v>
      </c>
    </row>
    <row r="44" spans="1:7" x14ac:dyDescent="0.2">
      <c r="A44">
        <v>2022</v>
      </c>
      <c r="B44" s="1" t="s">
        <v>82</v>
      </c>
      <c r="C44" s="1" t="s">
        <v>83</v>
      </c>
      <c r="D44" s="10">
        <v>39639</v>
      </c>
      <c r="E44" s="12">
        <f t="shared" si="0"/>
        <v>2.9377785920363143E-3</v>
      </c>
      <c r="F44">
        <f t="shared" si="1"/>
        <v>570602.32401498931</v>
      </c>
      <c r="G44">
        <f t="shared" si="2"/>
        <v>610241.32401498931</v>
      </c>
    </row>
    <row r="45" spans="1:7" x14ac:dyDescent="0.2">
      <c r="A45">
        <v>2022</v>
      </c>
      <c r="B45" s="1" t="s">
        <v>84</v>
      </c>
      <c r="C45" s="1" t="s">
        <v>85</v>
      </c>
      <c r="D45" s="10">
        <v>4208</v>
      </c>
      <c r="E45" s="12">
        <f t="shared" si="0"/>
        <v>3.1186892492971092E-4</v>
      </c>
      <c r="F45">
        <f t="shared" si="1"/>
        <v>60574.045244710382</v>
      </c>
      <c r="G45">
        <f t="shared" si="2"/>
        <v>64782.045244710382</v>
      </c>
    </row>
    <row r="46" spans="1:7" x14ac:dyDescent="0.2">
      <c r="A46">
        <v>2022</v>
      </c>
      <c r="B46" s="1" t="s">
        <v>86</v>
      </c>
      <c r="C46" s="1" t="s">
        <v>87</v>
      </c>
      <c r="D46" s="10">
        <v>729223</v>
      </c>
      <c r="E46" s="12">
        <f t="shared" si="0"/>
        <v>5.4045150438217344E-2</v>
      </c>
      <c r="F46">
        <f t="shared" si="1"/>
        <v>10497145.198546445</v>
      </c>
      <c r="G46">
        <f t="shared" si="2"/>
        <v>11226368.198546445</v>
      </c>
    </row>
    <row r="47" spans="1:7" x14ac:dyDescent="0.2">
      <c r="A47">
        <v>2022</v>
      </c>
      <c r="B47" s="1" t="s">
        <v>88</v>
      </c>
      <c r="C47" s="1" t="s">
        <v>89</v>
      </c>
      <c r="D47" s="10">
        <v>27561</v>
      </c>
      <c r="E47" s="12">
        <f t="shared" si="0"/>
        <v>2.0426376996168635E-3</v>
      </c>
      <c r="F47">
        <f t="shared" si="1"/>
        <v>396739.84339103202</v>
      </c>
      <c r="G47">
        <f t="shared" si="2"/>
        <v>424300.84339103202</v>
      </c>
    </row>
    <row r="48" spans="1:7" x14ac:dyDescent="0.2">
      <c r="A48">
        <v>2022</v>
      </c>
      <c r="B48" s="1" t="s">
        <v>90</v>
      </c>
      <c r="C48" s="1" t="s">
        <v>91</v>
      </c>
      <c r="D48" s="10">
        <v>59790</v>
      </c>
      <c r="E48" s="12">
        <f t="shared" si="0"/>
        <v>4.4312364594932072E-3</v>
      </c>
      <c r="F48">
        <f t="shared" si="1"/>
        <v>860675.41948223242</v>
      </c>
      <c r="G48">
        <f t="shared" si="2"/>
        <v>920465.41948223242</v>
      </c>
    </row>
    <row r="49" spans="1:7" x14ac:dyDescent="0.2">
      <c r="A49">
        <v>2022</v>
      </c>
      <c r="B49" s="1" t="s">
        <v>632</v>
      </c>
      <c r="C49" s="1" t="s">
        <v>633</v>
      </c>
      <c r="D49" s="10">
        <v>19781</v>
      </c>
      <c r="E49" s="12">
        <f t="shared" si="0"/>
        <v>1.4660359325177309E-3</v>
      </c>
      <c r="F49">
        <f t="shared" si="1"/>
        <v>284746.95555741829</v>
      </c>
      <c r="G49">
        <f t="shared" si="2"/>
        <v>304527.95555741829</v>
      </c>
    </row>
    <row r="50" spans="1:7" x14ac:dyDescent="0.2">
      <c r="A50">
        <v>2022</v>
      </c>
      <c r="B50" s="1" t="s">
        <v>92</v>
      </c>
      <c r="C50" s="1" t="s">
        <v>93</v>
      </c>
      <c r="E50" s="12">
        <f t="shared" si="0"/>
        <v>0</v>
      </c>
      <c r="F50">
        <f t="shared" si="1"/>
        <v>0</v>
      </c>
      <c r="G50">
        <f t="shared" si="2"/>
        <v>0</v>
      </c>
    </row>
    <row r="51" spans="1:7" x14ac:dyDescent="0.2">
      <c r="A51">
        <v>2022</v>
      </c>
      <c r="B51" s="1" t="s">
        <v>94</v>
      </c>
      <c r="C51" s="1" t="s">
        <v>95</v>
      </c>
      <c r="D51" s="10">
        <v>37474</v>
      </c>
      <c r="E51" s="12">
        <f t="shared" si="0"/>
        <v>2.7773232159733811E-3</v>
      </c>
      <c r="F51">
        <f t="shared" si="1"/>
        <v>539437.20805614954</v>
      </c>
      <c r="G51">
        <f t="shared" si="2"/>
        <v>576911.20805614954</v>
      </c>
    </row>
    <row r="52" spans="1:7" x14ac:dyDescent="0.2">
      <c r="A52">
        <v>2022</v>
      </c>
      <c r="B52" s="1" t="s">
        <v>96</v>
      </c>
      <c r="C52" s="1" t="s">
        <v>97</v>
      </c>
      <c r="D52" s="10">
        <v>13008</v>
      </c>
      <c r="E52" s="12">
        <f t="shared" si="0"/>
        <v>9.6406629645572235E-4</v>
      </c>
      <c r="F52">
        <f t="shared" si="1"/>
        <v>187249.80526216555</v>
      </c>
      <c r="G52">
        <f t="shared" si="2"/>
        <v>200257.80526216555</v>
      </c>
    </row>
    <row r="53" spans="1:7" x14ac:dyDescent="0.2">
      <c r="A53">
        <v>2022</v>
      </c>
      <c r="B53" s="1" t="s">
        <v>487</v>
      </c>
      <c r="C53" s="1" t="s">
        <v>98</v>
      </c>
      <c r="D53" s="10">
        <v>15920</v>
      </c>
      <c r="E53" s="12">
        <f t="shared" si="0"/>
        <v>1.1798843357606933E-3</v>
      </c>
      <c r="F53">
        <f t="shared" si="1"/>
        <v>229167.96584975981</v>
      </c>
      <c r="G53">
        <f t="shared" si="2"/>
        <v>245087.96584975981</v>
      </c>
    </row>
    <row r="54" spans="1:7" x14ac:dyDescent="0.2">
      <c r="A54">
        <v>2022</v>
      </c>
      <c r="B54" s="1" t="s">
        <v>488</v>
      </c>
      <c r="C54" s="1" t="s">
        <v>99</v>
      </c>
      <c r="D54" s="10">
        <v>36456</v>
      </c>
      <c r="E54" s="12">
        <f t="shared" si="0"/>
        <v>2.701875838221849E-3</v>
      </c>
      <c r="F54">
        <f t="shared" si="1"/>
        <v>524783.12581776653</v>
      </c>
      <c r="G54">
        <f t="shared" si="2"/>
        <v>561239.12581776653</v>
      </c>
    </row>
    <row r="55" spans="1:7" x14ac:dyDescent="0.2">
      <c r="A55">
        <v>2022</v>
      </c>
      <c r="B55" s="1" t="s">
        <v>626</v>
      </c>
      <c r="C55" s="1" t="s">
        <v>627</v>
      </c>
      <c r="E55" s="12">
        <f t="shared" si="0"/>
        <v>0</v>
      </c>
      <c r="F55">
        <f t="shared" si="1"/>
        <v>0</v>
      </c>
      <c r="G55">
        <f t="shared" si="2"/>
        <v>0</v>
      </c>
    </row>
    <row r="56" spans="1:7" x14ac:dyDescent="0.2">
      <c r="A56">
        <v>2022</v>
      </c>
      <c r="B56" s="1" t="s">
        <v>489</v>
      </c>
      <c r="C56" s="1" t="s">
        <v>100</v>
      </c>
      <c r="E56" s="12">
        <f t="shared" si="0"/>
        <v>0</v>
      </c>
      <c r="F56">
        <f t="shared" si="1"/>
        <v>0</v>
      </c>
      <c r="G56">
        <f t="shared" si="2"/>
        <v>0</v>
      </c>
    </row>
    <row r="57" spans="1:7" x14ac:dyDescent="0.2">
      <c r="A57">
        <v>2022</v>
      </c>
      <c r="B57" s="1" t="s">
        <v>490</v>
      </c>
      <c r="C57" s="1" t="s">
        <v>491</v>
      </c>
      <c r="D57" s="10">
        <v>11880</v>
      </c>
      <c r="E57" s="12">
        <f t="shared" si="0"/>
        <v>8.8046645156011536E-4</v>
      </c>
      <c r="F57">
        <f t="shared" si="1"/>
        <v>171012.27602356448</v>
      </c>
      <c r="G57">
        <f t="shared" si="2"/>
        <v>182892.27602356448</v>
      </c>
    </row>
    <row r="58" spans="1:7" x14ac:dyDescent="0.2">
      <c r="A58">
        <v>2022</v>
      </c>
      <c r="B58" s="1" t="s">
        <v>492</v>
      </c>
      <c r="C58" s="1" t="s">
        <v>101</v>
      </c>
      <c r="E58" s="12">
        <f t="shared" si="0"/>
        <v>0</v>
      </c>
      <c r="F58">
        <f t="shared" si="1"/>
        <v>0</v>
      </c>
      <c r="G58">
        <f t="shared" si="2"/>
        <v>0</v>
      </c>
    </row>
    <row r="59" spans="1:7" x14ac:dyDescent="0.2">
      <c r="A59">
        <v>2022</v>
      </c>
      <c r="B59" s="1" t="s">
        <v>493</v>
      </c>
      <c r="C59" s="1" t="s">
        <v>102</v>
      </c>
      <c r="D59" s="10">
        <v>760122</v>
      </c>
      <c r="E59" s="12">
        <f t="shared" si="0"/>
        <v>5.6335178458988049E-2</v>
      </c>
      <c r="F59">
        <f t="shared" si="1"/>
        <v>10941935.460907733</v>
      </c>
      <c r="G59">
        <f t="shared" si="2"/>
        <v>11702057.460907733</v>
      </c>
    </row>
    <row r="60" spans="1:7" x14ac:dyDescent="0.2">
      <c r="A60">
        <v>2022</v>
      </c>
      <c r="B60" s="1" t="s">
        <v>494</v>
      </c>
      <c r="C60" s="1" t="s">
        <v>103</v>
      </c>
      <c r="D60" s="10">
        <v>45269</v>
      </c>
      <c r="E60" s="12">
        <f t="shared" si="0"/>
        <v>3.3550366831376147E-3</v>
      </c>
      <c r="F60">
        <f t="shared" si="1"/>
        <v>651646.02048070205</v>
      </c>
      <c r="G60">
        <f t="shared" si="2"/>
        <v>696915.02048070205</v>
      </c>
    </row>
    <row r="61" spans="1:7" x14ac:dyDescent="0.2">
      <c r="A61">
        <v>2022</v>
      </c>
      <c r="B61" s="1" t="s">
        <v>495</v>
      </c>
      <c r="C61" s="1" t="s">
        <v>104</v>
      </c>
      <c r="D61" s="10">
        <v>374791</v>
      </c>
      <c r="E61" s="12">
        <f t="shared" si="0"/>
        <v>2.7777011939955153E-2</v>
      </c>
      <c r="F61">
        <f t="shared" si="1"/>
        <v>5395106.2241706867</v>
      </c>
      <c r="G61">
        <f t="shared" si="2"/>
        <v>5769897.2241706867</v>
      </c>
    </row>
    <row r="62" spans="1:7" x14ac:dyDescent="0.2">
      <c r="A62">
        <v>2022</v>
      </c>
      <c r="B62" s="1" t="s">
        <v>496</v>
      </c>
      <c r="C62" s="1" t="s">
        <v>105</v>
      </c>
      <c r="D62" s="10">
        <v>132275</v>
      </c>
      <c r="E62" s="12">
        <f t="shared" si="0"/>
        <v>9.8033417407503588E-3</v>
      </c>
      <c r="F62">
        <f t="shared" si="1"/>
        <v>1904095.017762373</v>
      </c>
      <c r="G62">
        <f t="shared" si="2"/>
        <v>2036370.017762373</v>
      </c>
    </row>
    <row r="63" spans="1:7" x14ac:dyDescent="0.2">
      <c r="A63">
        <v>2022</v>
      </c>
      <c r="B63" s="1" t="s">
        <v>628</v>
      </c>
      <c r="C63" s="1" t="s">
        <v>629</v>
      </c>
      <c r="D63" s="10">
        <v>13626</v>
      </c>
      <c r="E63" s="12">
        <f t="shared" si="0"/>
        <v>1.00986833913789E-3</v>
      </c>
      <c r="F63">
        <f t="shared" si="1"/>
        <v>196145.89840884594</v>
      </c>
      <c r="G63">
        <f t="shared" si="2"/>
        <v>209771.89840884594</v>
      </c>
    </row>
    <row r="64" spans="1:7" x14ac:dyDescent="0.2">
      <c r="A64">
        <v>2022</v>
      </c>
      <c r="B64" s="1" t="s">
        <v>497</v>
      </c>
      <c r="C64" s="1" t="s">
        <v>106</v>
      </c>
      <c r="D64" s="10">
        <v>280541</v>
      </c>
      <c r="E64" s="12">
        <f t="shared" si="0"/>
        <v>2.0791829864236222E-2</v>
      </c>
      <c r="F64">
        <f t="shared" si="1"/>
        <v>4038380.044438283</v>
      </c>
      <c r="G64">
        <f t="shared" si="2"/>
        <v>4318921.044438283</v>
      </c>
    </row>
    <row r="65" spans="1:7" x14ac:dyDescent="0.2">
      <c r="A65">
        <v>2022</v>
      </c>
      <c r="B65" s="1" t="s">
        <v>498</v>
      </c>
      <c r="C65" s="1" t="s">
        <v>499</v>
      </c>
      <c r="D65" s="10">
        <v>3569</v>
      </c>
      <c r="E65" s="12">
        <f t="shared" si="0"/>
        <v>2.6451050215640167E-4</v>
      </c>
      <c r="F65">
        <f t="shared" si="1"/>
        <v>51375.657670715627</v>
      </c>
      <c r="G65">
        <f t="shared" si="2"/>
        <v>54944.657670715627</v>
      </c>
    </row>
    <row r="66" spans="1:7" x14ac:dyDescent="0.2">
      <c r="A66">
        <v>2022</v>
      </c>
      <c r="B66" s="1" t="s">
        <v>107</v>
      </c>
      <c r="C66" s="1" t="s">
        <v>108</v>
      </c>
      <c r="D66" s="10">
        <v>11361</v>
      </c>
      <c r="E66" s="12">
        <f t="shared" si="0"/>
        <v>8.4200162930761545E-4</v>
      </c>
      <c r="F66">
        <f t="shared" si="1"/>
        <v>163541.28517708048</v>
      </c>
      <c r="G66">
        <f t="shared" si="2"/>
        <v>174902.28517708048</v>
      </c>
    </row>
    <row r="67" spans="1:7" x14ac:dyDescent="0.2">
      <c r="A67">
        <v>2022</v>
      </c>
      <c r="B67" s="1" t="s">
        <v>500</v>
      </c>
      <c r="C67" s="1" t="s">
        <v>501</v>
      </c>
      <c r="D67" s="10">
        <v>8392</v>
      </c>
      <c r="E67" s="12">
        <f t="shared" ref="E67:E130" si="3">D67/$D$255</f>
        <v>6.2195912975525998E-4</v>
      </c>
      <c r="F67">
        <f t="shared" ref="F67:F130" si="4">E67*$D$257</f>
        <v>120802.61114391862</v>
      </c>
      <c r="G67">
        <f t="shared" ref="G67:G130" si="5">SUM(F67,D67)</f>
        <v>129194.61114391862</v>
      </c>
    </row>
    <row r="68" spans="1:7" x14ac:dyDescent="0.2">
      <c r="A68">
        <v>2022</v>
      </c>
      <c r="B68" s="1" t="s">
        <v>109</v>
      </c>
      <c r="C68" s="1" t="s">
        <v>110</v>
      </c>
      <c r="D68" s="10">
        <v>370574</v>
      </c>
      <c r="E68" s="12">
        <f t="shared" si="3"/>
        <v>2.746447599498638E-2</v>
      </c>
      <c r="F68">
        <f t="shared" si="4"/>
        <v>5334402.6241714125</v>
      </c>
      <c r="G68">
        <f t="shared" si="5"/>
        <v>5704976.6241714125</v>
      </c>
    </row>
    <row r="69" spans="1:7" x14ac:dyDescent="0.2">
      <c r="A69">
        <v>2022</v>
      </c>
      <c r="B69" s="1" t="s">
        <v>502</v>
      </c>
      <c r="C69" s="1" t="s">
        <v>111</v>
      </c>
      <c r="D69" s="10">
        <v>72846</v>
      </c>
      <c r="E69" s="12">
        <f t="shared" si="3"/>
        <v>5.3988601961572529E-3</v>
      </c>
      <c r="F69">
        <f t="shared" si="4"/>
        <v>1048616.1834354021</v>
      </c>
      <c r="G69">
        <f t="shared" si="5"/>
        <v>1121462.1834354021</v>
      </c>
    </row>
    <row r="70" spans="1:7" x14ac:dyDescent="0.2">
      <c r="A70">
        <v>2022</v>
      </c>
      <c r="B70" s="1" t="s">
        <v>503</v>
      </c>
      <c r="C70" s="1" t="s">
        <v>112</v>
      </c>
      <c r="D70" s="10">
        <v>33269</v>
      </c>
      <c r="E70" s="12">
        <f t="shared" si="3"/>
        <v>2.4656766310566904E-3</v>
      </c>
      <c r="F70">
        <f t="shared" si="4"/>
        <v>478906.34772962687</v>
      </c>
      <c r="G70">
        <f t="shared" si="5"/>
        <v>512175.34772962687</v>
      </c>
    </row>
    <row r="71" spans="1:7" x14ac:dyDescent="0.2">
      <c r="A71">
        <v>2022</v>
      </c>
      <c r="B71" s="1" t="s">
        <v>504</v>
      </c>
      <c r="C71" s="1" t="s">
        <v>113</v>
      </c>
      <c r="D71" s="10">
        <v>7675</v>
      </c>
      <c r="E71" s="12">
        <f t="shared" si="3"/>
        <v>5.688198666434247E-4</v>
      </c>
      <c r="F71">
        <f t="shared" si="4"/>
        <v>110481.41569704187</v>
      </c>
      <c r="G71">
        <f t="shared" si="5"/>
        <v>118156.41569704187</v>
      </c>
    </row>
    <row r="72" spans="1:7" x14ac:dyDescent="0.2">
      <c r="A72">
        <v>2022</v>
      </c>
      <c r="B72" s="1" t="s">
        <v>114</v>
      </c>
      <c r="C72" s="1" t="s">
        <v>115</v>
      </c>
      <c r="D72" s="10">
        <v>20158</v>
      </c>
      <c r="E72" s="12">
        <f t="shared" si="3"/>
        <v>1.4939766608206065E-3</v>
      </c>
      <c r="F72">
        <f t="shared" si="4"/>
        <v>290173.86027634784</v>
      </c>
      <c r="G72">
        <f t="shared" si="5"/>
        <v>310331.86027634784</v>
      </c>
    </row>
    <row r="73" spans="1:7" x14ac:dyDescent="0.2">
      <c r="A73">
        <v>2022</v>
      </c>
      <c r="B73" s="1" t="s">
        <v>505</v>
      </c>
      <c r="C73" s="1" t="s">
        <v>116</v>
      </c>
      <c r="D73" s="10">
        <v>70211</v>
      </c>
      <c r="E73" s="12">
        <f t="shared" si="3"/>
        <v>5.2035715513878171E-3</v>
      </c>
      <c r="F73">
        <f t="shared" si="4"/>
        <v>1010685.4302938121</v>
      </c>
      <c r="G73">
        <f t="shared" si="5"/>
        <v>1080896.430293812</v>
      </c>
    </row>
    <row r="74" spans="1:7" x14ac:dyDescent="0.2">
      <c r="A74">
        <v>2022</v>
      </c>
      <c r="B74" s="1" t="s">
        <v>506</v>
      </c>
      <c r="C74" s="1" t="s">
        <v>117</v>
      </c>
      <c r="D74" s="10">
        <v>203028</v>
      </c>
      <c r="E74" s="12">
        <f t="shared" si="3"/>
        <v>1.5047082721157163E-2</v>
      </c>
      <c r="F74">
        <f t="shared" si="4"/>
        <v>2922582.523275442</v>
      </c>
      <c r="G74">
        <f t="shared" si="5"/>
        <v>3125610.523275442</v>
      </c>
    </row>
    <row r="75" spans="1:7" x14ac:dyDescent="0.2">
      <c r="A75">
        <v>2022</v>
      </c>
      <c r="B75" s="1" t="s">
        <v>118</v>
      </c>
      <c r="C75" s="1" t="s">
        <v>119</v>
      </c>
      <c r="D75" s="10">
        <v>60351</v>
      </c>
      <c r="E75" s="12">
        <f t="shared" si="3"/>
        <v>4.47281404192799E-3</v>
      </c>
      <c r="F75">
        <f t="shared" si="4"/>
        <v>868750.99918334512</v>
      </c>
      <c r="G75">
        <f t="shared" si="5"/>
        <v>929101.99918334512</v>
      </c>
    </row>
    <row r="76" spans="1:7" x14ac:dyDescent="0.2">
      <c r="A76">
        <v>2022</v>
      </c>
      <c r="B76" s="1" t="s">
        <v>507</v>
      </c>
      <c r="C76" s="1" t="s">
        <v>120</v>
      </c>
      <c r="D76" s="10">
        <v>274801</v>
      </c>
      <c r="E76" s="12">
        <f t="shared" si="3"/>
        <v>2.0366419305990847E-2</v>
      </c>
      <c r="F76">
        <f t="shared" si="4"/>
        <v>3955752.9009723519</v>
      </c>
      <c r="G76">
        <f t="shared" si="5"/>
        <v>4230553.9009723514</v>
      </c>
    </row>
    <row r="77" spans="1:7" x14ac:dyDescent="0.2">
      <c r="A77">
        <v>2022</v>
      </c>
      <c r="B77" s="1" t="s">
        <v>121</v>
      </c>
      <c r="C77" s="1" t="s">
        <v>122</v>
      </c>
      <c r="E77" s="12">
        <f t="shared" si="3"/>
        <v>0</v>
      </c>
      <c r="F77">
        <f t="shared" si="4"/>
        <v>0</v>
      </c>
      <c r="G77">
        <f t="shared" si="5"/>
        <v>0</v>
      </c>
    </row>
    <row r="78" spans="1:7" x14ac:dyDescent="0.2">
      <c r="A78">
        <v>2022</v>
      </c>
      <c r="B78" s="1" t="s">
        <v>123</v>
      </c>
      <c r="C78" s="1" t="s">
        <v>124</v>
      </c>
      <c r="D78" s="10">
        <v>8469</v>
      </c>
      <c r="E78" s="12">
        <f t="shared" si="3"/>
        <v>6.2766585675611258E-4</v>
      </c>
      <c r="F78">
        <f t="shared" si="4"/>
        <v>121911.02404407135</v>
      </c>
      <c r="G78">
        <f t="shared" si="5"/>
        <v>130380.02404407135</v>
      </c>
    </row>
    <row r="79" spans="1:7" x14ac:dyDescent="0.2">
      <c r="A79">
        <v>2022</v>
      </c>
      <c r="B79" s="1" t="s">
        <v>508</v>
      </c>
      <c r="C79" s="1" t="s">
        <v>125</v>
      </c>
      <c r="D79" s="10">
        <v>178158</v>
      </c>
      <c r="E79" s="12">
        <f t="shared" si="3"/>
        <v>1.3203884013219447E-2</v>
      </c>
      <c r="F79">
        <f t="shared" si="4"/>
        <v>2564579.5514988382</v>
      </c>
      <c r="G79">
        <f t="shared" si="5"/>
        <v>2742737.5514988382</v>
      </c>
    </row>
    <row r="80" spans="1:7" x14ac:dyDescent="0.2">
      <c r="A80">
        <v>2022</v>
      </c>
      <c r="B80" s="1" t="s">
        <v>509</v>
      </c>
      <c r="C80" s="1" t="s">
        <v>126</v>
      </c>
      <c r="D80" s="10">
        <v>150479</v>
      </c>
      <c r="E80" s="12">
        <f t="shared" si="3"/>
        <v>1.1152500939757122E-2</v>
      </c>
      <c r="F80">
        <f t="shared" si="4"/>
        <v>2166141.1013257541</v>
      </c>
      <c r="G80">
        <f t="shared" si="5"/>
        <v>2316620.1013257541</v>
      </c>
    </row>
    <row r="81" spans="1:7" x14ac:dyDescent="0.2">
      <c r="A81">
        <v>2022</v>
      </c>
      <c r="B81" s="1" t="s">
        <v>127</v>
      </c>
      <c r="C81" s="1" t="s">
        <v>128</v>
      </c>
      <c r="D81" s="10">
        <v>2973</v>
      </c>
      <c r="E81" s="12">
        <f t="shared" si="3"/>
        <v>2.2033895290304907E-4</v>
      </c>
      <c r="F81">
        <f t="shared" si="4"/>
        <v>42796.25392407889</v>
      </c>
      <c r="G81">
        <f t="shared" si="5"/>
        <v>45769.25392407889</v>
      </c>
    </row>
    <row r="82" spans="1:7" x14ac:dyDescent="0.2">
      <c r="A82">
        <v>2022</v>
      </c>
      <c r="B82" s="1" t="s">
        <v>129</v>
      </c>
      <c r="C82" s="1" t="s">
        <v>130</v>
      </c>
      <c r="D82" s="10">
        <v>29327</v>
      </c>
      <c r="E82" s="12">
        <f t="shared" si="3"/>
        <v>2.1735218539481065E-3</v>
      </c>
      <c r="F82">
        <f t="shared" si="4"/>
        <v>422161.36523089866</v>
      </c>
      <c r="G82">
        <f t="shared" si="5"/>
        <v>451488.36523089866</v>
      </c>
    </row>
    <row r="83" spans="1:7" x14ac:dyDescent="0.2">
      <c r="A83">
        <v>2022</v>
      </c>
      <c r="B83" s="1" t="s">
        <v>510</v>
      </c>
      <c r="C83" s="1" t="s">
        <v>131</v>
      </c>
      <c r="D83" s="10">
        <v>111668</v>
      </c>
      <c r="E83" s="12">
        <f t="shared" si="3"/>
        <v>8.2760881913143906E-3</v>
      </c>
      <c r="F83">
        <f t="shared" si="4"/>
        <v>1607457.814730589</v>
      </c>
      <c r="G83">
        <f t="shared" si="5"/>
        <v>1719125.814730589</v>
      </c>
    </row>
    <row r="84" spans="1:7" x14ac:dyDescent="0.2">
      <c r="A84">
        <v>2022</v>
      </c>
      <c r="B84" s="1" t="s">
        <v>511</v>
      </c>
      <c r="C84" s="1" t="s">
        <v>132</v>
      </c>
      <c r="D84" s="10">
        <v>111947</v>
      </c>
      <c r="E84" s="12">
        <f t="shared" si="3"/>
        <v>8.2967658125252721E-3</v>
      </c>
      <c r="F84">
        <f t="shared" si="4"/>
        <v>1611474.0121220516</v>
      </c>
      <c r="G84">
        <f t="shared" si="5"/>
        <v>1723421.0121220516</v>
      </c>
    </row>
    <row r="85" spans="1:7" x14ac:dyDescent="0.2">
      <c r="A85">
        <v>2022</v>
      </c>
      <c r="B85" s="1" t="s">
        <v>133</v>
      </c>
      <c r="C85" s="1" t="s">
        <v>134</v>
      </c>
      <c r="D85" s="10">
        <v>46758</v>
      </c>
      <c r="E85" s="12">
        <f t="shared" si="3"/>
        <v>3.4653914429333228E-3</v>
      </c>
      <c r="F85">
        <f t="shared" si="4"/>
        <v>673080.1348745646</v>
      </c>
      <c r="G85">
        <f t="shared" si="5"/>
        <v>719838.1348745646</v>
      </c>
    </row>
    <row r="86" spans="1:7" x14ac:dyDescent="0.2">
      <c r="A86">
        <v>2022</v>
      </c>
      <c r="B86" s="1" t="s">
        <v>512</v>
      </c>
      <c r="C86" s="1" t="s">
        <v>135</v>
      </c>
      <c r="D86" s="10">
        <v>84721</v>
      </c>
      <c r="E86" s="12">
        <f t="shared" si="3"/>
        <v>6.2789560810290017E-3</v>
      </c>
      <c r="F86">
        <f t="shared" si="4"/>
        <v>1219556.4845953204</v>
      </c>
      <c r="G86">
        <f t="shared" si="5"/>
        <v>1304277.4845953204</v>
      </c>
    </row>
    <row r="87" spans="1:7" x14ac:dyDescent="0.2">
      <c r="A87">
        <v>2022</v>
      </c>
      <c r="B87" s="1" t="s">
        <v>136</v>
      </c>
      <c r="C87" s="1" t="s">
        <v>137</v>
      </c>
      <c r="D87" s="10">
        <v>67134</v>
      </c>
      <c r="E87" s="12">
        <f t="shared" si="3"/>
        <v>4.9755248113667327E-3</v>
      </c>
      <c r="F87">
        <f t="shared" si="4"/>
        <v>966392.09920589032</v>
      </c>
      <c r="G87">
        <f t="shared" si="5"/>
        <v>1033526.0992058903</v>
      </c>
    </row>
    <row r="88" spans="1:7" x14ac:dyDescent="0.2">
      <c r="A88">
        <v>2022</v>
      </c>
      <c r="B88" s="1" t="s">
        <v>513</v>
      </c>
      <c r="C88" s="1" t="s">
        <v>138</v>
      </c>
      <c r="D88" s="10">
        <v>23988</v>
      </c>
      <c r="E88" s="12">
        <f t="shared" si="3"/>
        <v>1.7778307441097684E-3</v>
      </c>
      <c r="F88">
        <f t="shared" si="4"/>
        <v>345306.60582939937</v>
      </c>
      <c r="G88">
        <f t="shared" si="5"/>
        <v>369294.60582939937</v>
      </c>
    </row>
    <row r="89" spans="1:7" x14ac:dyDescent="0.2">
      <c r="A89">
        <v>2022</v>
      </c>
      <c r="B89" s="1" t="s">
        <v>514</v>
      </c>
      <c r="C89" s="1" t="s">
        <v>139</v>
      </c>
      <c r="D89" s="10">
        <v>82124</v>
      </c>
      <c r="E89" s="12">
        <f t="shared" si="3"/>
        <v>6.0864837430911548E-3</v>
      </c>
      <c r="F89">
        <f t="shared" si="4"/>
        <v>1182172.7404174418</v>
      </c>
      <c r="G89">
        <f t="shared" si="5"/>
        <v>1264296.7404174418</v>
      </c>
    </row>
    <row r="90" spans="1:7" x14ac:dyDescent="0.2">
      <c r="A90">
        <v>2022</v>
      </c>
      <c r="B90" s="1" t="s">
        <v>140</v>
      </c>
      <c r="C90" s="1" t="s">
        <v>141</v>
      </c>
      <c r="D90" s="10">
        <v>20598</v>
      </c>
      <c r="E90" s="12">
        <f t="shared" si="3"/>
        <v>1.5265865293969071E-3</v>
      </c>
      <c r="F90">
        <f t="shared" si="4"/>
        <v>296507.64827722061</v>
      </c>
      <c r="G90">
        <f t="shared" si="5"/>
        <v>317105.64827722061</v>
      </c>
    </row>
    <row r="91" spans="1:7" x14ac:dyDescent="0.2">
      <c r="A91">
        <v>2022</v>
      </c>
      <c r="B91" s="1" t="s">
        <v>515</v>
      </c>
      <c r="C91" s="1" t="s">
        <v>142</v>
      </c>
      <c r="D91" s="10">
        <v>78832</v>
      </c>
      <c r="E91" s="12">
        <f t="shared" si="3"/>
        <v>5.8425026354702878E-3</v>
      </c>
      <c r="F91">
        <f t="shared" si="4"/>
        <v>1134784.4901927302</v>
      </c>
      <c r="G91">
        <f t="shared" si="5"/>
        <v>1213616.4901927302</v>
      </c>
    </row>
    <row r="92" spans="1:7" x14ac:dyDescent="0.2">
      <c r="A92">
        <v>2022</v>
      </c>
      <c r="B92" s="1" t="s">
        <v>516</v>
      </c>
      <c r="C92" s="1" t="s">
        <v>143</v>
      </c>
      <c r="D92" s="10">
        <v>16245</v>
      </c>
      <c r="E92" s="12">
        <f t="shared" si="3"/>
        <v>1.2039711705045517E-3</v>
      </c>
      <c r="F92">
        <f t="shared" si="4"/>
        <v>233846.33198676811</v>
      </c>
      <c r="G92">
        <f t="shared" si="5"/>
        <v>250091.33198676811</v>
      </c>
    </row>
    <row r="93" spans="1:7" x14ac:dyDescent="0.2">
      <c r="A93">
        <v>2022</v>
      </c>
      <c r="B93" s="1" t="s">
        <v>517</v>
      </c>
      <c r="C93" s="1" t="s">
        <v>144</v>
      </c>
      <c r="D93" s="10">
        <v>26035</v>
      </c>
      <c r="E93" s="12">
        <f t="shared" si="3"/>
        <v>1.9295407463272394E-3</v>
      </c>
      <c r="F93">
        <f t="shared" si="4"/>
        <v>374773.11500618694</v>
      </c>
      <c r="G93">
        <f t="shared" si="5"/>
        <v>400808.11500618694</v>
      </c>
    </row>
    <row r="94" spans="1:7" x14ac:dyDescent="0.2">
      <c r="A94">
        <v>2022</v>
      </c>
      <c r="B94" s="1" t="s">
        <v>518</v>
      </c>
      <c r="C94" s="1" t="s">
        <v>145</v>
      </c>
      <c r="D94" s="10">
        <v>141950</v>
      </c>
      <c r="E94" s="12">
        <f t="shared" si="3"/>
        <v>1.0520388282740604E-2</v>
      </c>
      <c r="F94">
        <f t="shared" si="4"/>
        <v>2043366.3789179274</v>
      </c>
      <c r="G94">
        <f t="shared" si="5"/>
        <v>2185316.3789179274</v>
      </c>
    </row>
    <row r="95" spans="1:7" x14ac:dyDescent="0.2">
      <c r="A95">
        <v>2022</v>
      </c>
      <c r="B95" s="1" t="s">
        <v>146</v>
      </c>
      <c r="C95" s="1" t="s">
        <v>147</v>
      </c>
      <c r="D95" s="10">
        <v>86516</v>
      </c>
      <c r="E95" s="12">
        <f t="shared" si="3"/>
        <v>6.4119895221527732E-3</v>
      </c>
      <c r="F95">
        <f t="shared" si="4"/>
        <v>1245395.4606443355</v>
      </c>
      <c r="G95">
        <f t="shared" si="5"/>
        <v>1331911.4606443355</v>
      </c>
    </row>
    <row r="96" spans="1:7" x14ac:dyDescent="0.2">
      <c r="A96">
        <v>2022</v>
      </c>
      <c r="B96" s="1" t="s">
        <v>519</v>
      </c>
      <c r="C96" s="1" t="s">
        <v>148</v>
      </c>
      <c r="D96" s="10">
        <v>113871</v>
      </c>
      <c r="E96" s="12">
        <f t="shared" si="3"/>
        <v>8.439359874208914E-3</v>
      </c>
      <c r="F96">
        <f t="shared" si="4"/>
        <v>1639169.9396531407</v>
      </c>
      <c r="G96">
        <f t="shared" si="5"/>
        <v>1753040.9396531407</v>
      </c>
    </row>
    <row r="97" spans="1:7" x14ac:dyDescent="0.2">
      <c r="A97">
        <v>2022</v>
      </c>
      <c r="B97" s="1" t="s">
        <v>520</v>
      </c>
      <c r="C97" s="1" t="s">
        <v>149</v>
      </c>
      <c r="D97" s="10">
        <v>20710</v>
      </c>
      <c r="E97" s="12">
        <f t="shared" si="3"/>
        <v>1.5348872232163291E-3</v>
      </c>
      <c r="F97">
        <f t="shared" si="4"/>
        <v>298119.88522289734</v>
      </c>
      <c r="G97">
        <f t="shared" si="5"/>
        <v>318829.88522289734</v>
      </c>
    </row>
    <row r="98" spans="1:7" x14ac:dyDescent="0.2">
      <c r="A98">
        <v>2022</v>
      </c>
      <c r="B98" s="1" t="s">
        <v>521</v>
      </c>
      <c r="C98" s="1" t="s">
        <v>150</v>
      </c>
      <c r="D98" s="10">
        <v>44474</v>
      </c>
      <c r="E98" s="12">
        <f t="shared" si="3"/>
        <v>3.2961165796872535E-3</v>
      </c>
      <c r="F98">
        <f t="shared" si="4"/>
        <v>640202.01716094336</v>
      </c>
      <c r="G98">
        <f t="shared" si="5"/>
        <v>684676.01716094336</v>
      </c>
    </row>
    <row r="99" spans="1:7" x14ac:dyDescent="0.2">
      <c r="A99">
        <v>2022</v>
      </c>
      <c r="B99" s="1" t="s">
        <v>151</v>
      </c>
      <c r="C99" s="1" t="s">
        <v>152</v>
      </c>
      <c r="D99" s="10">
        <v>29712</v>
      </c>
      <c r="E99" s="12">
        <f t="shared" si="3"/>
        <v>2.2020554889523695E-3</v>
      </c>
      <c r="F99">
        <f t="shared" si="4"/>
        <v>427703.42973166233</v>
      </c>
      <c r="G99">
        <f t="shared" si="5"/>
        <v>457415.42973166233</v>
      </c>
    </row>
    <row r="100" spans="1:7" x14ac:dyDescent="0.2">
      <c r="A100">
        <v>2022</v>
      </c>
      <c r="B100" s="1" t="s">
        <v>522</v>
      </c>
      <c r="C100" s="1" t="s">
        <v>153</v>
      </c>
      <c r="D100" s="10">
        <v>132916</v>
      </c>
      <c r="E100" s="12">
        <f t="shared" si="3"/>
        <v>9.8508483901990143E-3</v>
      </c>
      <c r="F100">
        <f t="shared" si="4"/>
        <v>1913322.1952818262</v>
      </c>
      <c r="G100">
        <f t="shared" si="5"/>
        <v>2046238.1952818262</v>
      </c>
    </row>
    <row r="101" spans="1:7" x14ac:dyDescent="0.2">
      <c r="A101">
        <v>2022</v>
      </c>
      <c r="B101" s="1" t="s">
        <v>523</v>
      </c>
      <c r="C101" s="1" t="s">
        <v>154</v>
      </c>
      <c r="D101" s="10">
        <v>102150</v>
      </c>
      <c r="E101" s="12">
        <f t="shared" si="3"/>
        <v>7.5706774433388713E-3</v>
      </c>
      <c r="F101">
        <f t="shared" si="4"/>
        <v>1470446.4642935279</v>
      </c>
      <c r="G101">
        <f t="shared" si="5"/>
        <v>1572596.4642935279</v>
      </c>
    </row>
    <row r="102" spans="1:7" x14ac:dyDescent="0.2">
      <c r="A102">
        <v>2022</v>
      </c>
      <c r="B102" s="1" t="s">
        <v>524</v>
      </c>
      <c r="C102" s="1" t="s">
        <v>155</v>
      </c>
      <c r="D102" s="10">
        <v>63091</v>
      </c>
      <c r="E102" s="12">
        <f t="shared" si="3"/>
        <v>4.6758845871531351E-3</v>
      </c>
      <c r="F102">
        <f t="shared" si="4"/>
        <v>908193.2244615074</v>
      </c>
      <c r="G102">
        <f t="shared" si="5"/>
        <v>971284.2244615074</v>
      </c>
    </row>
    <row r="103" spans="1:7" x14ac:dyDescent="0.2">
      <c r="A103">
        <v>2022</v>
      </c>
      <c r="B103" s="1" t="s">
        <v>525</v>
      </c>
      <c r="C103" s="1" t="s">
        <v>156</v>
      </c>
      <c r="D103" s="10">
        <v>56409</v>
      </c>
      <c r="E103" s="12">
        <f t="shared" si="3"/>
        <v>4.1806592648194066E-3</v>
      </c>
      <c r="F103">
        <f t="shared" si="4"/>
        <v>812006.01668461692</v>
      </c>
      <c r="G103">
        <f t="shared" si="5"/>
        <v>868415.01668461692</v>
      </c>
    </row>
    <row r="104" spans="1:7" x14ac:dyDescent="0.2">
      <c r="A104">
        <v>2022</v>
      </c>
      <c r="B104" s="1" t="s">
        <v>526</v>
      </c>
      <c r="C104" s="1" t="s">
        <v>157</v>
      </c>
      <c r="D104" s="10">
        <v>271470</v>
      </c>
      <c r="E104" s="12">
        <f t="shared" si="3"/>
        <v>2.0119547778200717E-2</v>
      </c>
      <c r="F104">
        <f t="shared" si="4"/>
        <v>3907803.2468111995</v>
      </c>
      <c r="G104">
        <f t="shared" si="5"/>
        <v>4179273.2468111995</v>
      </c>
    </row>
    <row r="105" spans="1:7" x14ac:dyDescent="0.2">
      <c r="A105">
        <v>2022</v>
      </c>
      <c r="B105" s="1" t="s">
        <v>527</v>
      </c>
      <c r="C105" s="1" t="s">
        <v>158</v>
      </c>
      <c r="D105" s="10">
        <v>72501</v>
      </c>
      <c r="E105" s="12">
        <f t="shared" si="3"/>
        <v>5.3732910946599263E-3</v>
      </c>
      <c r="F105">
        <f t="shared" si="4"/>
        <v>1043649.9178438088</v>
      </c>
      <c r="G105">
        <f t="shared" si="5"/>
        <v>1116150.9178438089</v>
      </c>
    </row>
    <row r="106" spans="1:7" x14ac:dyDescent="0.2">
      <c r="A106">
        <v>2022</v>
      </c>
      <c r="B106" s="1" t="s">
        <v>528</v>
      </c>
      <c r="C106" s="1" t="s">
        <v>159</v>
      </c>
      <c r="D106" s="10">
        <v>141844</v>
      </c>
      <c r="E106" s="12">
        <f t="shared" si="3"/>
        <v>1.0512532268947224E-2</v>
      </c>
      <c r="F106">
        <f t="shared" si="4"/>
        <v>2041840.5118086264</v>
      </c>
      <c r="G106">
        <f t="shared" si="5"/>
        <v>2183684.5118086264</v>
      </c>
    </row>
    <row r="107" spans="1:7" x14ac:dyDescent="0.2">
      <c r="A107">
        <v>2022</v>
      </c>
      <c r="B107" s="1" t="s">
        <v>160</v>
      </c>
      <c r="C107" s="1" t="s">
        <v>161</v>
      </c>
      <c r="D107" s="10">
        <v>37279</v>
      </c>
      <c r="E107" s="12">
        <f t="shared" si="3"/>
        <v>2.7628711151270659E-3</v>
      </c>
      <c r="F107">
        <f t="shared" si="4"/>
        <v>536630.18837394449</v>
      </c>
      <c r="G107">
        <f t="shared" si="5"/>
        <v>573909.18837394449</v>
      </c>
    </row>
    <row r="108" spans="1:7" x14ac:dyDescent="0.2">
      <c r="A108">
        <v>2022</v>
      </c>
      <c r="B108" s="1" t="s">
        <v>162</v>
      </c>
      <c r="C108" s="1" t="s">
        <v>163</v>
      </c>
      <c r="D108" s="10">
        <v>97524</v>
      </c>
      <c r="E108" s="12">
        <f t="shared" si="3"/>
        <v>7.2278291432616749E-3</v>
      </c>
      <c r="F108">
        <f t="shared" si="4"/>
        <v>1403855.3204479886</v>
      </c>
      <c r="G108">
        <f t="shared" si="5"/>
        <v>1501379.3204479886</v>
      </c>
    </row>
    <row r="109" spans="1:7" x14ac:dyDescent="0.2">
      <c r="A109">
        <v>2022</v>
      </c>
      <c r="B109" s="1" t="s">
        <v>529</v>
      </c>
      <c r="C109" s="1" t="s">
        <v>164</v>
      </c>
      <c r="D109" s="10">
        <v>149366</v>
      </c>
      <c r="E109" s="12">
        <f t="shared" si="3"/>
        <v>1.1070012794926616E-2</v>
      </c>
      <c r="F109">
        <f t="shared" si="4"/>
        <v>2150119.4966780921</v>
      </c>
      <c r="G109">
        <f t="shared" si="5"/>
        <v>2299485.4966780921</v>
      </c>
    </row>
    <row r="110" spans="1:7" x14ac:dyDescent="0.2">
      <c r="A110">
        <v>2022</v>
      </c>
      <c r="B110" s="1" t="s">
        <v>530</v>
      </c>
      <c r="C110" s="1" t="s">
        <v>165</v>
      </c>
      <c r="D110" s="10">
        <v>246484</v>
      </c>
      <c r="E110" s="12">
        <f t="shared" si="3"/>
        <v>1.8267751923092886E-2</v>
      </c>
      <c r="F110">
        <f t="shared" si="4"/>
        <v>3548130.4581980025</v>
      </c>
      <c r="G110">
        <f t="shared" si="5"/>
        <v>3794614.4581980025</v>
      </c>
    </row>
    <row r="111" spans="1:7" x14ac:dyDescent="0.2">
      <c r="A111">
        <v>2022</v>
      </c>
      <c r="B111" s="1" t="s">
        <v>531</v>
      </c>
      <c r="C111" s="1" t="s">
        <v>166</v>
      </c>
      <c r="D111" s="10">
        <v>64761</v>
      </c>
      <c r="E111" s="12">
        <f t="shared" si="3"/>
        <v>4.7996538610677302E-3</v>
      </c>
      <c r="F111">
        <f t="shared" si="4"/>
        <v>932232.8289193653</v>
      </c>
      <c r="G111">
        <f t="shared" si="5"/>
        <v>996993.8289193653</v>
      </c>
    </row>
    <row r="112" spans="1:7" x14ac:dyDescent="0.2">
      <c r="A112">
        <v>2022</v>
      </c>
      <c r="B112" s="1" t="s">
        <v>167</v>
      </c>
      <c r="C112" s="1" t="s">
        <v>168</v>
      </c>
      <c r="E112" s="12">
        <f t="shared" si="3"/>
        <v>0</v>
      </c>
      <c r="F112">
        <f t="shared" si="4"/>
        <v>0</v>
      </c>
      <c r="G112">
        <f t="shared" si="5"/>
        <v>0</v>
      </c>
    </row>
    <row r="113" spans="1:7" x14ac:dyDescent="0.2">
      <c r="A113">
        <v>2022</v>
      </c>
      <c r="B113" s="1" t="s">
        <v>532</v>
      </c>
      <c r="C113" s="1" t="s">
        <v>169</v>
      </c>
      <c r="D113" s="10">
        <v>63517</v>
      </c>
      <c r="E113" s="12">
        <f t="shared" si="3"/>
        <v>4.707456869002008E-3</v>
      </c>
      <c r="F113">
        <f t="shared" si="4"/>
        <v>914325.48284417053</v>
      </c>
      <c r="G113">
        <f t="shared" si="5"/>
        <v>977842.48284417053</v>
      </c>
    </row>
    <row r="114" spans="1:7" x14ac:dyDescent="0.2">
      <c r="A114">
        <v>2022</v>
      </c>
      <c r="B114" s="1" t="s">
        <v>533</v>
      </c>
      <c r="C114" s="1" t="s">
        <v>170</v>
      </c>
      <c r="D114" s="10">
        <v>64497</v>
      </c>
      <c r="E114" s="12">
        <f t="shared" si="3"/>
        <v>4.7800879399219499E-3</v>
      </c>
      <c r="F114">
        <f t="shared" si="4"/>
        <v>928432.55611884163</v>
      </c>
      <c r="G114">
        <f t="shared" si="5"/>
        <v>992929.55611884163</v>
      </c>
    </row>
    <row r="115" spans="1:7" x14ac:dyDescent="0.2">
      <c r="A115">
        <v>2022</v>
      </c>
      <c r="B115" s="1" t="s">
        <v>534</v>
      </c>
      <c r="C115" s="1" t="s">
        <v>171</v>
      </c>
      <c r="D115" s="10">
        <v>62593</v>
      </c>
      <c r="E115" s="12">
        <f t="shared" si="3"/>
        <v>4.6389761449917768E-3</v>
      </c>
      <c r="F115">
        <f t="shared" si="4"/>
        <v>901024.52804233774</v>
      </c>
      <c r="G115">
        <f t="shared" si="5"/>
        <v>963617.52804233774</v>
      </c>
    </row>
    <row r="116" spans="1:7" x14ac:dyDescent="0.2">
      <c r="A116">
        <v>2022</v>
      </c>
      <c r="B116" s="1" t="s">
        <v>535</v>
      </c>
      <c r="C116" s="1" t="s">
        <v>172</v>
      </c>
      <c r="D116" s="10">
        <v>82856</v>
      </c>
      <c r="E116" s="12">
        <f t="shared" si="3"/>
        <v>6.140734706268091E-3</v>
      </c>
      <c r="F116">
        <f t="shared" si="4"/>
        <v>1192709.8604552576</v>
      </c>
      <c r="G116">
        <f t="shared" si="5"/>
        <v>1275565.8604552576</v>
      </c>
    </row>
    <row r="117" spans="1:7" x14ac:dyDescent="0.2">
      <c r="A117">
        <v>2022</v>
      </c>
      <c r="B117" s="1" t="s">
        <v>536</v>
      </c>
      <c r="C117" s="1" t="s">
        <v>173</v>
      </c>
      <c r="D117" s="10">
        <v>209312</v>
      </c>
      <c r="E117" s="12">
        <f t="shared" si="3"/>
        <v>1.5512810935096875E-2</v>
      </c>
      <c r="F117">
        <f t="shared" si="4"/>
        <v>3013040.5319060883</v>
      </c>
      <c r="G117">
        <f t="shared" si="5"/>
        <v>3222352.5319060883</v>
      </c>
    </row>
    <row r="118" spans="1:7" x14ac:dyDescent="0.2">
      <c r="A118">
        <v>2022</v>
      </c>
      <c r="B118" s="1" t="s">
        <v>537</v>
      </c>
      <c r="C118" s="1" t="s">
        <v>174</v>
      </c>
      <c r="D118" s="10">
        <v>54903</v>
      </c>
      <c r="E118" s="12">
        <f t="shared" si="3"/>
        <v>4.0690445782832502E-3</v>
      </c>
      <c r="F118">
        <f t="shared" si="4"/>
        <v>790327.18775435688</v>
      </c>
      <c r="G118">
        <f t="shared" si="5"/>
        <v>845230.18775435688</v>
      </c>
    </row>
    <row r="119" spans="1:7" x14ac:dyDescent="0.2">
      <c r="A119">
        <v>2022</v>
      </c>
      <c r="B119" s="1" t="s">
        <v>175</v>
      </c>
      <c r="C119" s="1" t="s">
        <v>176</v>
      </c>
      <c r="D119" s="10">
        <v>80049</v>
      </c>
      <c r="E119" s="12">
        <f t="shared" si="3"/>
        <v>5.9326985674188282E-3</v>
      </c>
      <c r="F119">
        <f t="shared" si="4"/>
        <v>1152303.1720042352</v>
      </c>
      <c r="G119">
        <f t="shared" si="5"/>
        <v>1232352.1720042352</v>
      </c>
    </row>
    <row r="120" spans="1:7" x14ac:dyDescent="0.2">
      <c r="A120">
        <v>2022</v>
      </c>
      <c r="B120" s="1" t="s">
        <v>538</v>
      </c>
      <c r="C120" s="1" t="s">
        <v>177</v>
      </c>
      <c r="D120" s="10">
        <v>53310</v>
      </c>
      <c r="E120" s="12">
        <f t="shared" si="3"/>
        <v>3.9509820313695081E-3</v>
      </c>
      <c r="F120">
        <f t="shared" si="4"/>
        <v>767395.99619665183</v>
      </c>
      <c r="G120">
        <f t="shared" si="5"/>
        <v>820705.99619665183</v>
      </c>
    </row>
    <row r="121" spans="1:7" x14ac:dyDescent="0.2">
      <c r="A121">
        <v>2022</v>
      </c>
      <c r="B121" s="1" t="s">
        <v>539</v>
      </c>
      <c r="C121" s="1" t="s">
        <v>178</v>
      </c>
      <c r="D121" s="10">
        <v>13115</v>
      </c>
      <c r="E121" s="12">
        <f t="shared" si="3"/>
        <v>9.7199642358677724E-4</v>
      </c>
      <c r="F121">
        <f t="shared" si="4"/>
        <v>188790.06734419597</v>
      </c>
      <c r="G121">
        <f t="shared" si="5"/>
        <v>201905.06734419597</v>
      </c>
    </row>
    <row r="122" spans="1:7" x14ac:dyDescent="0.2">
      <c r="A122">
        <v>2022</v>
      </c>
      <c r="B122" s="1" t="s">
        <v>540</v>
      </c>
      <c r="C122" s="1" t="s">
        <v>179</v>
      </c>
      <c r="E122" s="12">
        <f t="shared" si="3"/>
        <v>0</v>
      </c>
      <c r="F122">
        <f t="shared" si="4"/>
        <v>0</v>
      </c>
      <c r="G122">
        <f t="shared" si="5"/>
        <v>0</v>
      </c>
    </row>
    <row r="123" spans="1:7" x14ac:dyDescent="0.2">
      <c r="A123">
        <v>2022</v>
      </c>
      <c r="B123" s="1" t="s">
        <v>180</v>
      </c>
      <c r="C123" s="1" t="s">
        <v>181</v>
      </c>
      <c r="E123" s="12">
        <f t="shared" si="3"/>
        <v>0</v>
      </c>
      <c r="F123">
        <f t="shared" si="4"/>
        <v>0</v>
      </c>
      <c r="G123">
        <f t="shared" si="5"/>
        <v>0</v>
      </c>
    </row>
    <row r="124" spans="1:7" x14ac:dyDescent="0.2">
      <c r="A124">
        <v>2022</v>
      </c>
      <c r="B124" s="1" t="s">
        <v>541</v>
      </c>
      <c r="C124" s="1" t="s">
        <v>182</v>
      </c>
      <c r="E124" s="12">
        <f t="shared" si="3"/>
        <v>0</v>
      </c>
      <c r="F124">
        <f t="shared" si="4"/>
        <v>0</v>
      </c>
      <c r="G124">
        <f t="shared" si="5"/>
        <v>0</v>
      </c>
    </row>
    <row r="125" spans="1:7" x14ac:dyDescent="0.2">
      <c r="A125">
        <v>2022</v>
      </c>
      <c r="B125" s="1" t="s">
        <v>542</v>
      </c>
      <c r="C125" s="1" t="s">
        <v>183</v>
      </c>
      <c r="D125" s="1">
        <v>200</v>
      </c>
      <c r="E125" s="12">
        <f t="shared" si="3"/>
        <v>1.4822667534682078E-5</v>
      </c>
      <c r="F125">
        <f t="shared" si="4"/>
        <v>2878.9945458512539</v>
      </c>
      <c r="G125">
        <f t="shared" si="5"/>
        <v>3078.9945458512539</v>
      </c>
    </row>
    <row r="126" spans="1:7" x14ac:dyDescent="0.2">
      <c r="A126">
        <v>2022</v>
      </c>
      <c r="B126" s="1" t="s">
        <v>543</v>
      </c>
      <c r="C126" s="1" t="s">
        <v>184</v>
      </c>
      <c r="D126" s="1">
        <v>90</v>
      </c>
      <c r="E126" s="12">
        <f t="shared" si="3"/>
        <v>6.6702003906069347E-6</v>
      </c>
      <c r="F126">
        <f t="shared" si="4"/>
        <v>1295.5475456330641</v>
      </c>
      <c r="G126">
        <f t="shared" si="5"/>
        <v>1385.5475456330641</v>
      </c>
    </row>
    <row r="127" spans="1:7" x14ac:dyDescent="0.2">
      <c r="A127">
        <v>2022</v>
      </c>
      <c r="B127" s="1" t="s">
        <v>544</v>
      </c>
      <c r="C127" s="1" t="s">
        <v>185</v>
      </c>
      <c r="D127" s="10">
        <v>1539</v>
      </c>
      <c r="E127" s="12">
        <f t="shared" si="3"/>
        <v>1.1406042667937859E-4</v>
      </c>
      <c r="F127">
        <f t="shared" si="4"/>
        <v>22153.863030325399</v>
      </c>
      <c r="G127">
        <f t="shared" si="5"/>
        <v>23692.863030325399</v>
      </c>
    </row>
    <row r="128" spans="1:7" x14ac:dyDescent="0.2">
      <c r="A128">
        <v>2022</v>
      </c>
      <c r="B128" s="1" t="s">
        <v>545</v>
      </c>
      <c r="C128" s="1" t="s">
        <v>186</v>
      </c>
      <c r="E128" s="12">
        <f t="shared" si="3"/>
        <v>0</v>
      </c>
      <c r="F128">
        <f t="shared" si="4"/>
        <v>0</v>
      </c>
      <c r="G128">
        <f t="shared" si="5"/>
        <v>0</v>
      </c>
    </row>
    <row r="129" spans="1:7" x14ac:dyDescent="0.2">
      <c r="A129">
        <v>2022</v>
      </c>
      <c r="B129" s="1" t="s">
        <v>546</v>
      </c>
      <c r="C129" s="1" t="s">
        <v>187</v>
      </c>
      <c r="E129" s="12">
        <f t="shared" si="3"/>
        <v>0</v>
      </c>
      <c r="F129">
        <f t="shared" si="4"/>
        <v>0</v>
      </c>
      <c r="G129">
        <f t="shared" si="5"/>
        <v>0</v>
      </c>
    </row>
    <row r="130" spans="1:7" x14ac:dyDescent="0.2">
      <c r="A130">
        <v>2022</v>
      </c>
      <c r="B130" s="1" t="s">
        <v>547</v>
      </c>
      <c r="C130" s="1" t="s">
        <v>188</v>
      </c>
      <c r="D130" s="10">
        <v>191582</v>
      </c>
      <c r="E130" s="12">
        <f t="shared" si="3"/>
        <v>1.4198781458147309E-2</v>
      </c>
      <c r="F130">
        <f t="shared" si="4"/>
        <v>2757817.6654163748</v>
      </c>
      <c r="G130">
        <f t="shared" si="5"/>
        <v>2949399.6654163748</v>
      </c>
    </row>
    <row r="131" spans="1:7" x14ac:dyDescent="0.2">
      <c r="A131">
        <v>2022</v>
      </c>
      <c r="B131" s="1" t="s">
        <v>548</v>
      </c>
      <c r="C131" s="1" t="s">
        <v>189</v>
      </c>
      <c r="D131" s="10">
        <v>89671</v>
      </c>
      <c r="E131" s="12">
        <f t="shared" ref="E131:E194" si="6">D131/$D$255</f>
        <v>6.6458171025123832E-3</v>
      </c>
      <c r="F131">
        <f t="shared" ref="F131:F194" si="7">E131*$D$257</f>
        <v>1290811.5996051391</v>
      </c>
      <c r="G131">
        <f t="shared" ref="G131:G194" si="8">SUM(F131,D131)</f>
        <v>1380482.5996051391</v>
      </c>
    </row>
    <row r="132" spans="1:7" x14ac:dyDescent="0.2">
      <c r="A132">
        <v>2022</v>
      </c>
      <c r="B132" s="1" t="s">
        <v>549</v>
      </c>
      <c r="C132" s="1" t="s">
        <v>190</v>
      </c>
      <c r="D132" s="10">
        <v>89922</v>
      </c>
      <c r="E132" s="12">
        <f t="shared" si="6"/>
        <v>6.6644195502684085E-3</v>
      </c>
      <c r="F132">
        <f t="shared" si="7"/>
        <v>1294424.7377601822</v>
      </c>
      <c r="G132">
        <f t="shared" si="8"/>
        <v>1384346.7377601822</v>
      </c>
    </row>
    <row r="133" spans="1:7" x14ac:dyDescent="0.2">
      <c r="A133">
        <v>2022</v>
      </c>
      <c r="B133" s="1" t="s">
        <v>550</v>
      </c>
      <c r="C133" s="1" t="s">
        <v>191</v>
      </c>
      <c r="D133" s="10">
        <v>68020</v>
      </c>
      <c r="E133" s="12">
        <f t="shared" si="6"/>
        <v>5.0411892285453742E-3</v>
      </c>
      <c r="F133">
        <f t="shared" si="7"/>
        <v>979146.04504401144</v>
      </c>
      <c r="G133">
        <f t="shared" si="8"/>
        <v>1047166.0450440114</v>
      </c>
    </row>
    <row r="134" spans="1:7" x14ac:dyDescent="0.2">
      <c r="A134">
        <v>2022</v>
      </c>
      <c r="B134" s="1" t="s">
        <v>551</v>
      </c>
      <c r="C134" s="1" t="s">
        <v>192</v>
      </c>
      <c r="D134" s="10">
        <v>357003</v>
      </c>
      <c r="E134" s="12">
        <f t="shared" si="6"/>
        <v>2.6458683889420527E-2</v>
      </c>
      <c r="F134">
        <f t="shared" si="7"/>
        <v>5139048.4492626758</v>
      </c>
      <c r="G134">
        <f t="shared" si="8"/>
        <v>5496051.4492626758</v>
      </c>
    </row>
    <row r="135" spans="1:7" x14ac:dyDescent="0.2">
      <c r="A135">
        <v>2022</v>
      </c>
      <c r="B135" s="1" t="s">
        <v>552</v>
      </c>
      <c r="C135" s="1" t="s">
        <v>193</v>
      </c>
      <c r="D135" s="10">
        <v>96246</v>
      </c>
      <c r="E135" s="12">
        <f t="shared" si="6"/>
        <v>7.1331122977150562E-3</v>
      </c>
      <c r="F135">
        <f t="shared" si="7"/>
        <v>1385458.545299999</v>
      </c>
      <c r="G135">
        <f t="shared" si="8"/>
        <v>1481704.545299999</v>
      </c>
    </row>
    <row r="136" spans="1:7" x14ac:dyDescent="0.2">
      <c r="A136">
        <v>2022</v>
      </c>
      <c r="B136" s="1" t="s">
        <v>553</v>
      </c>
      <c r="C136" s="1" t="s">
        <v>194</v>
      </c>
      <c r="D136" s="10">
        <v>120229</v>
      </c>
      <c r="E136" s="12">
        <f t="shared" si="6"/>
        <v>8.9105724751364582E-3</v>
      </c>
      <c r="F136">
        <f t="shared" si="7"/>
        <v>1730693.1762657522</v>
      </c>
      <c r="G136">
        <f t="shared" si="8"/>
        <v>1850922.1762657522</v>
      </c>
    </row>
    <row r="137" spans="1:7" x14ac:dyDescent="0.2">
      <c r="A137">
        <v>2022</v>
      </c>
      <c r="B137" s="1" t="s">
        <v>554</v>
      </c>
      <c r="C137" s="1" t="s">
        <v>195</v>
      </c>
      <c r="D137" s="10">
        <v>127595</v>
      </c>
      <c r="E137" s="12">
        <f t="shared" si="6"/>
        <v>9.4564913204387979E-3</v>
      </c>
      <c r="F137">
        <f t="shared" si="7"/>
        <v>1836726.5453894536</v>
      </c>
      <c r="G137">
        <f t="shared" si="8"/>
        <v>1964321.5453894536</v>
      </c>
    </row>
    <row r="138" spans="1:7" x14ac:dyDescent="0.2">
      <c r="A138">
        <v>2022</v>
      </c>
      <c r="B138" s="1" t="s">
        <v>555</v>
      </c>
      <c r="C138" s="1" t="s">
        <v>196</v>
      </c>
      <c r="D138" s="10">
        <v>188296</v>
      </c>
      <c r="E138" s="12">
        <f t="shared" si="6"/>
        <v>1.3955245030552482E-2</v>
      </c>
      <c r="F138">
        <f t="shared" si="7"/>
        <v>2710515.7850280385</v>
      </c>
      <c r="G138">
        <f t="shared" si="8"/>
        <v>2898811.7850280385</v>
      </c>
    </row>
    <row r="139" spans="1:7" x14ac:dyDescent="0.2">
      <c r="A139">
        <v>2022</v>
      </c>
      <c r="B139" s="1" t="s">
        <v>556</v>
      </c>
      <c r="C139" s="1" t="s">
        <v>197</v>
      </c>
      <c r="D139" s="10">
        <v>90429</v>
      </c>
      <c r="E139" s="12">
        <f t="shared" si="6"/>
        <v>6.7019950124688277E-3</v>
      </c>
      <c r="F139">
        <f t="shared" si="7"/>
        <v>1301722.9889339153</v>
      </c>
      <c r="G139">
        <f t="shared" si="8"/>
        <v>1392151.9889339153</v>
      </c>
    </row>
    <row r="140" spans="1:7" x14ac:dyDescent="0.2">
      <c r="A140">
        <v>2022</v>
      </c>
      <c r="B140" s="1" t="s">
        <v>557</v>
      </c>
      <c r="C140" s="1" t="s">
        <v>198</v>
      </c>
      <c r="D140" s="10">
        <v>194066</v>
      </c>
      <c r="E140" s="12">
        <f t="shared" si="6"/>
        <v>1.4382878988928061E-2</v>
      </c>
      <c r="F140">
        <f t="shared" si="7"/>
        <v>2793574.7776758475</v>
      </c>
      <c r="G140">
        <f t="shared" si="8"/>
        <v>2987640.7776758475</v>
      </c>
    </row>
    <row r="141" spans="1:7" x14ac:dyDescent="0.2">
      <c r="A141">
        <v>2022</v>
      </c>
      <c r="B141" s="1" t="s">
        <v>558</v>
      </c>
      <c r="C141" s="1" t="s">
        <v>199</v>
      </c>
      <c r="D141" s="10">
        <v>81042</v>
      </c>
      <c r="E141" s="12">
        <f t="shared" si="6"/>
        <v>6.0062931117285242E-3</v>
      </c>
      <c r="F141">
        <f t="shared" si="7"/>
        <v>1166597.3799243865</v>
      </c>
      <c r="G141">
        <f t="shared" si="8"/>
        <v>1247639.3799243865</v>
      </c>
    </row>
    <row r="142" spans="1:7" x14ac:dyDescent="0.2">
      <c r="A142">
        <v>2022</v>
      </c>
      <c r="B142" s="1" t="s">
        <v>559</v>
      </c>
      <c r="C142" s="1" t="s">
        <v>200</v>
      </c>
      <c r="D142" s="10">
        <v>127233</v>
      </c>
      <c r="E142" s="12">
        <f t="shared" si="6"/>
        <v>9.4296622922010239E-3</v>
      </c>
      <c r="F142">
        <f t="shared" si="7"/>
        <v>1831515.5652614629</v>
      </c>
      <c r="G142">
        <f t="shared" si="8"/>
        <v>1958748.5652614629</v>
      </c>
    </row>
    <row r="143" spans="1:7" x14ac:dyDescent="0.2">
      <c r="A143">
        <v>2022</v>
      </c>
      <c r="B143" s="1" t="s">
        <v>560</v>
      </c>
      <c r="C143" s="1" t="s">
        <v>201</v>
      </c>
      <c r="D143" s="10">
        <v>51470</v>
      </c>
      <c r="E143" s="12">
        <f t="shared" si="6"/>
        <v>3.8146134900504326E-3</v>
      </c>
      <c r="F143">
        <f t="shared" si="7"/>
        <v>740909.24637482024</v>
      </c>
      <c r="G143">
        <f t="shared" si="8"/>
        <v>792379.24637482024</v>
      </c>
    </row>
    <row r="144" spans="1:7" x14ac:dyDescent="0.2">
      <c r="A144">
        <v>2022</v>
      </c>
      <c r="B144" s="1" t="s">
        <v>561</v>
      </c>
      <c r="C144" s="1" t="s">
        <v>202</v>
      </c>
      <c r="D144" s="10">
        <v>76713</v>
      </c>
      <c r="E144" s="12">
        <f t="shared" si="6"/>
        <v>5.6854564729403312E-3</v>
      </c>
      <c r="F144">
        <f t="shared" si="7"/>
        <v>1104281.5429794362</v>
      </c>
      <c r="G144">
        <f t="shared" si="8"/>
        <v>1180994.5429794362</v>
      </c>
    </row>
    <row r="145" spans="1:7" x14ac:dyDescent="0.2">
      <c r="A145">
        <v>2022</v>
      </c>
      <c r="B145" s="1" t="s">
        <v>562</v>
      </c>
      <c r="C145" s="1" t="s">
        <v>203</v>
      </c>
      <c r="D145" s="10">
        <v>90854</v>
      </c>
      <c r="E145" s="12">
        <f t="shared" si="6"/>
        <v>6.7334931809800271E-3</v>
      </c>
      <c r="F145">
        <f t="shared" si="7"/>
        <v>1307840.8523438491</v>
      </c>
      <c r="G145">
        <f t="shared" si="8"/>
        <v>1398694.8523438491</v>
      </c>
    </row>
    <row r="146" spans="1:7" x14ac:dyDescent="0.2">
      <c r="A146">
        <v>2022</v>
      </c>
      <c r="B146" s="1" t="s">
        <v>563</v>
      </c>
      <c r="C146" s="1" t="s">
        <v>204</v>
      </c>
      <c r="D146" s="10">
        <v>30501</v>
      </c>
      <c r="E146" s="12">
        <f t="shared" si="6"/>
        <v>2.2605309123766904E-3</v>
      </c>
      <c r="F146">
        <f t="shared" si="7"/>
        <v>439061.06321504555</v>
      </c>
      <c r="G146">
        <f t="shared" si="8"/>
        <v>469562.06321504555</v>
      </c>
    </row>
    <row r="147" spans="1:7" x14ac:dyDescent="0.2">
      <c r="A147">
        <v>2022</v>
      </c>
      <c r="B147" s="1" t="s">
        <v>564</v>
      </c>
      <c r="C147" s="1" t="s">
        <v>205</v>
      </c>
      <c r="D147" s="10">
        <v>129025</v>
      </c>
      <c r="E147" s="12">
        <f t="shared" si="6"/>
        <v>9.5624733933117757E-3</v>
      </c>
      <c r="F147">
        <f t="shared" si="7"/>
        <v>1857311.3563922902</v>
      </c>
      <c r="G147">
        <f t="shared" si="8"/>
        <v>1986336.3563922902</v>
      </c>
    </row>
    <row r="148" spans="1:7" x14ac:dyDescent="0.2">
      <c r="A148">
        <v>2022</v>
      </c>
      <c r="B148" s="1" t="s">
        <v>565</v>
      </c>
      <c r="C148" s="1" t="s">
        <v>206</v>
      </c>
      <c r="D148" s="10">
        <v>96128</v>
      </c>
      <c r="E148" s="12">
        <f t="shared" si="6"/>
        <v>7.1243669238695937E-3</v>
      </c>
      <c r="F148">
        <f t="shared" si="7"/>
        <v>1383759.9385179467</v>
      </c>
      <c r="G148">
        <f t="shared" si="8"/>
        <v>1479887.9385179467</v>
      </c>
    </row>
    <row r="149" spans="1:7" x14ac:dyDescent="0.2">
      <c r="A149">
        <v>2022</v>
      </c>
      <c r="B149" s="1" t="s">
        <v>566</v>
      </c>
      <c r="C149" s="1" t="s">
        <v>207</v>
      </c>
      <c r="D149" s="10">
        <v>107540</v>
      </c>
      <c r="E149" s="12">
        <f t="shared" si="6"/>
        <v>7.9701483333985534E-3</v>
      </c>
      <c r="F149">
        <f t="shared" si="7"/>
        <v>1548035.3673042194</v>
      </c>
      <c r="G149">
        <f t="shared" si="8"/>
        <v>1655575.3673042194</v>
      </c>
    </row>
    <row r="150" spans="1:7" x14ac:dyDescent="0.2">
      <c r="A150">
        <v>2022</v>
      </c>
      <c r="B150" s="1" t="s">
        <v>567</v>
      </c>
      <c r="C150" s="1" t="s">
        <v>208</v>
      </c>
      <c r="D150" s="10">
        <v>39379</v>
      </c>
      <c r="E150" s="12">
        <f t="shared" si="6"/>
        <v>2.9185091242412277E-3</v>
      </c>
      <c r="F150">
        <f t="shared" si="7"/>
        <v>566859.63110538269</v>
      </c>
      <c r="G150">
        <f t="shared" si="8"/>
        <v>606238.63110538269</v>
      </c>
    </row>
    <row r="151" spans="1:7" x14ac:dyDescent="0.2">
      <c r="A151">
        <v>2022</v>
      </c>
      <c r="B151" s="1" t="s">
        <v>624</v>
      </c>
      <c r="C151" s="1" t="s">
        <v>625</v>
      </c>
      <c r="D151" s="10">
        <v>84530</v>
      </c>
      <c r="E151" s="12">
        <f t="shared" si="6"/>
        <v>6.2648004335333803E-3</v>
      </c>
      <c r="F151">
        <f t="shared" si="7"/>
        <v>1216807.0448040324</v>
      </c>
      <c r="G151">
        <f t="shared" si="8"/>
        <v>1301337.0448040324</v>
      </c>
    </row>
    <row r="152" spans="1:7" x14ac:dyDescent="0.2">
      <c r="A152">
        <v>2022</v>
      </c>
      <c r="B152" s="1" t="s">
        <v>568</v>
      </c>
      <c r="C152" s="1" t="s">
        <v>569</v>
      </c>
      <c r="D152" s="10">
        <v>166170</v>
      </c>
      <c r="E152" s="12">
        <f t="shared" si="6"/>
        <v>1.2315413321190604E-2</v>
      </c>
      <c r="F152">
        <f t="shared" si="7"/>
        <v>2392012.6184205143</v>
      </c>
      <c r="G152">
        <f t="shared" si="8"/>
        <v>2558182.6184205143</v>
      </c>
    </row>
    <row r="153" spans="1:7" x14ac:dyDescent="0.2">
      <c r="A153">
        <v>2022</v>
      </c>
      <c r="B153" s="1" t="s">
        <v>570</v>
      </c>
      <c r="C153" s="1" t="s">
        <v>209</v>
      </c>
      <c r="D153" s="10">
        <v>150118</v>
      </c>
      <c r="E153" s="12">
        <f t="shared" si="6"/>
        <v>1.112574602485702E-2</v>
      </c>
      <c r="F153">
        <f t="shared" si="7"/>
        <v>2160944.5161704924</v>
      </c>
      <c r="G153">
        <f t="shared" si="8"/>
        <v>2311062.5161704924</v>
      </c>
    </row>
    <row r="154" spans="1:7" x14ac:dyDescent="0.2">
      <c r="A154">
        <v>2022</v>
      </c>
      <c r="B154" s="1" t="s">
        <v>571</v>
      </c>
      <c r="C154" s="1" t="s">
        <v>210</v>
      </c>
      <c r="D154" s="10">
        <v>23089</v>
      </c>
      <c r="E154" s="12">
        <f t="shared" si="6"/>
        <v>1.7112028535413723E-3</v>
      </c>
      <c r="F154">
        <f t="shared" si="7"/>
        <v>332365.525345798</v>
      </c>
      <c r="G154">
        <f t="shared" si="8"/>
        <v>355454.525345798</v>
      </c>
    </row>
    <row r="155" spans="1:7" x14ac:dyDescent="0.2">
      <c r="A155">
        <v>2022</v>
      </c>
      <c r="B155" s="1" t="s">
        <v>630</v>
      </c>
      <c r="C155" s="1" t="s">
        <v>631</v>
      </c>
      <c r="D155" s="10">
        <v>37987</v>
      </c>
      <c r="E155" s="12">
        <f t="shared" si="6"/>
        <v>2.8153433581998405E-3</v>
      </c>
      <c r="F155">
        <f t="shared" si="7"/>
        <v>546821.82906625792</v>
      </c>
      <c r="G155">
        <f t="shared" si="8"/>
        <v>584808.82906625792</v>
      </c>
    </row>
    <row r="156" spans="1:7" x14ac:dyDescent="0.2">
      <c r="A156">
        <v>2022</v>
      </c>
      <c r="B156" s="1" t="s">
        <v>621</v>
      </c>
      <c r="C156" s="1" t="s">
        <v>211</v>
      </c>
      <c r="E156" s="12">
        <f t="shared" si="6"/>
        <v>0</v>
      </c>
      <c r="F156">
        <f t="shared" si="7"/>
        <v>0</v>
      </c>
      <c r="G156">
        <f t="shared" si="8"/>
        <v>0</v>
      </c>
    </row>
    <row r="157" spans="1:7" x14ac:dyDescent="0.2">
      <c r="A157">
        <v>2022</v>
      </c>
      <c r="B157" s="1" t="s">
        <v>573</v>
      </c>
      <c r="C157" s="1" t="s">
        <v>212</v>
      </c>
      <c r="E157" s="12">
        <f t="shared" si="6"/>
        <v>0</v>
      </c>
      <c r="F157">
        <f t="shared" si="7"/>
        <v>0</v>
      </c>
      <c r="G157">
        <f t="shared" si="8"/>
        <v>0</v>
      </c>
    </row>
    <row r="158" spans="1:7" x14ac:dyDescent="0.2">
      <c r="A158">
        <v>2022</v>
      </c>
      <c r="B158" s="1" t="s">
        <v>574</v>
      </c>
      <c r="C158" s="1" t="s">
        <v>213</v>
      </c>
      <c r="E158" s="12">
        <f t="shared" si="6"/>
        <v>0</v>
      </c>
      <c r="F158">
        <f t="shared" si="7"/>
        <v>0</v>
      </c>
      <c r="G158">
        <f t="shared" si="8"/>
        <v>0</v>
      </c>
    </row>
    <row r="159" spans="1:7" x14ac:dyDescent="0.2">
      <c r="A159">
        <v>2022</v>
      </c>
      <c r="B159" s="1" t="s">
        <v>635</v>
      </c>
      <c r="C159" s="1" t="s">
        <v>636</v>
      </c>
      <c r="E159" s="12">
        <f t="shared" si="6"/>
        <v>0</v>
      </c>
      <c r="F159">
        <f t="shared" si="7"/>
        <v>0</v>
      </c>
      <c r="G159">
        <f t="shared" si="8"/>
        <v>0</v>
      </c>
    </row>
    <row r="160" spans="1:7" x14ac:dyDescent="0.2">
      <c r="A160">
        <v>2022</v>
      </c>
      <c r="B160" s="1" t="s">
        <v>575</v>
      </c>
      <c r="C160" s="1" t="s">
        <v>214</v>
      </c>
      <c r="E160" s="12">
        <f t="shared" si="6"/>
        <v>0</v>
      </c>
      <c r="F160">
        <f t="shared" si="7"/>
        <v>0</v>
      </c>
      <c r="G160">
        <f t="shared" si="8"/>
        <v>0</v>
      </c>
    </row>
    <row r="161" spans="1:7" x14ac:dyDescent="0.2">
      <c r="A161">
        <v>2022</v>
      </c>
      <c r="B161" s="1" t="s">
        <v>576</v>
      </c>
      <c r="C161" s="1" t="s">
        <v>215</v>
      </c>
      <c r="D161" s="10">
        <v>32871</v>
      </c>
      <c r="E161" s="12">
        <f t="shared" si="6"/>
        <v>2.4361795226626728E-3</v>
      </c>
      <c r="F161">
        <f t="shared" si="7"/>
        <v>473177.14858338283</v>
      </c>
      <c r="G161">
        <f t="shared" si="8"/>
        <v>506048.14858338283</v>
      </c>
    </row>
    <row r="162" spans="1:7" x14ac:dyDescent="0.2">
      <c r="A162">
        <v>2022</v>
      </c>
      <c r="B162" s="1" t="s">
        <v>216</v>
      </c>
      <c r="C162" s="1" t="s">
        <v>217</v>
      </c>
      <c r="D162" s="10">
        <v>67093</v>
      </c>
      <c r="E162" s="12">
        <f t="shared" si="6"/>
        <v>4.9724861645221233E-3</v>
      </c>
      <c r="F162">
        <f t="shared" si="7"/>
        <v>965801.90532399097</v>
      </c>
      <c r="G162">
        <f t="shared" si="8"/>
        <v>1032894.905323991</v>
      </c>
    </row>
    <row r="163" spans="1:7" x14ac:dyDescent="0.2">
      <c r="A163">
        <v>2022</v>
      </c>
      <c r="B163" s="1" t="s">
        <v>218</v>
      </c>
      <c r="C163" s="1" t="s">
        <v>219</v>
      </c>
      <c r="E163" s="12">
        <f t="shared" si="6"/>
        <v>0</v>
      </c>
      <c r="F163">
        <f t="shared" si="7"/>
        <v>0</v>
      </c>
      <c r="G163">
        <f t="shared" si="8"/>
        <v>0</v>
      </c>
    </row>
    <row r="164" spans="1:7" x14ac:dyDescent="0.2">
      <c r="A164">
        <v>2022</v>
      </c>
      <c r="B164" s="1" t="s">
        <v>220</v>
      </c>
      <c r="C164" s="1" t="s">
        <v>221</v>
      </c>
      <c r="D164" s="10">
        <v>3332</v>
      </c>
      <c r="E164" s="12">
        <f t="shared" si="6"/>
        <v>2.469456411278034E-4</v>
      </c>
      <c r="F164">
        <f t="shared" si="7"/>
        <v>47964.04913388189</v>
      </c>
      <c r="G164">
        <f t="shared" si="8"/>
        <v>51296.04913388189</v>
      </c>
    </row>
    <row r="165" spans="1:7" x14ac:dyDescent="0.2">
      <c r="A165">
        <v>2022</v>
      </c>
      <c r="B165" s="1" t="s">
        <v>222</v>
      </c>
      <c r="C165" s="1" t="s">
        <v>223</v>
      </c>
      <c r="D165" s="10">
        <v>10162</v>
      </c>
      <c r="E165" s="12">
        <f t="shared" si="6"/>
        <v>7.5313973743719638E-4</v>
      </c>
      <c r="F165">
        <f t="shared" si="7"/>
        <v>146281.71287470221</v>
      </c>
      <c r="G165">
        <f t="shared" si="8"/>
        <v>156443.71287470221</v>
      </c>
    </row>
    <row r="166" spans="1:7" x14ac:dyDescent="0.2">
      <c r="A166">
        <v>2022</v>
      </c>
      <c r="B166" s="1" t="s">
        <v>224</v>
      </c>
      <c r="C166" s="1" t="s">
        <v>225</v>
      </c>
      <c r="E166" s="12">
        <f t="shared" si="6"/>
        <v>0</v>
      </c>
      <c r="F166">
        <f t="shared" si="7"/>
        <v>0</v>
      </c>
      <c r="G166">
        <f t="shared" si="8"/>
        <v>0</v>
      </c>
    </row>
    <row r="167" spans="1:7" x14ac:dyDescent="0.2">
      <c r="A167">
        <v>2022</v>
      </c>
      <c r="B167" s="1" t="s">
        <v>577</v>
      </c>
      <c r="C167" s="1" t="s">
        <v>227</v>
      </c>
      <c r="D167" s="10">
        <v>73180</v>
      </c>
      <c r="E167" s="12">
        <f t="shared" si="6"/>
        <v>5.4236140509401724E-3</v>
      </c>
      <c r="F167">
        <f t="shared" si="7"/>
        <v>1053424.1043269739</v>
      </c>
      <c r="G167">
        <f t="shared" si="8"/>
        <v>1126604.1043269739</v>
      </c>
    </row>
    <row r="168" spans="1:7" x14ac:dyDescent="0.2">
      <c r="A168">
        <v>2022</v>
      </c>
      <c r="B168" s="1" t="s">
        <v>578</v>
      </c>
      <c r="C168" s="1" t="s">
        <v>228</v>
      </c>
      <c r="D168" s="10">
        <v>7539</v>
      </c>
      <c r="E168" s="12">
        <f t="shared" si="6"/>
        <v>5.5874045271984095E-4</v>
      </c>
      <c r="F168">
        <f t="shared" si="7"/>
        <v>108523.69940586302</v>
      </c>
      <c r="G168">
        <f t="shared" si="8"/>
        <v>116062.69940586302</v>
      </c>
    </row>
    <row r="169" spans="1:7" x14ac:dyDescent="0.2">
      <c r="A169">
        <v>2022</v>
      </c>
      <c r="B169" s="1" t="s">
        <v>229</v>
      </c>
      <c r="C169" s="1" t="s">
        <v>230</v>
      </c>
      <c r="E169" s="12">
        <f t="shared" si="6"/>
        <v>0</v>
      </c>
      <c r="F169">
        <f t="shared" si="7"/>
        <v>0</v>
      </c>
      <c r="G169">
        <f t="shared" si="8"/>
        <v>0</v>
      </c>
    </row>
    <row r="170" spans="1:7" x14ac:dyDescent="0.2">
      <c r="A170">
        <v>2022</v>
      </c>
      <c r="B170" s="1" t="s">
        <v>231</v>
      </c>
      <c r="C170" s="1" t="s">
        <v>232</v>
      </c>
      <c r="E170" s="12">
        <f t="shared" si="6"/>
        <v>0</v>
      </c>
      <c r="F170">
        <f t="shared" si="7"/>
        <v>0</v>
      </c>
      <c r="G170">
        <f t="shared" si="8"/>
        <v>0</v>
      </c>
    </row>
    <row r="171" spans="1:7" x14ac:dyDescent="0.2">
      <c r="A171">
        <v>2022</v>
      </c>
      <c r="B171" s="1" t="s">
        <v>579</v>
      </c>
      <c r="C171" s="1" t="s">
        <v>233</v>
      </c>
      <c r="E171" s="12">
        <f t="shared" si="6"/>
        <v>0</v>
      </c>
      <c r="F171">
        <f t="shared" si="7"/>
        <v>0</v>
      </c>
      <c r="G171">
        <f t="shared" si="8"/>
        <v>0</v>
      </c>
    </row>
    <row r="172" spans="1:7" x14ac:dyDescent="0.2">
      <c r="A172">
        <v>2022</v>
      </c>
      <c r="B172" s="1" t="s">
        <v>580</v>
      </c>
      <c r="C172" s="1" t="s">
        <v>234</v>
      </c>
      <c r="D172" s="10">
        <v>13976</v>
      </c>
      <c r="E172" s="12">
        <f t="shared" si="6"/>
        <v>1.0358080073235836E-3</v>
      </c>
      <c r="F172">
        <f t="shared" si="7"/>
        <v>201184.13886408563</v>
      </c>
      <c r="G172">
        <f t="shared" si="8"/>
        <v>215160.13886408563</v>
      </c>
    </row>
    <row r="173" spans="1:7" x14ac:dyDescent="0.2">
      <c r="A173">
        <v>2022</v>
      </c>
      <c r="B173" s="1" t="s">
        <v>581</v>
      </c>
      <c r="C173" s="1" t="s">
        <v>235</v>
      </c>
      <c r="D173" s="10">
        <v>4037</v>
      </c>
      <c r="E173" s="12">
        <f t="shared" si="6"/>
        <v>2.9919554418755774E-4</v>
      </c>
      <c r="F173">
        <f t="shared" si="7"/>
        <v>58112.504908007562</v>
      </c>
      <c r="G173">
        <f t="shared" si="8"/>
        <v>62149.504908007562</v>
      </c>
    </row>
    <row r="174" spans="1:7" x14ac:dyDescent="0.2">
      <c r="A174">
        <v>2022</v>
      </c>
      <c r="B174" s="1" t="s">
        <v>582</v>
      </c>
      <c r="C174" s="1" t="s">
        <v>236</v>
      </c>
      <c r="D174" s="10">
        <v>20013</v>
      </c>
      <c r="E174" s="12">
        <f t="shared" si="6"/>
        <v>1.483230226857962E-3</v>
      </c>
      <c r="F174">
        <f t="shared" si="7"/>
        <v>288086.58923060569</v>
      </c>
      <c r="G174">
        <f t="shared" si="8"/>
        <v>308099.58923060569</v>
      </c>
    </row>
    <row r="175" spans="1:7" x14ac:dyDescent="0.2">
      <c r="A175">
        <v>2022</v>
      </c>
      <c r="B175" s="1" t="s">
        <v>583</v>
      </c>
      <c r="C175" s="1" t="s">
        <v>237</v>
      </c>
      <c r="D175" s="10">
        <v>8706</v>
      </c>
      <c r="E175" s="12">
        <f t="shared" si="6"/>
        <v>6.4523071778471079E-4</v>
      </c>
      <c r="F175">
        <f t="shared" si="7"/>
        <v>125322.63258090508</v>
      </c>
      <c r="G175">
        <f t="shared" si="8"/>
        <v>134028.63258090508</v>
      </c>
    </row>
    <row r="176" spans="1:7" x14ac:dyDescent="0.2">
      <c r="A176">
        <v>2022</v>
      </c>
      <c r="B176" s="1" t="s">
        <v>238</v>
      </c>
      <c r="C176" s="1" t="s">
        <v>239</v>
      </c>
      <c r="D176" s="10">
        <v>10408</v>
      </c>
      <c r="E176" s="12">
        <f t="shared" si="6"/>
        <v>7.7137161850485527E-4</v>
      </c>
      <c r="F176">
        <f t="shared" si="7"/>
        <v>149822.87616609925</v>
      </c>
      <c r="G176">
        <f t="shared" si="8"/>
        <v>160230.87616609925</v>
      </c>
    </row>
    <row r="177" spans="1:7" x14ac:dyDescent="0.2">
      <c r="A177">
        <v>2022</v>
      </c>
      <c r="B177" s="1" t="s">
        <v>240</v>
      </c>
      <c r="C177" s="1" t="s">
        <v>241</v>
      </c>
      <c r="D177" s="10">
        <v>6552</v>
      </c>
      <c r="E177" s="12">
        <f t="shared" si="6"/>
        <v>4.8559058843618486E-4</v>
      </c>
      <c r="F177">
        <f t="shared" si="7"/>
        <v>94315.861322087076</v>
      </c>
      <c r="G177">
        <f t="shared" si="8"/>
        <v>100867.86132208708</v>
      </c>
    </row>
    <row r="178" spans="1:7" x14ac:dyDescent="0.2">
      <c r="A178">
        <v>2022</v>
      </c>
      <c r="B178" s="1" t="s">
        <v>242</v>
      </c>
      <c r="C178" s="1" t="s">
        <v>243</v>
      </c>
      <c r="E178" s="12">
        <f t="shared" si="6"/>
        <v>0</v>
      </c>
      <c r="F178">
        <f t="shared" si="7"/>
        <v>0</v>
      </c>
      <c r="G178">
        <f t="shared" si="8"/>
        <v>0</v>
      </c>
    </row>
    <row r="179" spans="1:7" x14ac:dyDescent="0.2">
      <c r="A179">
        <v>2022</v>
      </c>
      <c r="B179" s="1" t="s">
        <v>244</v>
      </c>
      <c r="C179" s="1" t="s">
        <v>245</v>
      </c>
      <c r="E179" s="12">
        <f t="shared" si="6"/>
        <v>0</v>
      </c>
      <c r="F179">
        <f t="shared" si="7"/>
        <v>0</v>
      </c>
      <c r="G179">
        <f t="shared" si="8"/>
        <v>0</v>
      </c>
    </row>
    <row r="180" spans="1:7" x14ac:dyDescent="0.2">
      <c r="A180">
        <v>2022</v>
      </c>
      <c r="B180" s="1" t="s">
        <v>246</v>
      </c>
      <c r="C180" s="1" t="s">
        <v>247</v>
      </c>
      <c r="E180" s="12">
        <f t="shared" si="6"/>
        <v>0</v>
      </c>
      <c r="F180">
        <f t="shared" si="7"/>
        <v>0</v>
      </c>
      <c r="G180">
        <f t="shared" si="8"/>
        <v>0</v>
      </c>
    </row>
    <row r="181" spans="1:7" x14ac:dyDescent="0.2">
      <c r="A181">
        <v>2022</v>
      </c>
      <c r="B181" s="1" t="s">
        <v>248</v>
      </c>
      <c r="C181" s="1" t="s">
        <v>249</v>
      </c>
      <c r="D181" s="10">
        <v>37434</v>
      </c>
      <c r="E181" s="12">
        <f t="shared" si="6"/>
        <v>2.7743586824664442E-3</v>
      </c>
      <c r="F181">
        <f t="shared" si="7"/>
        <v>538861.4091469791</v>
      </c>
      <c r="G181">
        <f t="shared" si="8"/>
        <v>576295.4091469791</v>
      </c>
    </row>
    <row r="182" spans="1:7" x14ac:dyDescent="0.2">
      <c r="A182">
        <v>2022</v>
      </c>
      <c r="B182" s="1" t="s">
        <v>584</v>
      </c>
      <c r="C182" s="1" t="s">
        <v>251</v>
      </c>
      <c r="D182" s="1">
        <v>259</v>
      </c>
      <c r="E182" s="12">
        <f t="shared" si="6"/>
        <v>1.9195354457413289E-5</v>
      </c>
      <c r="F182">
        <f t="shared" si="7"/>
        <v>3728.2979368773736</v>
      </c>
      <c r="G182">
        <f t="shared" si="8"/>
        <v>3987.2979368773736</v>
      </c>
    </row>
    <row r="183" spans="1:7" x14ac:dyDescent="0.2">
      <c r="A183">
        <v>2022</v>
      </c>
      <c r="B183" s="1" t="s">
        <v>585</v>
      </c>
      <c r="C183" s="1" t="s">
        <v>252</v>
      </c>
      <c r="E183" s="12">
        <f t="shared" si="6"/>
        <v>0</v>
      </c>
      <c r="F183">
        <f t="shared" si="7"/>
        <v>0</v>
      </c>
      <c r="G183">
        <f t="shared" si="8"/>
        <v>0</v>
      </c>
    </row>
    <row r="184" spans="1:7" x14ac:dyDescent="0.2">
      <c r="A184">
        <v>2022</v>
      </c>
      <c r="B184" s="1" t="s">
        <v>586</v>
      </c>
      <c r="C184" s="1" t="s">
        <v>253</v>
      </c>
      <c r="D184" s="10">
        <v>16569</v>
      </c>
      <c r="E184" s="12">
        <f t="shared" si="6"/>
        <v>1.2279838919107367E-3</v>
      </c>
      <c r="F184">
        <f t="shared" si="7"/>
        <v>238510.30315104712</v>
      </c>
      <c r="G184">
        <f t="shared" si="8"/>
        <v>255079.30315104712</v>
      </c>
    </row>
    <row r="185" spans="1:7" x14ac:dyDescent="0.2">
      <c r="A185">
        <v>2022</v>
      </c>
      <c r="B185" s="1" t="s">
        <v>587</v>
      </c>
      <c r="C185" s="1" t="s">
        <v>254</v>
      </c>
      <c r="D185" s="1">
        <v>935</v>
      </c>
      <c r="E185" s="12">
        <f t="shared" si="6"/>
        <v>6.9295970724638712E-5</v>
      </c>
      <c r="F185">
        <f t="shared" si="7"/>
        <v>13459.299501854612</v>
      </c>
      <c r="G185">
        <f t="shared" si="8"/>
        <v>14394.299501854612</v>
      </c>
    </row>
    <row r="186" spans="1:7" x14ac:dyDescent="0.2">
      <c r="A186">
        <v>2022</v>
      </c>
      <c r="B186" s="1" t="s">
        <v>588</v>
      </c>
      <c r="C186" s="1" t="s">
        <v>255</v>
      </c>
      <c r="D186" s="10">
        <v>30371</v>
      </c>
      <c r="E186" s="12">
        <f t="shared" si="6"/>
        <v>2.2508961784791469E-3</v>
      </c>
      <c r="F186">
        <f t="shared" si="7"/>
        <v>437189.71676024218</v>
      </c>
      <c r="G186">
        <f t="shared" si="8"/>
        <v>467560.71676024218</v>
      </c>
    </row>
    <row r="187" spans="1:7" x14ac:dyDescent="0.2">
      <c r="A187">
        <v>2022</v>
      </c>
      <c r="B187" s="1" t="s">
        <v>589</v>
      </c>
      <c r="C187" s="1" t="s">
        <v>256</v>
      </c>
      <c r="D187" s="10">
        <v>23714</v>
      </c>
      <c r="E187" s="12">
        <f t="shared" si="6"/>
        <v>1.757523689587254E-3</v>
      </c>
      <c r="F187">
        <f t="shared" si="7"/>
        <v>341362.38330158318</v>
      </c>
      <c r="G187">
        <f t="shared" si="8"/>
        <v>365076.38330158318</v>
      </c>
    </row>
    <row r="188" spans="1:7" x14ac:dyDescent="0.2">
      <c r="A188">
        <v>2022</v>
      </c>
      <c r="B188" s="1" t="s">
        <v>257</v>
      </c>
      <c r="C188" s="1" t="s">
        <v>258</v>
      </c>
      <c r="D188" s="10">
        <v>5792</v>
      </c>
      <c r="E188" s="12">
        <f t="shared" si="6"/>
        <v>4.2926445180439295E-4</v>
      </c>
      <c r="F188">
        <f t="shared" si="7"/>
        <v>83375.682047852315</v>
      </c>
      <c r="G188">
        <f t="shared" si="8"/>
        <v>89167.682047852315</v>
      </c>
    </row>
    <row r="189" spans="1:7" x14ac:dyDescent="0.2">
      <c r="A189">
        <v>2022</v>
      </c>
      <c r="B189" s="1" t="s">
        <v>259</v>
      </c>
      <c r="C189" s="1" t="s">
        <v>260</v>
      </c>
      <c r="D189" s="10">
        <v>25502</v>
      </c>
      <c r="E189" s="12">
        <f t="shared" si="6"/>
        <v>1.8900383373473117E-3</v>
      </c>
      <c r="F189">
        <f t="shared" si="7"/>
        <v>367100.5945414934</v>
      </c>
      <c r="G189">
        <f t="shared" si="8"/>
        <v>392602.5945414934</v>
      </c>
    </row>
    <row r="190" spans="1:7" x14ac:dyDescent="0.2">
      <c r="A190">
        <v>2022</v>
      </c>
      <c r="B190" s="1" t="s">
        <v>590</v>
      </c>
      <c r="C190" s="1" t="s">
        <v>261</v>
      </c>
      <c r="D190" s="10">
        <v>23517</v>
      </c>
      <c r="E190" s="12">
        <f t="shared" si="6"/>
        <v>1.7429233620655921E-3</v>
      </c>
      <c r="F190">
        <f t="shared" si="7"/>
        <v>338526.57367391972</v>
      </c>
      <c r="G190">
        <f t="shared" si="8"/>
        <v>362043.57367391972</v>
      </c>
    </row>
    <row r="191" spans="1:7" x14ac:dyDescent="0.2">
      <c r="A191">
        <v>2022</v>
      </c>
      <c r="B191" s="1" t="s">
        <v>591</v>
      </c>
      <c r="C191" s="1" t="s">
        <v>262</v>
      </c>
      <c r="D191" s="1">
        <v>143</v>
      </c>
      <c r="E191" s="12">
        <f t="shared" si="6"/>
        <v>1.0598207287297686E-5</v>
      </c>
      <c r="F191">
        <f t="shared" si="7"/>
        <v>2058.4811002836468</v>
      </c>
      <c r="G191">
        <f t="shared" si="8"/>
        <v>2201.4811002836468</v>
      </c>
    </row>
    <row r="192" spans="1:7" x14ac:dyDescent="0.2">
      <c r="A192">
        <v>2022</v>
      </c>
      <c r="B192" s="1" t="s">
        <v>592</v>
      </c>
      <c r="C192" s="1" t="s">
        <v>263</v>
      </c>
      <c r="E192" s="12">
        <f t="shared" si="6"/>
        <v>0</v>
      </c>
      <c r="F192">
        <f t="shared" si="7"/>
        <v>0</v>
      </c>
      <c r="G192">
        <f t="shared" si="8"/>
        <v>0</v>
      </c>
    </row>
    <row r="193" spans="1:7" x14ac:dyDescent="0.2">
      <c r="A193">
        <v>2022</v>
      </c>
      <c r="B193" s="1" t="s">
        <v>593</v>
      </c>
      <c r="C193" s="1" t="s">
        <v>264</v>
      </c>
      <c r="D193" s="10">
        <v>6515</v>
      </c>
      <c r="E193" s="12">
        <f t="shared" si="6"/>
        <v>4.8284839494226869E-4</v>
      </c>
      <c r="F193">
        <f t="shared" si="7"/>
        <v>93783.247331104605</v>
      </c>
      <c r="G193">
        <f t="shared" si="8"/>
        <v>100298.24733110461</v>
      </c>
    </row>
    <row r="194" spans="1:7" x14ac:dyDescent="0.2">
      <c r="A194">
        <v>2022</v>
      </c>
      <c r="B194" s="1" t="s">
        <v>594</v>
      </c>
      <c r="C194" s="1" t="s">
        <v>265</v>
      </c>
      <c r="D194" s="10">
        <v>9212</v>
      </c>
      <c r="E194" s="12">
        <f t="shared" si="6"/>
        <v>6.8273206664745646E-4</v>
      </c>
      <c r="F194">
        <f t="shared" si="7"/>
        <v>132606.48878190876</v>
      </c>
      <c r="G194">
        <f t="shared" si="8"/>
        <v>141818.48878190876</v>
      </c>
    </row>
    <row r="195" spans="1:7" x14ac:dyDescent="0.2">
      <c r="A195">
        <v>2022</v>
      </c>
      <c r="B195" s="1" t="s">
        <v>595</v>
      </c>
      <c r="C195" s="1" t="s">
        <v>266</v>
      </c>
      <c r="D195" s="10">
        <v>11091</v>
      </c>
      <c r="E195" s="12">
        <f t="shared" ref="E195:E253" si="9">D195/$D$255</f>
        <v>8.2199102813579458E-4</v>
      </c>
      <c r="F195">
        <f t="shared" ref="F195:F253" si="10">E195*$D$257</f>
        <v>159654.64254018129</v>
      </c>
      <c r="G195">
        <f t="shared" ref="G195:G253" si="11">SUM(F195,D195)</f>
        <v>170745.64254018129</v>
      </c>
    </row>
    <row r="196" spans="1:7" x14ac:dyDescent="0.2">
      <c r="A196">
        <v>2022</v>
      </c>
      <c r="B196" s="1" t="s">
        <v>596</v>
      </c>
      <c r="C196" s="1" t="s">
        <v>267</v>
      </c>
      <c r="D196" s="10">
        <v>1923</v>
      </c>
      <c r="E196" s="12">
        <f t="shared" si="9"/>
        <v>1.4251994834596818E-4</v>
      </c>
      <c r="F196">
        <f t="shared" si="10"/>
        <v>27681.53255835981</v>
      </c>
      <c r="G196">
        <f t="shared" si="11"/>
        <v>29604.53255835981</v>
      </c>
    </row>
    <row r="197" spans="1:7" x14ac:dyDescent="0.2">
      <c r="A197">
        <v>2022</v>
      </c>
      <c r="B197" s="1" t="s">
        <v>597</v>
      </c>
      <c r="C197" s="1" t="s">
        <v>268</v>
      </c>
      <c r="D197" s="10">
        <v>16632</v>
      </c>
      <c r="E197" s="12">
        <f t="shared" si="9"/>
        <v>1.2326530321841616E-3</v>
      </c>
      <c r="F197">
        <f t="shared" si="10"/>
        <v>239417.18643299027</v>
      </c>
      <c r="G197">
        <f t="shared" si="11"/>
        <v>256049.18643299027</v>
      </c>
    </row>
    <row r="198" spans="1:7" x14ac:dyDescent="0.2">
      <c r="A198">
        <v>2022</v>
      </c>
      <c r="B198" s="1" t="s">
        <v>269</v>
      </c>
      <c r="C198" s="1" t="s">
        <v>270</v>
      </c>
      <c r="E198" s="12">
        <f t="shared" si="9"/>
        <v>0</v>
      </c>
      <c r="F198">
        <f t="shared" si="10"/>
        <v>0</v>
      </c>
      <c r="G198">
        <f t="shared" si="11"/>
        <v>0</v>
      </c>
    </row>
    <row r="199" spans="1:7" x14ac:dyDescent="0.2">
      <c r="A199">
        <v>2022</v>
      </c>
      <c r="B199" s="1" t="s">
        <v>271</v>
      </c>
      <c r="C199" s="1" t="s">
        <v>272</v>
      </c>
      <c r="D199" s="10">
        <v>162581</v>
      </c>
      <c r="E199" s="12">
        <f t="shared" si="9"/>
        <v>1.2049420552280735E-2</v>
      </c>
      <c r="F199">
        <f t="shared" si="10"/>
        <v>2340349.0612952136</v>
      </c>
      <c r="G199">
        <f t="shared" si="11"/>
        <v>2502930.0612952136</v>
      </c>
    </row>
    <row r="200" spans="1:7" x14ac:dyDescent="0.2">
      <c r="A200">
        <v>2022</v>
      </c>
      <c r="B200" s="1" t="s">
        <v>598</v>
      </c>
      <c r="C200" s="1" t="s">
        <v>273</v>
      </c>
      <c r="D200" s="10">
        <v>61364</v>
      </c>
      <c r="E200" s="12">
        <f t="shared" si="9"/>
        <v>4.5478908529911549E-3</v>
      </c>
      <c r="F200">
        <f t="shared" si="10"/>
        <v>883333.10655808169</v>
      </c>
      <c r="G200">
        <f t="shared" si="11"/>
        <v>944697.10655808169</v>
      </c>
    </row>
    <row r="201" spans="1:7" x14ac:dyDescent="0.2">
      <c r="A201">
        <v>2022</v>
      </c>
      <c r="B201" s="1" t="s">
        <v>599</v>
      </c>
      <c r="C201" s="1" t="s">
        <v>274</v>
      </c>
      <c r="D201" s="10">
        <v>116990</v>
      </c>
      <c r="E201" s="12">
        <f t="shared" si="9"/>
        <v>8.6705193744122805E-3</v>
      </c>
      <c r="F201">
        <f t="shared" si="10"/>
        <v>1684067.8595956909</v>
      </c>
      <c r="G201">
        <f t="shared" si="11"/>
        <v>1801057.8595956909</v>
      </c>
    </row>
    <row r="202" spans="1:7" x14ac:dyDescent="0.2">
      <c r="A202">
        <v>2022</v>
      </c>
      <c r="B202" s="1" t="s">
        <v>600</v>
      </c>
      <c r="C202" s="1" t="s">
        <v>275</v>
      </c>
      <c r="D202" s="10">
        <v>8668</v>
      </c>
      <c r="E202" s="12">
        <f t="shared" si="9"/>
        <v>6.4241441095312126E-4</v>
      </c>
      <c r="F202">
        <f t="shared" si="10"/>
        <v>124775.62361719336</v>
      </c>
      <c r="G202">
        <f t="shared" si="11"/>
        <v>133443.62361719337</v>
      </c>
    </row>
    <row r="203" spans="1:7" x14ac:dyDescent="0.2">
      <c r="A203">
        <v>2022</v>
      </c>
      <c r="B203" s="1" t="s">
        <v>276</v>
      </c>
      <c r="C203" s="1" t="s">
        <v>277</v>
      </c>
      <c r="D203" s="10">
        <v>26480</v>
      </c>
      <c r="E203" s="12">
        <f t="shared" si="9"/>
        <v>1.9625211815919069E-3</v>
      </c>
      <c r="F203">
        <f t="shared" si="10"/>
        <v>381178.87787070597</v>
      </c>
      <c r="G203">
        <f t="shared" si="11"/>
        <v>407658.87787070597</v>
      </c>
    </row>
    <row r="204" spans="1:7" x14ac:dyDescent="0.2">
      <c r="A204">
        <v>2022</v>
      </c>
      <c r="B204" s="1" t="s">
        <v>278</v>
      </c>
      <c r="C204" s="1" t="s">
        <v>279</v>
      </c>
      <c r="D204" s="10">
        <v>9181</v>
      </c>
      <c r="E204" s="12">
        <f t="shared" si="9"/>
        <v>6.8043455317958075E-4</v>
      </c>
      <c r="F204">
        <f t="shared" si="10"/>
        <v>132160.24462730181</v>
      </c>
      <c r="G204">
        <f t="shared" si="11"/>
        <v>141341.24462730181</v>
      </c>
    </row>
    <row r="205" spans="1:7" x14ac:dyDescent="0.2">
      <c r="A205">
        <v>2022</v>
      </c>
      <c r="B205" s="1" t="s">
        <v>280</v>
      </c>
      <c r="C205" s="1" t="s">
        <v>281</v>
      </c>
      <c r="D205" s="10">
        <v>13784</v>
      </c>
      <c r="E205" s="12">
        <f t="shared" si="9"/>
        <v>1.0215782464902889E-3</v>
      </c>
      <c r="F205">
        <f t="shared" si="10"/>
        <v>198420.30410006843</v>
      </c>
      <c r="G205">
        <f t="shared" si="11"/>
        <v>212204.30410006843</v>
      </c>
    </row>
    <row r="206" spans="1:7" x14ac:dyDescent="0.2">
      <c r="A206">
        <v>2022</v>
      </c>
      <c r="B206" s="1" t="s">
        <v>282</v>
      </c>
      <c r="C206" s="1" t="s">
        <v>283</v>
      </c>
      <c r="D206" s="10">
        <v>5301</v>
      </c>
      <c r="E206" s="12">
        <f t="shared" si="9"/>
        <v>3.9287480300674848E-4</v>
      </c>
      <c r="F206">
        <f t="shared" si="10"/>
        <v>76307.750437787487</v>
      </c>
      <c r="G206">
        <f t="shared" si="11"/>
        <v>81608.750437787487</v>
      </c>
    </row>
    <row r="207" spans="1:7" x14ac:dyDescent="0.2">
      <c r="A207">
        <v>2022</v>
      </c>
      <c r="B207" s="1" t="s">
        <v>284</v>
      </c>
      <c r="C207" s="1" t="s">
        <v>285</v>
      </c>
      <c r="D207" s="10">
        <v>14866</v>
      </c>
      <c r="E207" s="12">
        <f t="shared" si="9"/>
        <v>1.1017688778529188E-3</v>
      </c>
      <c r="F207">
        <f t="shared" si="10"/>
        <v>213995.66459312369</v>
      </c>
      <c r="G207">
        <f t="shared" si="11"/>
        <v>228861.66459312369</v>
      </c>
    </row>
    <row r="208" spans="1:7" x14ac:dyDescent="0.2">
      <c r="A208">
        <v>2022</v>
      </c>
      <c r="B208" s="1" t="s">
        <v>286</v>
      </c>
      <c r="C208" s="1" t="s">
        <v>287</v>
      </c>
      <c r="E208" s="12">
        <f t="shared" si="9"/>
        <v>0</v>
      </c>
      <c r="F208">
        <f t="shared" si="10"/>
        <v>0</v>
      </c>
      <c r="G208">
        <f t="shared" si="11"/>
        <v>0</v>
      </c>
    </row>
    <row r="209" spans="1:7" x14ac:dyDescent="0.2">
      <c r="A209">
        <v>2022</v>
      </c>
      <c r="B209" s="1" t="s">
        <v>601</v>
      </c>
      <c r="C209" s="1" t="s">
        <v>289</v>
      </c>
      <c r="D209" s="10">
        <v>102338</v>
      </c>
      <c r="E209" s="12">
        <f t="shared" si="9"/>
        <v>7.5846107508214721E-3</v>
      </c>
      <c r="F209">
        <f t="shared" si="10"/>
        <v>1473152.7191666281</v>
      </c>
      <c r="G209">
        <f t="shared" si="11"/>
        <v>1575490.7191666281</v>
      </c>
    </row>
    <row r="210" spans="1:7" x14ac:dyDescent="0.2">
      <c r="A210">
        <v>2022</v>
      </c>
      <c r="B210" s="1" t="s">
        <v>293</v>
      </c>
      <c r="C210" s="1" t="s">
        <v>290</v>
      </c>
      <c r="D210" s="10">
        <v>13317</v>
      </c>
      <c r="E210" s="12">
        <f t="shared" si="9"/>
        <v>9.8696731779680607E-4</v>
      </c>
      <c r="F210">
        <f t="shared" si="10"/>
        <v>191697.85183550575</v>
      </c>
      <c r="G210">
        <f t="shared" si="11"/>
        <v>205014.85183550575</v>
      </c>
    </row>
    <row r="211" spans="1:7" x14ac:dyDescent="0.2">
      <c r="A211">
        <v>2022</v>
      </c>
      <c r="B211" s="1" t="s">
        <v>291</v>
      </c>
      <c r="C211" s="1" t="s">
        <v>292</v>
      </c>
      <c r="E211" s="12">
        <f t="shared" si="9"/>
        <v>0</v>
      </c>
      <c r="F211">
        <f t="shared" si="10"/>
        <v>0</v>
      </c>
      <c r="G211">
        <f t="shared" si="11"/>
        <v>0</v>
      </c>
    </row>
    <row r="212" spans="1:7" x14ac:dyDescent="0.2">
      <c r="A212">
        <v>2022</v>
      </c>
      <c r="B212" s="1" t="s">
        <v>602</v>
      </c>
      <c r="C212" s="1" t="s">
        <v>294</v>
      </c>
      <c r="E212" s="12">
        <f t="shared" si="9"/>
        <v>0</v>
      </c>
      <c r="F212">
        <f t="shared" si="10"/>
        <v>0</v>
      </c>
      <c r="G212">
        <f t="shared" si="11"/>
        <v>0</v>
      </c>
    </row>
    <row r="213" spans="1:7" x14ac:dyDescent="0.2">
      <c r="A213">
        <v>2022</v>
      </c>
      <c r="B213" s="1" t="s">
        <v>603</v>
      </c>
      <c r="C213" s="1" t="s">
        <v>296</v>
      </c>
      <c r="E213" s="12">
        <f t="shared" si="9"/>
        <v>0</v>
      </c>
      <c r="F213">
        <f t="shared" si="10"/>
        <v>0</v>
      </c>
      <c r="G213">
        <f t="shared" si="11"/>
        <v>0</v>
      </c>
    </row>
    <row r="214" spans="1:7" x14ac:dyDescent="0.2">
      <c r="A214">
        <v>2022</v>
      </c>
      <c r="B214" s="1" t="s">
        <v>297</v>
      </c>
      <c r="C214" s="1" t="s">
        <v>298</v>
      </c>
      <c r="E214" s="12">
        <f t="shared" si="9"/>
        <v>0</v>
      </c>
      <c r="F214">
        <f t="shared" si="10"/>
        <v>0</v>
      </c>
      <c r="G214">
        <f t="shared" si="11"/>
        <v>0</v>
      </c>
    </row>
    <row r="215" spans="1:7" x14ac:dyDescent="0.2">
      <c r="A215">
        <v>2022</v>
      </c>
      <c r="B215" s="1" t="s">
        <v>299</v>
      </c>
      <c r="C215" s="1" t="s">
        <v>300</v>
      </c>
      <c r="D215" s="10">
        <v>12342</v>
      </c>
      <c r="E215" s="12">
        <f t="shared" si="9"/>
        <v>9.1470681356523096E-4</v>
      </c>
      <c r="F215">
        <f t="shared" si="10"/>
        <v>177662.75342448088</v>
      </c>
      <c r="G215">
        <f t="shared" si="11"/>
        <v>190004.75342448088</v>
      </c>
    </row>
    <row r="216" spans="1:7" x14ac:dyDescent="0.2">
      <c r="A216">
        <v>2022</v>
      </c>
      <c r="B216" s="1" t="s">
        <v>301</v>
      </c>
      <c r="C216" s="1" t="s">
        <v>302</v>
      </c>
      <c r="D216" s="10">
        <v>3610</v>
      </c>
      <c r="E216" s="12">
        <f t="shared" si="9"/>
        <v>2.6754914900101152E-4</v>
      </c>
      <c r="F216">
        <f t="shared" si="10"/>
        <v>51965.851552615139</v>
      </c>
      <c r="G216">
        <f t="shared" si="11"/>
        <v>55575.851552615139</v>
      </c>
    </row>
    <row r="217" spans="1:7" x14ac:dyDescent="0.2">
      <c r="A217">
        <v>2022</v>
      </c>
      <c r="B217" s="1" t="s">
        <v>303</v>
      </c>
      <c r="C217" s="1" t="s">
        <v>304</v>
      </c>
      <c r="D217" s="10">
        <v>46055</v>
      </c>
      <c r="E217" s="12">
        <f t="shared" si="9"/>
        <v>3.4132897665489154E-3</v>
      </c>
      <c r="F217">
        <f t="shared" si="10"/>
        <v>662960.46904589748</v>
      </c>
      <c r="G217">
        <f t="shared" si="11"/>
        <v>709015.46904589748</v>
      </c>
    </row>
    <row r="218" spans="1:7" x14ac:dyDescent="0.2">
      <c r="A218">
        <v>2022</v>
      </c>
      <c r="B218" s="1" t="s">
        <v>305</v>
      </c>
      <c r="C218" s="1" t="s">
        <v>604</v>
      </c>
      <c r="E218" s="12">
        <f t="shared" si="9"/>
        <v>0</v>
      </c>
      <c r="F218">
        <f t="shared" si="10"/>
        <v>0</v>
      </c>
      <c r="G218">
        <f t="shared" si="11"/>
        <v>0</v>
      </c>
    </row>
    <row r="219" spans="1:7" x14ac:dyDescent="0.2">
      <c r="A219">
        <v>2022</v>
      </c>
      <c r="B219" s="1" t="s">
        <v>307</v>
      </c>
      <c r="C219" s="1" t="s">
        <v>308</v>
      </c>
      <c r="E219" s="12">
        <f t="shared" si="9"/>
        <v>0</v>
      </c>
      <c r="F219">
        <f t="shared" si="10"/>
        <v>0</v>
      </c>
      <c r="G219">
        <f t="shared" si="11"/>
        <v>0</v>
      </c>
    </row>
    <row r="220" spans="1:7" x14ac:dyDescent="0.2">
      <c r="A220">
        <v>2022</v>
      </c>
      <c r="B220" s="1" t="s">
        <v>309</v>
      </c>
      <c r="C220" s="1" t="s">
        <v>310</v>
      </c>
      <c r="E220" s="12">
        <f t="shared" si="9"/>
        <v>0</v>
      </c>
      <c r="F220">
        <f t="shared" si="10"/>
        <v>0</v>
      </c>
      <c r="G220">
        <f t="shared" si="11"/>
        <v>0</v>
      </c>
    </row>
    <row r="221" spans="1:7" x14ac:dyDescent="0.2">
      <c r="A221">
        <v>2022</v>
      </c>
      <c r="B221" s="1" t="s">
        <v>605</v>
      </c>
      <c r="C221" s="1" t="s">
        <v>311</v>
      </c>
      <c r="D221" s="1">
        <v>973</v>
      </c>
      <c r="E221" s="12">
        <f t="shared" si="9"/>
        <v>7.2112277556228303E-5</v>
      </c>
      <c r="F221">
        <f t="shared" si="10"/>
        <v>14006.30846556635</v>
      </c>
      <c r="G221">
        <f t="shared" si="11"/>
        <v>14979.30846556635</v>
      </c>
    </row>
    <row r="222" spans="1:7" x14ac:dyDescent="0.2">
      <c r="A222">
        <v>2022</v>
      </c>
      <c r="B222" s="1" t="s">
        <v>622</v>
      </c>
      <c r="C222" s="1" t="s">
        <v>623</v>
      </c>
      <c r="E222" s="12">
        <f t="shared" si="9"/>
        <v>0</v>
      </c>
      <c r="F222">
        <f t="shared" si="10"/>
        <v>0</v>
      </c>
      <c r="G222">
        <f t="shared" si="11"/>
        <v>0</v>
      </c>
    </row>
    <row r="223" spans="1:7" x14ac:dyDescent="0.2">
      <c r="A223">
        <v>2022</v>
      </c>
      <c r="B223" s="1" t="s">
        <v>312</v>
      </c>
      <c r="C223" s="1" t="s">
        <v>606</v>
      </c>
      <c r="D223" s="10">
        <v>7604</v>
      </c>
      <c r="E223" s="12">
        <f t="shared" si="9"/>
        <v>5.6355781966861262E-4</v>
      </c>
      <c r="F223">
        <f t="shared" si="10"/>
        <v>109459.37263326468</v>
      </c>
      <c r="G223">
        <f t="shared" si="11"/>
        <v>117063.37263326468</v>
      </c>
    </row>
    <row r="224" spans="1:7" x14ac:dyDescent="0.2">
      <c r="A224">
        <v>2022</v>
      </c>
      <c r="B224" s="1" t="s">
        <v>607</v>
      </c>
      <c r="C224" s="1" t="s">
        <v>314</v>
      </c>
      <c r="D224" s="10">
        <v>8958</v>
      </c>
      <c r="E224" s="12">
        <f t="shared" si="9"/>
        <v>6.639072788784102E-4</v>
      </c>
      <c r="F224">
        <f t="shared" si="10"/>
        <v>128950.16570867765</v>
      </c>
      <c r="G224">
        <f t="shared" si="11"/>
        <v>137908.16570867767</v>
      </c>
    </row>
    <row r="225" spans="1:7" x14ac:dyDescent="0.2">
      <c r="A225">
        <v>2022</v>
      </c>
      <c r="B225" s="1" t="s">
        <v>315</v>
      </c>
      <c r="C225" s="1" t="s">
        <v>316</v>
      </c>
      <c r="D225" s="10">
        <v>4834</v>
      </c>
      <c r="E225" s="12">
        <f t="shared" si="9"/>
        <v>3.5826387431326582E-4</v>
      </c>
      <c r="F225">
        <f t="shared" si="10"/>
        <v>69585.298173224815</v>
      </c>
      <c r="G225">
        <f t="shared" si="11"/>
        <v>74419.298173224815</v>
      </c>
    </row>
    <row r="226" spans="1:7" x14ac:dyDescent="0.2">
      <c r="A226">
        <v>2022</v>
      </c>
      <c r="B226" s="1" t="s">
        <v>317</v>
      </c>
      <c r="C226" s="1" t="s">
        <v>318</v>
      </c>
      <c r="E226" s="12">
        <f t="shared" si="9"/>
        <v>0</v>
      </c>
      <c r="F226">
        <f t="shared" si="10"/>
        <v>0</v>
      </c>
      <c r="G226">
        <f t="shared" si="11"/>
        <v>0</v>
      </c>
    </row>
    <row r="227" spans="1:7" x14ac:dyDescent="0.2">
      <c r="A227">
        <v>2022</v>
      </c>
      <c r="B227" s="1" t="s">
        <v>608</v>
      </c>
      <c r="C227" s="1" t="s">
        <v>319</v>
      </c>
      <c r="E227" s="12">
        <f t="shared" si="9"/>
        <v>0</v>
      </c>
      <c r="F227">
        <f t="shared" si="10"/>
        <v>0</v>
      </c>
      <c r="G227">
        <f t="shared" si="11"/>
        <v>0</v>
      </c>
    </row>
    <row r="228" spans="1:7" x14ac:dyDescent="0.2">
      <c r="A228">
        <v>2022</v>
      </c>
      <c r="B228" s="1" t="s">
        <v>609</v>
      </c>
      <c r="C228" s="1" t="s">
        <v>320</v>
      </c>
      <c r="E228" s="12">
        <f t="shared" si="9"/>
        <v>0</v>
      </c>
      <c r="F228">
        <f t="shared" si="10"/>
        <v>0</v>
      </c>
      <c r="G228">
        <f t="shared" si="11"/>
        <v>0</v>
      </c>
    </row>
    <row r="229" spans="1:7" x14ac:dyDescent="0.2">
      <c r="A229">
        <v>2022</v>
      </c>
      <c r="B229" s="1" t="s">
        <v>321</v>
      </c>
      <c r="C229" s="1" t="s">
        <v>322</v>
      </c>
      <c r="E229" s="12">
        <f t="shared" si="9"/>
        <v>0</v>
      </c>
      <c r="F229">
        <f t="shared" si="10"/>
        <v>0</v>
      </c>
      <c r="G229">
        <f t="shared" si="11"/>
        <v>0</v>
      </c>
    </row>
    <row r="230" spans="1:7" x14ac:dyDescent="0.2">
      <c r="A230">
        <v>2022</v>
      </c>
      <c r="B230" s="1" t="s">
        <v>610</v>
      </c>
      <c r="C230" s="1" t="s">
        <v>323</v>
      </c>
      <c r="D230" s="10">
        <v>40173</v>
      </c>
      <c r="E230" s="12">
        <f t="shared" si="9"/>
        <v>2.9773551143539153E-3</v>
      </c>
      <c r="F230">
        <f t="shared" si="10"/>
        <v>578289.23945241212</v>
      </c>
      <c r="G230">
        <f t="shared" si="11"/>
        <v>618462.23945241212</v>
      </c>
    </row>
    <row r="231" spans="1:7" x14ac:dyDescent="0.2">
      <c r="A231">
        <v>2022</v>
      </c>
      <c r="B231" s="1" t="s">
        <v>324</v>
      </c>
      <c r="C231" s="1" t="s">
        <v>325</v>
      </c>
      <c r="D231" s="10">
        <v>7551</v>
      </c>
      <c r="E231" s="12">
        <f t="shared" si="9"/>
        <v>5.5962981277192189E-4</v>
      </c>
      <c r="F231">
        <f t="shared" si="10"/>
        <v>108696.4390786141</v>
      </c>
      <c r="G231">
        <f t="shared" si="11"/>
        <v>116247.4390786141</v>
      </c>
    </row>
    <row r="232" spans="1:7" x14ac:dyDescent="0.2">
      <c r="A232">
        <v>2022</v>
      </c>
      <c r="B232" s="1" t="s">
        <v>326</v>
      </c>
      <c r="C232" s="1" t="s">
        <v>327</v>
      </c>
      <c r="D232" s="10">
        <v>2799</v>
      </c>
      <c r="E232" s="12">
        <f t="shared" si="9"/>
        <v>2.0744323214787568E-4</v>
      </c>
      <c r="F232">
        <f t="shared" si="10"/>
        <v>40291.528669188301</v>
      </c>
      <c r="G232">
        <f t="shared" si="11"/>
        <v>43090.528669188301</v>
      </c>
    </row>
    <row r="233" spans="1:7" x14ac:dyDescent="0.2">
      <c r="A233">
        <v>2022</v>
      </c>
      <c r="B233" s="1" t="s">
        <v>611</v>
      </c>
      <c r="C233" s="1" t="s">
        <v>328</v>
      </c>
      <c r="D233" s="10">
        <v>2538</v>
      </c>
      <c r="E233" s="12">
        <f t="shared" si="9"/>
        <v>1.8809965101511557E-4</v>
      </c>
      <c r="F233">
        <f t="shared" si="10"/>
        <v>36534.440786852414</v>
      </c>
      <c r="G233">
        <f t="shared" si="11"/>
        <v>39072.440786852414</v>
      </c>
    </row>
    <row r="234" spans="1:7" x14ac:dyDescent="0.2">
      <c r="A234">
        <v>2022</v>
      </c>
      <c r="B234" s="1" t="s">
        <v>329</v>
      </c>
      <c r="C234" s="1" t="s">
        <v>330</v>
      </c>
      <c r="D234" s="10">
        <v>7424</v>
      </c>
      <c r="E234" s="12">
        <f t="shared" si="9"/>
        <v>5.5021741888739871E-4</v>
      </c>
      <c r="F234">
        <f t="shared" si="10"/>
        <v>106868.27754199854</v>
      </c>
      <c r="G234">
        <f t="shared" si="11"/>
        <v>114292.27754199854</v>
      </c>
    </row>
    <row r="235" spans="1:7" x14ac:dyDescent="0.2">
      <c r="A235">
        <v>2022</v>
      </c>
      <c r="B235" s="1" t="s">
        <v>612</v>
      </c>
      <c r="C235" s="1" t="s">
        <v>331</v>
      </c>
      <c r="D235" s="10">
        <v>14333</v>
      </c>
      <c r="E235" s="12">
        <f t="shared" si="9"/>
        <v>1.0622664688729911E-3</v>
      </c>
      <c r="F235">
        <f t="shared" si="10"/>
        <v>206323.14412843011</v>
      </c>
      <c r="G235">
        <f t="shared" si="11"/>
        <v>220656.14412843011</v>
      </c>
    </row>
    <row r="236" spans="1:7" x14ac:dyDescent="0.2">
      <c r="A236">
        <v>2022</v>
      </c>
      <c r="B236" s="1" t="s">
        <v>332</v>
      </c>
      <c r="C236" s="1" t="s">
        <v>333</v>
      </c>
      <c r="D236" s="10">
        <v>24625</v>
      </c>
      <c r="E236" s="12">
        <f t="shared" si="9"/>
        <v>1.8250409402077309E-3</v>
      </c>
      <c r="F236">
        <f t="shared" si="10"/>
        <v>354476.20345793566</v>
      </c>
      <c r="G236">
        <f t="shared" si="11"/>
        <v>379101.20345793566</v>
      </c>
    </row>
    <row r="237" spans="1:7" x14ac:dyDescent="0.2">
      <c r="A237">
        <v>2022</v>
      </c>
      <c r="B237" s="1" t="s">
        <v>334</v>
      </c>
      <c r="C237" s="1" t="s">
        <v>335</v>
      </c>
      <c r="D237" s="10">
        <v>3564</v>
      </c>
      <c r="E237" s="12">
        <f t="shared" si="9"/>
        <v>2.6413993546803462E-4</v>
      </c>
      <c r="F237">
        <f t="shared" si="10"/>
        <v>51303.682807069345</v>
      </c>
      <c r="G237">
        <f t="shared" si="11"/>
        <v>54867.682807069345</v>
      </c>
    </row>
    <row r="238" spans="1:7" x14ac:dyDescent="0.2">
      <c r="A238">
        <v>2022</v>
      </c>
      <c r="B238" s="1" t="s">
        <v>613</v>
      </c>
      <c r="C238" s="1" t="s">
        <v>336</v>
      </c>
      <c r="D238" s="10">
        <v>9011</v>
      </c>
      <c r="E238" s="12">
        <f t="shared" si="9"/>
        <v>6.6783528577510104E-4</v>
      </c>
      <c r="F238">
        <f t="shared" si="10"/>
        <v>129713.09926332826</v>
      </c>
      <c r="G238">
        <f t="shared" si="11"/>
        <v>138724.09926332824</v>
      </c>
    </row>
    <row r="239" spans="1:7" x14ac:dyDescent="0.2">
      <c r="A239">
        <v>2022</v>
      </c>
      <c r="B239" s="1" t="s">
        <v>614</v>
      </c>
      <c r="C239" s="1" t="s">
        <v>338</v>
      </c>
      <c r="D239" s="10">
        <v>16684</v>
      </c>
      <c r="E239" s="12">
        <f t="shared" si="9"/>
        <v>1.236506925743179E-3</v>
      </c>
      <c r="F239">
        <f t="shared" si="10"/>
        <v>240165.72501491162</v>
      </c>
      <c r="G239">
        <f t="shared" si="11"/>
        <v>256849.72501491162</v>
      </c>
    </row>
    <row r="240" spans="1:7" x14ac:dyDescent="0.2">
      <c r="A240">
        <v>2022</v>
      </c>
      <c r="B240" s="1" t="s">
        <v>615</v>
      </c>
      <c r="C240" s="1" t="s">
        <v>340</v>
      </c>
      <c r="D240" s="10">
        <v>34619</v>
      </c>
      <c r="E240" s="12">
        <f t="shared" si="9"/>
        <v>2.5657296369157941E-3</v>
      </c>
      <c r="F240">
        <f t="shared" si="10"/>
        <v>498339.56091412279</v>
      </c>
      <c r="G240">
        <f t="shared" si="11"/>
        <v>532958.56091412273</v>
      </c>
    </row>
    <row r="241" spans="1:7" x14ac:dyDescent="0.2">
      <c r="A241">
        <v>2022</v>
      </c>
      <c r="B241" s="1" t="s">
        <v>616</v>
      </c>
      <c r="C241" s="1" t="s">
        <v>342</v>
      </c>
      <c r="E241" s="12">
        <f t="shared" si="9"/>
        <v>0</v>
      </c>
      <c r="F241">
        <f t="shared" si="10"/>
        <v>0</v>
      </c>
      <c r="G241">
        <f t="shared" si="11"/>
        <v>0</v>
      </c>
    </row>
    <row r="242" spans="1:7" x14ac:dyDescent="0.2">
      <c r="A242">
        <v>2022</v>
      </c>
      <c r="B242" s="1" t="s">
        <v>343</v>
      </c>
      <c r="C242" s="1" t="s">
        <v>344</v>
      </c>
      <c r="D242" s="10">
        <v>2548</v>
      </c>
      <c r="E242" s="12">
        <f t="shared" si="9"/>
        <v>1.8884078439184966E-4</v>
      </c>
      <c r="F242">
        <f t="shared" si="10"/>
        <v>36678.390514144972</v>
      </c>
      <c r="G242">
        <f t="shared" si="11"/>
        <v>39226.390514144972</v>
      </c>
    </row>
    <row r="243" spans="1:7" x14ac:dyDescent="0.2">
      <c r="A243">
        <v>2022</v>
      </c>
      <c r="B243" s="1" t="s">
        <v>345</v>
      </c>
      <c r="C243" s="1" t="s">
        <v>346</v>
      </c>
      <c r="D243" s="10">
        <v>6278</v>
      </c>
      <c r="E243" s="12">
        <f t="shared" si="9"/>
        <v>4.6528353391367042E-4</v>
      </c>
      <c r="F243">
        <f t="shared" si="10"/>
        <v>90371.638794270868</v>
      </c>
      <c r="G243">
        <f t="shared" si="11"/>
        <v>96649.638794270868</v>
      </c>
    </row>
    <row r="244" spans="1:7" x14ac:dyDescent="0.2">
      <c r="A244">
        <v>2022</v>
      </c>
      <c r="B244" s="1" t="s">
        <v>347</v>
      </c>
      <c r="C244" s="1" t="s">
        <v>348</v>
      </c>
      <c r="E244" s="12">
        <f t="shared" si="9"/>
        <v>0</v>
      </c>
      <c r="F244">
        <f t="shared" si="10"/>
        <v>0</v>
      </c>
      <c r="G244">
        <f t="shared" si="11"/>
        <v>0</v>
      </c>
    </row>
    <row r="245" spans="1:7" x14ac:dyDescent="0.2">
      <c r="A245">
        <v>2022</v>
      </c>
      <c r="B245" s="1" t="s">
        <v>349</v>
      </c>
      <c r="C245" s="1" t="s">
        <v>350</v>
      </c>
      <c r="D245" s="10">
        <v>4558</v>
      </c>
      <c r="E245" s="12">
        <f t="shared" si="9"/>
        <v>3.3780859311540454E-4</v>
      </c>
      <c r="F245">
        <f t="shared" si="10"/>
        <v>65612.28569995008</v>
      </c>
      <c r="G245">
        <f t="shared" si="11"/>
        <v>70170.28569995008</v>
      </c>
    </row>
    <row r="246" spans="1:7" x14ac:dyDescent="0.2">
      <c r="A246">
        <v>2022</v>
      </c>
      <c r="B246" s="1" t="s">
        <v>617</v>
      </c>
      <c r="C246" s="1" t="s">
        <v>618</v>
      </c>
      <c r="E246" s="12">
        <f t="shared" si="9"/>
        <v>0</v>
      </c>
      <c r="F246">
        <f t="shared" si="10"/>
        <v>0</v>
      </c>
      <c r="G246">
        <f t="shared" si="11"/>
        <v>0</v>
      </c>
    </row>
    <row r="247" spans="1:7" x14ac:dyDescent="0.2">
      <c r="A247">
        <v>2022</v>
      </c>
      <c r="B247" s="1" t="s">
        <v>351</v>
      </c>
      <c r="C247" s="1" t="s">
        <v>352</v>
      </c>
      <c r="D247" s="10">
        <v>4976</v>
      </c>
      <c r="E247" s="12">
        <f t="shared" si="9"/>
        <v>3.6878796826289009E-4</v>
      </c>
      <c r="F247">
        <f t="shared" si="10"/>
        <v>71629.384300779202</v>
      </c>
      <c r="G247">
        <f t="shared" si="11"/>
        <v>76605.384300779202</v>
      </c>
    </row>
    <row r="248" spans="1:7" x14ac:dyDescent="0.2">
      <c r="A248">
        <v>2022</v>
      </c>
      <c r="B248" s="1" t="s">
        <v>353</v>
      </c>
      <c r="C248" s="1" t="s">
        <v>354</v>
      </c>
      <c r="D248" s="10">
        <v>8891</v>
      </c>
      <c r="E248" s="12">
        <f t="shared" si="9"/>
        <v>6.5894168525429181E-4</v>
      </c>
      <c r="F248">
        <f t="shared" si="10"/>
        <v>127985.7025358175</v>
      </c>
      <c r="G248">
        <f t="shared" si="11"/>
        <v>136876.70253581752</v>
      </c>
    </row>
    <row r="249" spans="1:7" x14ac:dyDescent="0.2">
      <c r="A249">
        <v>2022</v>
      </c>
      <c r="B249" s="1" t="s">
        <v>355</v>
      </c>
      <c r="C249" s="1" t="s">
        <v>356</v>
      </c>
      <c r="E249" s="12">
        <f t="shared" si="9"/>
        <v>0</v>
      </c>
      <c r="F249">
        <f t="shared" si="10"/>
        <v>0</v>
      </c>
      <c r="G249">
        <f t="shared" si="11"/>
        <v>0</v>
      </c>
    </row>
    <row r="250" spans="1:7" x14ac:dyDescent="0.2">
      <c r="A250">
        <v>2022</v>
      </c>
      <c r="B250" s="1" t="s">
        <v>619</v>
      </c>
      <c r="C250" s="1" t="s">
        <v>357</v>
      </c>
      <c r="E250" s="12">
        <f t="shared" si="9"/>
        <v>0</v>
      </c>
      <c r="F250">
        <f t="shared" si="10"/>
        <v>0</v>
      </c>
      <c r="G250">
        <f t="shared" si="11"/>
        <v>0</v>
      </c>
    </row>
    <row r="251" spans="1:7" x14ac:dyDescent="0.2">
      <c r="A251">
        <v>2022</v>
      </c>
      <c r="B251" s="1" t="s">
        <v>620</v>
      </c>
      <c r="C251" s="1" t="s">
        <v>358</v>
      </c>
      <c r="D251" s="1">
        <v>357</v>
      </c>
      <c r="E251" s="12">
        <f t="shared" si="9"/>
        <v>2.6458461549407509E-5</v>
      </c>
      <c r="F251">
        <f t="shared" si="10"/>
        <v>5139.0052643444888</v>
      </c>
      <c r="G251">
        <f t="shared" si="11"/>
        <v>5496.0052643444888</v>
      </c>
    </row>
    <row r="252" spans="1:7" x14ac:dyDescent="0.2">
      <c r="A252">
        <v>2022</v>
      </c>
      <c r="B252" s="1" t="s">
        <v>359</v>
      </c>
      <c r="C252" s="1" t="s">
        <v>360</v>
      </c>
      <c r="E252" s="12">
        <f t="shared" si="9"/>
        <v>0</v>
      </c>
      <c r="F252">
        <f t="shared" si="10"/>
        <v>0</v>
      </c>
      <c r="G252">
        <f t="shared" si="11"/>
        <v>0</v>
      </c>
    </row>
    <row r="253" spans="1:7" x14ac:dyDescent="0.2">
      <c r="A253">
        <v>2022</v>
      </c>
      <c r="B253" s="1" t="s">
        <v>361</v>
      </c>
      <c r="C253" s="1" t="s">
        <v>362</v>
      </c>
      <c r="D253" s="10">
        <v>20713</v>
      </c>
      <c r="E253" s="12">
        <f t="shared" si="9"/>
        <v>1.5351095632293494E-3</v>
      </c>
      <c r="F253">
        <f t="shared" si="10"/>
        <v>298163.07014108513</v>
      </c>
      <c r="G253">
        <f t="shared" si="11"/>
        <v>318876.07014108513</v>
      </c>
    </row>
    <row r="255" spans="1:7" x14ac:dyDescent="0.2">
      <c r="D255" s="1">
        <f>SUM(D2:D253)</f>
        <v>13492848</v>
      </c>
    </row>
    <row r="257" spans="2:5" x14ac:dyDescent="0.2">
      <c r="B257" s="1" t="s">
        <v>482</v>
      </c>
      <c r="C257" s="1" t="s">
        <v>1</v>
      </c>
      <c r="D257" s="10">
        <v>194229179</v>
      </c>
      <c r="E257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A10E-5647-2049-BE42-8F49B13CAC11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3FB8-D509-184E-B1A2-9F274E6EEC10}">
  <sheetPr>
    <tabColor rgb="FFFFFF00"/>
  </sheetPr>
  <dimension ref="A1:C236"/>
  <sheetViews>
    <sheetView workbookViewId="0">
      <selection activeCell="E9" sqref="E9"/>
    </sheetView>
  </sheetViews>
  <sheetFormatPr baseColWidth="10" defaultRowHeight="16" x14ac:dyDescent="0.2"/>
  <cols>
    <col min="1" max="1" width="38.6640625" bestFit="1" customWidth="1"/>
  </cols>
  <sheetData>
    <row r="1" spans="1:3" x14ac:dyDescent="0.2">
      <c r="A1" t="s">
        <v>634</v>
      </c>
      <c r="B1" t="s">
        <v>647</v>
      </c>
      <c r="C1" t="s">
        <v>648</v>
      </c>
    </row>
    <row r="2" spans="1:3" x14ac:dyDescent="0.2">
      <c r="A2" t="s">
        <v>632</v>
      </c>
      <c r="B2">
        <v>2314842</v>
      </c>
      <c r="C2">
        <f t="shared" ref="C2:C65" si="0">COUNTIF($B$2:$B$199,B2)</f>
        <v>1</v>
      </c>
    </row>
    <row r="3" spans="1:3" x14ac:dyDescent="0.2">
      <c r="A3" t="s">
        <v>626</v>
      </c>
      <c r="B3">
        <v>2314840</v>
      </c>
      <c r="C3">
        <f t="shared" si="0"/>
        <v>1</v>
      </c>
    </row>
    <row r="4" spans="1:3" x14ac:dyDescent="0.2">
      <c r="A4" t="s">
        <v>630</v>
      </c>
      <c r="B4">
        <v>2314838</v>
      </c>
      <c r="C4">
        <f t="shared" si="0"/>
        <v>1</v>
      </c>
    </row>
    <row r="5" spans="1:3" x14ac:dyDescent="0.2">
      <c r="A5" t="s">
        <v>628</v>
      </c>
      <c r="B5">
        <v>2314837</v>
      </c>
      <c r="C5">
        <f t="shared" si="0"/>
        <v>1</v>
      </c>
    </row>
    <row r="6" spans="1:3" x14ac:dyDescent="0.2">
      <c r="A6" t="s">
        <v>624</v>
      </c>
      <c r="B6">
        <v>2314833</v>
      </c>
      <c r="C6">
        <f t="shared" si="0"/>
        <v>1</v>
      </c>
    </row>
    <row r="7" spans="1:3" x14ac:dyDescent="0.2">
      <c r="A7" t="s">
        <v>490</v>
      </c>
      <c r="B7">
        <v>2314824</v>
      </c>
      <c r="C7">
        <f t="shared" si="0"/>
        <v>1</v>
      </c>
    </row>
    <row r="8" spans="1:3" x14ac:dyDescent="0.2">
      <c r="A8" t="s">
        <v>485</v>
      </c>
      <c r="B8">
        <v>2314823</v>
      </c>
      <c r="C8">
        <f t="shared" si="0"/>
        <v>1</v>
      </c>
    </row>
    <row r="9" spans="1:3" x14ac:dyDescent="0.2">
      <c r="A9" t="s">
        <v>568</v>
      </c>
      <c r="B9">
        <v>2314822</v>
      </c>
      <c r="C9">
        <f t="shared" si="0"/>
        <v>1</v>
      </c>
    </row>
    <row r="10" spans="1:3" x14ac:dyDescent="0.2">
      <c r="A10" t="s">
        <v>498</v>
      </c>
      <c r="B10">
        <v>2314820</v>
      </c>
      <c r="C10">
        <f t="shared" si="0"/>
        <v>1</v>
      </c>
    </row>
    <row r="11" spans="1:3" x14ac:dyDescent="0.2">
      <c r="A11" t="s">
        <v>66</v>
      </c>
      <c r="B11">
        <v>2314818</v>
      </c>
      <c r="C11">
        <f t="shared" si="0"/>
        <v>1</v>
      </c>
    </row>
    <row r="12" spans="1:3" x14ac:dyDescent="0.2">
      <c r="A12" t="s">
        <v>34</v>
      </c>
      <c r="B12">
        <v>2314817</v>
      </c>
      <c r="C12">
        <f t="shared" si="0"/>
        <v>1</v>
      </c>
    </row>
    <row r="13" spans="1:3" x14ac:dyDescent="0.2">
      <c r="A13" t="s">
        <v>512</v>
      </c>
      <c r="B13">
        <v>2314815</v>
      </c>
      <c r="C13">
        <f t="shared" si="0"/>
        <v>1</v>
      </c>
    </row>
    <row r="14" spans="1:3" x14ac:dyDescent="0.2">
      <c r="A14" t="s">
        <v>56</v>
      </c>
      <c r="B14">
        <v>2314814</v>
      </c>
      <c r="C14">
        <f t="shared" si="0"/>
        <v>1</v>
      </c>
    </row>
    <row r="15" spans="1:3" x14ac:dyDescent="0.2">
      <c r="A15" t="s">
        <v>508</v>
      </c>
      <c r="B15">
        <v>2314809</v>
      </c>
      <c r="C15">
        <f t="shared" si="0"/>
        <v>1</v>
      </c>
    </row>
    <row r="16" spans="1:3" x14ac:dyDescent="0.2">
      <c r="A16" t="s">
        <v>567</v>
      </c>
      <c r="B16">
        <v>2314806</v>
      </c>
      <c r="C16">
        <f t="shared" si="0"/>
        <v>1</v>
      </c>
    </row>
    <row r="17" spans="1:3" x14ac:dyDescent="0.2">
      <c r="A17" t="s">
        <v>570</v>
      </c>
      <c r="B17">
        <v>2314805</v>
      </c>
      <c r="C17">
        <f t="shared" si="0"/>
        <v>1</v>
      </c>
    </row>
    <row r="18" spans="1:3" x14ac:dyDescent="0.2">
      <c r="A18" t="s">
        <v>571</v>
      </c>
      <c r="B18">
        <v>2314803</v>
      </c>
      <c r="C18">
        <f t="shared" si="0"/>
        <v>1</v>
      </c>
    </row>
    <row r="19" spans="1:3" x14ac:dyDescent="0.2">
      <c r="A19" t="s">
        <v>562</v>
      </c>
      <c r="B19">
        <v>2314796</v>
      </c>
      <c r="C19">
        <f t="shared" si="0"/>
        <v>1</v>
      </c>
    </row>
    <row r="20" spans="1:3" x14ac:dyDescent="0.2">
      <c r="A20" t="s">
        <v>551</v>
      </c>
      <c r="B20">
        <v>2314795</v>
      </c>
      <c r="C20">
        <f t="shared" si="0"/>
        <v>1</v>
      </c>
    </row>
    <row r="21" spans="1:3" x14ac:dyDescent="0.2">
      <c r="A21" t="s">
        <v>566</v>
      </c>
      <c r="B21">
        <v>2314794</v>
      </c>
      <c r="C21">
        <f t="shared" si="0"/>
        <v>1</v>
      </c>
    </row>
    <row r="22" spans="1:3" x14ac:dyDescent="0.2">
      <c r="A22" t="s">
        <v>554</v>
      </c>
      <c r="B22">
        <v>2314793</v>
      </c>
      <c r="C22">
        <f t="shared" si="0"/>
        <v>1</v>
      </c>
    </row>
    <row r="23" spans="1:3" x14ac:dyDescent="0.2">
      <c r="A23" t="s">
        <v>558</v>
      </c>
      <c r="B23">
        <v>2314791</v>
      </c>
      <c r="C23">
        <f t="shared" si="0"/>
        <v>1</v>
      </c>
    </row>
    <row r="24" spans="1:3" x14ac:dyDescent="0.2">
      <c r="A24" t="s">
        <v>561</v>
      </c>
      <c r="B24">
        <v>2314790</v>
      </c>
      <c r="C24">
        <f t="shared" si="0"/>
        <v>1</v>
      </c>
    </row>
    <row r="25" spans="1:3" x14ac:dyDescent="0.2">
      <c r="A25" t="s">
        <v>550</v>
      </c>
      <c r="B25">
        <v>2314789</v>
      </c>
      <c r="C25">
        <f t="shared" si="0"/>
        <v>1</v>
      </c>
    </row>
    <row r="26" spans="1:3" x14ac:dyDescent="0.2">
      <c r="A26" t="s">
        <v>565</v>
      </c>
      <c r="B26">
        <v>2314788</v>
      </c>
      <c r="C26">
        <f t="shared" si="0"/>
        <v>1</v>
      </c>
    </row>
    <row r="27" spans="1:3" x14ac:dyDescent="0.2">
      <c r="A27" t="s">
        <v>553</v>
      </c>
      <c r="B27">
        <v>2314787</v>
      </c>
      <c r="C27">
        <f t="shared" si="0"/>
        <v>1</v>
      </c>
    </row>
    <row r="28" spans="1:3" x14ac:dyDescent="0.2">
      <c r="A28" t="s">
        <v>259</v>
      </c>
      <c r="B28">
        <v>2314786</v>
      </c>
      <c r="C28">
        <f t="shared" si="0"/>
        <v>1</v>
      </c>
    </row>
    <row r="29" spans="1:3" x14ac:dyDescent="0.2">
      <c r="A29" t="s">
        <v>557</v>
      </c>
      <c r="B29">
        <v>2314785</v>
      </c>
      <c r="C29">
        <f t="shared" si="0"/>
        <v>1</v>
      </c>
    </row>
    <row r="30" spans="1:3" x14ac:dyDescent="0.2">
      <c r="A30" t="s">
        <v>560</v>
      </c>
      <c r="B30">
        <v>2314784</v>
      </c>
      <c r="C30">
        <f t="shared" si="0"/>
        <v>1</v>
      </c>
    </row>
    <row r="31" spans="1:3" x14ac:dyDescent="0.2">
      <c r="A31" t="s">
        <v>549</v>
      </c>
      <c r="B31">
        <v>2314783</v>
      </c>
      <c r="C31">
        <f t="shared" si="0"/>
        <v>1</v>
      </c>
    </row>
    <row r="32" spans="1:3" x14ac:dyDescent="0.2">
      <c r="A32" t="s">
        <v>564</v>
      </c>
      <c r="B32">
        <v>2314782</v>
      </c>
      <c r="C32">
        <f t="shared" si="0"/>
        <v>1</v>
      </c>
    </row>
    <row r="33" spans="1:3" x14ac:dyDescent="0.2">
      <c r="A33" t="s">
        <v>601</v>
      </c>
      <c r="B33">
        <v>2314781</v>
      </c>
      <c r="C33">
        <f t="shared" si="0"/>
        <v>1</v>
      </c>
    </row>
    <row r="34" spans="1:3" x14ac:dyDescent="0.2">
      <c r="A34" t="s">
        <v>552</v>
      </c>
      <c r="B34">
        <v>2314780</v>
      </c>
      <c r="C34">
        <f t="shared" si="0"/>
        <v>1</v>
      </c>
    </row>
    <row r="35" spans="1:3" x14ac:dyDescent="0.2">
      <c r="A35" t="s">
        <v>556</v>
      </c>
      <c r="B35">
        <v>2314779</v>
      </c>
      <c r="C35">
        <f t="shared" si="0"/>
        <v>1</v>
      </c>
    </row>
    <row r="36" spans="1:3" x14ac:dyDescent="0.2">
      <c r="A36" t="s">
        <v>563</v>
      </c>
      <c r="B36">
        <v>2314778</v>
      </c>
      <c r="C36">
        <f t="shared" si="0"/>
        <v>1</v>
      </c>
    </row>
    <row r="37" spans="1:3" x14ac:dyDescent="0.2">
      <c r="A37" t="s">
        <v>532</v>
      </c>
      <c r="B37">
        <v>2314777</v>
      </c>
      <c r="C37">
        <f t="shared" si="0"/>
        <v>1</v>
      </c>
    </row>
    <row r="38" spans="1:3" x14ac:dyDescent="0.2">
      <c r="A38" t="s">
        <v>548</v>
      </c>
      <c r="B38">
        <v>2314776</v>
      </c>
      <c r="C38">
        <f t="shared" si="0"/>
        <v>1</v>
      </c>
    </row>
    <row r="39" spans="1:3" x14ac:dyDescent="0.2">
      <c r="A39" t="s">
        <v>555</v>
      </c>
      <c r="B39">
        <v>2314775</v>
      </c>
      <c r="C39">
        <f t="shared" si="0"/>
        <v>1</v>
      </c>
    </row>
    <row r="40" spans="1:3" x14ac:dyDescent="0.2">
      <c r="A40" t="s">
        <v>559</v>
      </c>
      <c r="B40">
        <v>2314773</v>
      </c>
      <c r="C40">
        <f t="shared" si="0"/>
        <v>1</v>
      </c>
    </row>
    <row r="41" spans="1:3" x14ac:dyDescent="0.2">
      <c r="A41" t="s">
        <v>547</v>
      </c>
      <c r="B41">
        <v>2314772</v>
      </c>
      <c r="C41">
        <f t="shared" si="0"/>
        <v>1</v>
      </c>
    </row>
    <row r="42" spans="1:3" x14ac:dyDescent="0.2">
      <c r="A42" t="s">
        <v>54</v>
      </c>
      <c r="B42">
        <v>2314771</v>
      </c>
      <c r="C42">
        <f t="shared" si="0"/>
        <v>1</v>
      </c>
    </row>
    <row r="43" spans="1:3" x14ac:dyDescent="0.2">
      <c r="A43" t="s">
        <v>536</v>
      </c>
      <c r="B43">
        <v>2314768</v>
      </c>
      <c r="C43">
        <f t="shared" si="0"/>
        <v>1</v>
      </c>
    </row>
    <row r="44" spans="1:3" x14ac:dyDescent="0.2">
      <c r="A44" t="s">
        <v>535</v>
      </c>
      <c r="B44">
        <v>2314767</v>
      </c>
      <c r="C44">
        <f t="shared" si="0"/>
        <v>1</v>
      </c>
    </row>
    <row r="45" spans="1:3" x14ac:dyDescent="0.2">
      <c r="A45" t="s">
        <v>534</v>
      </c>
      <c r="B45">
        <v>2314765</v>
      </c>
      <c r="C45">
        <f t="shared" si="0"/>
        <v>1</v>
      </c>
    </row>
    <row r="46" spans="1:3" x14ac:dyDescent="0.2">
      <c r="A46" t="s">
        <v>577</v>
      </c>
      <c r="B46">
        <v>2314762</v>
      </c>
      <c r="C46">
        <f t="shared" si="0"/>
        <v>1</v>
      </c>
    </row>
    <row r="47" spans="1:3" x14ac:dyDescent="0.2">
      <c r="A47" t="s">
        <v>533</v>
      </c>
      <c r="B47">
        <v>2314761</v>
      </c>
      <c r="C47">
        <f t="shared" si="0"/>
        <v>1</v>
      </c>
    </row>
    <row r="48" spans="1:3" x14ac:dyDescent="0.2">
      <c r="A48" t="s">
        <v>529</v>
      </c>
      <c r="B48">
        <v>2314700</v>
      </c>
      <c r="C48">
        <f t="shared" si="0"/>
        <v>1</v>
      </c>
    </row>
    <row r="49" spans="1:3" x14ac:dyDescent="0.2">
      <c r="A49" t="s">
        <v>528</v>
      </c>
      <c r="B49">
        <v>2314670</v>
      </c>
      <c r="C49">
        <f t="shared" si="0"/>
        <v>1</v>
      </c>
    </row>
    <row r="50" spans="1:3" x14ac:dyDescent="0.2">
      <c r="A50" t="s">
        <v>525</v>
      </c>
      <c r="B50">
        <v>2314610</v>
      </c>
      <c r="C50">
        <f t="shared" si="0"/>
        <v>1</v>
      </c>
    </row>
    <row r="51" spans="1:3" x14ac:dyDescent="0.2">
      <c r="A51" t="s">
        <v>526</v>
      </c>
      <c r="B51">
        <v>2314590</v>
      </c>
      <c r="C51">
        <f t="shared" si="0"/>
        <v>1</v>
      </c>
    </row>
    <row r="52" spans="1:3" x14ac:dyDescent="0.2">
      <c r="A52" t="s">
        <v>162</v>
      </c>
      <c r="B52">
        <v>2314560</v>
      </c>
      <c r="C52">
        <f t="shared" si="0"/>
        <v>1</v>
      </c>
    </row>
    <row r="53" spans="1:3" x14ac:dyDescent="0.2">
      <c r="A53" t="s">
        <v>531</v>
      </c>
      <c r="B53">
        <v>2314440</v>
      </c>
      <c r="C53">
        <f t="shared" si="0"/>
        <v>1</v>
      </c>
    </row>
    <row r="54" spans="1:3" x14ac:dyDescent="0.2">
      <c r="A54" t="s">
        <v>167</v>
      </c>
      <c r="B54">
        <v>2314410</v>
      </c>
      <c r="C54">
        <f t="shared" si="0"/>
        <v>1</v>
      </c>
    </row>
    <row r="55" spans="1:3" x14ac:dyDescent="0.2">
      <c r="A55" t="s">
        <v>522</v>
      </c>
      <c r="B55">
        <v>2314330</v>
      </c>
      <c r="C55">
        <f t="shared" si="0"/>
        <v>1</v>
      </c>
    </row>
    <row r="56" spans="1:3" x14ac:dyDescent="0.2">
      <c r="A56" t="s">
        <v>160</v>
      </c>
      <c r="B56">
        <v>2314300</v>
      </c>
      <c r="C56">
        <f t="shared" si="0"/>
        <v>1</v>
      </c>
    </row>
    <row r="57" spans="1:3" x14ac:dyDescent="0.2">
      <c r="A57" t="s">
        <v>523</v>
      </c>
      <c r="B57">
        <v>2314240</v>
      </c>
      <c r="C57">
        <f t="shared" si="0"/>
        <v>1</v>
      </c>
    </row>
    <row r="58" spans="1:3" x14ac:dyDescent="0.2">
      <c r="A58" t="s">
        <v>530</v>
      </c>
      <c r="B58">
        <v>2314210</v>
      </c>
      <c r="C58">
        <f t="shared" si="0"/>
        <v>1</v>
      </c>
    </row>
    <row r="59" spans="1:3" x14ac:dyDescent="0.2">
      <c r="A59" t="s">
        <v>527</v>
      </c>
      <c r="B59">
        <v>2314190</v>
      </c>
      <c r="C59">
        <f t="shared" si="0"/>
        <v>1</v>
      </c>
    </row>
    <row r="60" spans="1:3" x14ac:dyDescent="0.2">
      <c r="A60" t="s">
        <v>524</v>
      </c>
      <c r="B60">
        <v>2314160</v>
      </c>
      <c r="C60">
        <f t="shared" si="0"/>
        <v>1</v>
      </c>
    </row>
    <row r="61" spans="1:3" x14ac:dyDescent="0.2">
      <c r="A61" t="s">
        <v>114</v>
      </c>
      <c r="B61">
        <v>2314130</v>
      </c>
      <c r="C61">
        <f t="shared" si="0"/>
        <v>1</v>
      </c>
    </row>
    <row r="62" spans="1:3" x14ac:dyDescent="0.2">
      <c r="A62" t="s">
        <v>504</v>
      </c>
      <c r="B62">
        <v>2314100</v>
      </c>
      <c r="C62">
        <f t="shared" si="0"/>
        <v>1</v>
      </c>
    </row>
    <row r="63" spans="1:3" x14ac:dyDescent="0.2">
      <c r="A63" t="s">
        <v>361</v>
      </c>
      <c r="B63">
        <v>2314010</v>
      </c>
      <c r="C63">
        <f t="shared" si="0"/>
        <v>1</v>
      </c>
    </row>
    <row r="64" spans="1:3" x14ac:dyDescent="0.2">
      <c r="A64" t="s">
        <v>503</v>
      </c>
      <c r="B64">
        <v>2313980</v>
      </c>
      <c r="C64">
        <f t="shared" si="0"/>
        <v>1</v>
      </c>
    </row>
    <row r="65" spans="1:3" x14ac:dyDescent="0.2">
      <c r="A65" t="s">
        <v>502</v>
      </c>
      <c r="B65">
        <v>2313970</v>
      </c>
      <c r="C65">
        <f t="shared" si="0"/>
        <v>1</v>
      </c>
    </row>
    <row r="66" spans="1:3" x14ac:dyDescent="0.2">
      <c r="A66" t="s">
        <v>599</v>
      </c>
      <c r="B66">
        <v>2313860</v>
      </c>
      <c r="C66">
        <f t="shared" ref="C66:C129" si="1">COUNTIF($B$2:$B$199,B66)</f>
        <v>1</v>
      </c>
    </row>
    <row r="67" spans="1:3" x14ac:dyDescent="0.2">
      <c r="A67" t="s">
        <v>622</v>
      </c>
      <c r="B67">
        <v>2313710</v>
      </c>
      <c r="C67">
        <f t="shared" si="1"/>
        <v>1</v>
      </c>
    </row>
    <row r="68" spans="1:3" x14ac:dyDescent="0.2">
      <c r="A68" t="s">
        <v>359</v>
      </c>
      <c r="B68">
        <v>2313590</v>
      </c>
      <c r="C68">
        <f t="shared" si="1"/>
        <v>1</v>
      </c>
    </row>
    <row r="69" spans="1:3" x14ac:dyDescent="0.2">
      <c r="A69" t="s">
        <v>109</v>
      </c>
      <c r="B69">
        <v>2313560</v>
      </c>
      <c r="C69">
        <f t="shared" si="1"/>
        <v>1</v>
      </c>
    </row>
    <row r="70" spans="1:3" x14ac:dyDescent="0.2">
      <c r="A70" t="s">
        <v>500</v>
      </c>
      <c r="B70">
        <v>2313530</v>
      </c>
      <c r="C70">
        <f t="shared" si="1"/>
        <v>1</v>
      </c>
    </row>
    <row r="71" spans="1:3" x14ac:dyDescent="0.2">
      <c r="A71" t="s">
        <v>605</v>
      </c>
      <c r="B71">
        <v>2313500</v>
      </c>
      <c r="C71">
        <f t="shared" si="1"/>
        <v>1</v>
      </c>
    </row>
    <row r="72" spans="1:3" x14ac:dyDescent="0.2">
      <c r="A72" t="s">
        <v>483</v>
      </c>
      <c r="B72">
        <v>2313490</v>
      </c>
      <c r="C72">
        <f t="shared" si="1"/>
        <v>1</v>
      </c>
    </row>
    <row r="73" spans="1:3" x14ac:dyDescent="0.2">
      <c r="A73" t="s">
        <v>271</v>
      </c>
      <c r="B73">
        <v>2313350</v>
      </c>
      <c r="C73">
        <f t="shared" si="1"/>
        <v>1</v>
      </c>
    </row>
    <row r="74" spans="1:3" x14ac:dyDescent="0.2">
      <c r="A74" t="s">
        <v>107</v>
      </c>
      <c r="B74">
        <v>2313140</v>
      </c>
      <c r="C74">
        <f t="shared" si="1"/>
        <v>1</v>
      </c>
    </row>
    <row r="75" spans="1:3" x14ac:dyDescent="0.2">
      <c r="A75" t="s">
        <v>598</v>
      </c>
      <c r="B75">
        <v>2313110</v>
      </c>
      <c r="C75">
        <f t="shared" si="1"/>
        <v>1</v>
      </c>
    </row>
    <row r="76" spans="1:3" x14ac:dyDescent="0.2">
      <c r="A76" t="s">
        <v>619</v>
      </c>
      <c r="B76">
        <v>2313080</v>
      </c>
      <c r="C76">
        <f t="shared" si="1"/>
        <v>1</v>
      </c>
    </row>
    <row r="77" spans="1:3" x14ac:dyDescent="0.2">
      <c r="A77" t="s">
        <v>597</v>
      </c>
      <c r="B77">
        <v>2312980</v>
      </c>
      <c r="C77">
        <f t="shared" si="1"/>
        <v>1</v>
      </c>
    </row>
    <row r="78" spans="1:3" x14ac:dyDescent="0.2">
      <c r="A78" t="s">
        <v>595</v>
      </c>
      <c r="B78">
        <v>2312960</v>
      </c>
      <c r="C78">
        <f t="shared" si="1"/>
        <v>1</v>
      </c>
    </row>
    <row r="79" spans="1:3" x14ac:dyDescent="0.2">
      <c r="A79" t="s">
        <v>341</v>
      </c>
      <c r="B79">
        <v>2312750</v>
      </c>
      <c r="C79">
        <f t="shared" si="1"/>
        <v>2</v>
      </c>
    </row>
    <row r="80" spans="1:3" x14ac:dyDescent="0.2">
      <c r="A80" t="s">
        <v>616</v>
      </c>
      <c r="B80">
        <v>2312750</v>
      </c>
      <c r="C80">
        <f t="shared" si="1"/>
        <v>2</v>
      </c>
    </row>
    <row r="81" spans="1:3" x14ac:dyDescent="0.2">
      <c r="A81" t="s">
        <v>594</v>
      </c>
      <c r="B81">
        <v>2312390</v>
      </c>
      <c r="C81">
        <f t="shared" si="1"/>
        <v>1</v>
      </c>
    </row>
    <row r="82" spans="1:3" x14ac:dyDescent="0.2">
      <c r="A82" t="s">
        <v>326</v>
      </c>
      <c r="B82">
        <v>2312360</v>
      </c>
      <c r="C82">
        <f t="shared" si="1"/>
        <v>1</v>
      </c>
    </row>
    <row r="83" spans="1:3" x14ac:dyDescent="0.2">
      <c r="A83" t="s">
        <v>497</v>
      </c>
      <c r="B83">
        <v>2312330</v>
      </c>
      <c r="C83">
        <f t="shared" si="1"/>
        <v>1</v>
      </c>
    </row>
    <row r="84" spans="1:3" x14ac:dyDescent="0.2">
      <c r="A84" t="s">
        <v>282</v>
      </c>
      <c r="B84">
        <v>2312300</v>
      </c>
      <c r="C84">
        <f t="shared" si="1"/>
        <v>1</v>
      </c>
    </row>
    <row r="85" spans="1:3" x14ac:dyDescent="0.2">
      <c r="A85" t="s">
        <v>613</v>
      </c>
      <c r="B85">
        <v>2312140</v>
      </c>
      <c r="C85">
        <f t="shared" si="1"/>
        <v>1</v>
      </c>
    </row>
    <row r="86" spans="1:3" x14ac:dyDescent="0.2">
      <c r="A86" t="s">
        <v>250</v>
      </c>
      <c r="B86">
        <v>2311850</v>
      </c>
      <c r="C86">
        <f t="shared" si="1"/>
        <v>1</v>
      </c>
    </row>
    <row r="87" spans="1:3" x14ac:dyDescent="0.2">
      <c r="A87" t="s">
        <v>507</v>
      </c>
      <c r="B87">
        <v>2311790</v>
      </c>
      <c r="C87">
        <f t="shared" si="1"/>
        <v>1</v>
      </c>
    </row>
    <row r="88" spans="1:3" x14ac:dyDescent="0.2">
      <c r="A88" t="s">
        <v>151</v>
      </c>
      <c r="B88">
        <v>2311700</v>
      </c>
      <c r="C88">
        <f t="shared" si="1"/>
        <v>1</v>
      </c>
    </row>
    <row r="89" spans="1:3" x14ac:dyDescent="0.2">
      <c r="A89" t="s">
        <v>521</v>
      </c>
      <c r="B89">
        <v>2311670</v>
      </c>
      <c r="C89">
        <f t="shared" si="1"/>
        <v>1</v>
      </c>
    </row>
    <row r="90" spans="1:3" x14ac:dyDescent="0.2">
      <c r="A90" t="s">
        <v>520</v>
      </c>
      <c r="B90">
        <v>2311610</v>
      </c>
      <c r="C90">
        <f t="shared" si="1"/>
        <v>1</v>
      </c>
    </row>
    <row r="91" spans="1:3" x14ac:dyDescent="0.2">
      <c r="A91" t="s">
        <v>519</v>
      </c>
      <c r="B91">
        <v>2311550</v>
      </c>
      <c r="C91">
        <f t="shared" si="1"/>
        <v>1</v>
      </c>
    </row>
    <row r="92" spans="1:3" x14ac:dyDescent="0.2">
      <c r="A92" t="s">
        <v>506</v>
      </c>
      <c r="B92">
        <v>2311520</v>
      </c>
      <c r="C92">
        <f t="shared" si="1"/>
        <v>1</v>
      </c>
    </row>
    <row r="93" spans="1:3" x14ac:dyDescent="0.2">
      <c r="A93" t="s">
        <v>146</v>
      </c>
      <c r="B93">
        <v>2311430</v>
      </c>
      <c r="C93">
        <f t="shared" si="1"/>
        <v>1</v>
      </c>
    </row>
    <row r="94" spans="1:3" x14ac:dyDescent="0.2">
      <c r="A94" t="s">
        <v>518</v>
      </c>
      <c r="B94">
        <v>2311370</v>
      </c>
      <c r="C94">
        <f t="shared" si="1"/>
        <v>1</v>
      </c>
    </row>
    <row r="95" spans="1:3" x14ac:dyDescent="0.2">
      <c r="A95" t="s">
        <v>517</v>
      </c>
      <c r="B95">
        <v>2311310</v>
      </c>
      <c r="C95">
        <f t="shared" si="1"/>
        <v>1</v>
      </c>
    </row>
    <row r="96" spans="1:3" x14ac:dyDescent="0.2">
      <c r="A96" t="s">
        <v>516</v>
      </c>
      <c r="B96">
        <v>2311280</v>
      </c>
      <c r="C96">
        <f t="shared" si="1"/>
        <v>1</v>
      </c>
    </row>
    <row r="97" spans="1:3" x14ac:dyDescent="0.2">
      <c r="A97" t="s">
        <v>515</v>
      </c>
      <c r="B97">
        <v>2311160</v>
      </c>
      <c r="C97">
        <f t="shared" si="1"/>
        <v>1</v>
      </c>
    </row>
    <row r="98" spans="1:3" x14ac:dyDescent="0.2">
      <c r="A98" t="s">
        <v>140</v>
      </c>
      <c r="B98">
        <v>2311130</v>
      </c>
      <c r="C98">
        <f t="shared" si="1"/>
        <v>1</v>
      </c>
    </row>
    <row r="99" spans="1:3" x14ac:dyDescent="0.2">
      <c r="A99" t="s">
        <v>514</v>
      </c>
      <c r="B99">
        <v>2311100</v>
      </c>
      <c r="C99">
        <f t="shared" si="1"/>
        <v>1</v>
      </c>
    </row>
    <row r="100" spans="1:3" x14ac:dyDescent="0.2">
      <c r="A100" t="s">
        <v>513</v>
      </c>
      <c r="B100">
        <v>2311010</v>
      </c>
      <c r="C100">
        <f t="shared" si="1"/>
        <v>1</v>
      </c>
    </row>
    <row r="101" spans="1:3" x14ac:dyDescent="0.2">
      <c r="A101" t="s">
        <v>136</v>
      </c>
      <c r="B101">
        <v>2310980</v>
      </c>
      <c r="C101">
        <f t="shared" si="1"/>
        <v>1</v>
      </c>
    </row>
    <row r="102" spans="1:3" x14ac:dyDescent="0.2">
      <c r="A102" t="s">
        <v>133</v>
      </c>
      <c r="B102">
        <v>2310890</v>
      </c>
      <c r="C102">
        <f t="shared" si="1"/>
        <v>1</v>
      </c>
    </row>
    <row r="103" spans="1:3" x14ac:dyDescent="0.2">
      <c r="A103" t="s">
        <v>505</v>
      </c>
      <c r="B103">
        <v>2310860</v>
      </c>
      <c r="C103">
        <f t="shared" si="1"/>
        <v>1</v>
      </c>
    </row>
    <row r="104" spans="1:3" x14ac:dyDescent="0.2">
      <c r="A104" t="s">
        <v>511</v>
      </c>
      <c r="B104">
        <v>2310770</v>
      </c>
      <c r="C104">
        <f t="shared" si="1"/>
        <v>1</v>
      </c>
    </row>
    <row r="105" spans="1:3" x14ac:dyDescent="0.2">
      <c r="A105" t="s">
        <v>510</v>
      </c>
      <c r="B105">
        <v>2310710</v>
      </c>
      <c r="C105">
        <f t="shared" si="1"/>
        <v>1</v>
      </c>
    </row>
    <row r="106" spans="1:3" x14ac:dyDescent="0.2">
      <c r="A106" t="s">
        <v>578</v>
      </c>
      <c r="B106">
        <v>2310680</v>
      </c>
      <c r="C106">
        <f t="shared" si="1"/>
        <v>1</v>
      </c>
    </row>
    <row r="107" spans="1:3" x14ac:dyDescent="0.2">
      <c r="A107" t="s">
        <v>129</v>
      </c>
      <c r="B107">
        <v>2310650</v>
      </c>
      <c r="C107">
        <f t="shared" si="1"/>
        <v>1</v>
      </c>
    </row>
    <row r="108" spans="1:3" x14ac:dyDescent="0.2">
      <c r="A108" t="s">
        <v>127</v>
      </c>
      <c r="B108">
        <v>2310620</v>
      </c>
      <c r="C108">
        <f t="shared" si="1"/>
        <v>1</v>
      </c>
    </row>
    <row r="109" spans="1:3" x14ac:dyDescent="0.2">
      <c r="A109" t="s">
        <v>509</v>
      </c>
      <c r="B109">
        <v>2310590</v>
      </c>
      <c r="C109">
        <f t="shared" si="1"/>
        <v>1</v>
      </c>
    </row>
    <row r="110" spans="1:3" x14ac:dyDescent="0.2">
      <c r="A110" t="s">
        <v>496</v>
      </c>
      <c r="B110">
        <v>2310530</v>
      </c>
      <c r="C110">
        <f t="shared" si="1"/>
        <v>1</v>
      </c>
    </row>
    <row r="111" spans="1:3" x14ac:dyDescent="0.2">
      <c r="A111" t="s">
        <v>495</v>
      </c>
      <c r="B111">
        <v>2310500</v>
      </c>
      <c r="C111">
        <f t="shared" si="1"/>
        <v>1</v>
      </c>
    </row>
    <row r="112" spans="1:3" x14ac:dyDescent="0.2">
      <c r="A112" t="s">
        <v>494</v>
      </c>
      <c r="B112">
        <v>2310380</v>
      </c>
      <c r="C112">
        <f t="shared" si="1"/>
        <v>1</v>
      </c>
    </row>
    <row r="113" spans="1:3" x14ac:dyDescent="0.2">
      <c r="A113" t="s">
        <v>309</v>
      </c>
      <c r="B113">
        <v>2310320</v>
      </c>
      <c r="C113">
        <f t="shared" si="1"/>
        <v>1</v>
      </c>
    </row>
    <row r="114" spans="1:3" x14ac:dyDescent="0.2">
      <c r="A114" t="s">
        <v>244</v>
      </c>
      <c r="B114">
        <v>2310190</v>
      </c>
      <c r="C114">
        <f t="shared" si="1"/>
        <v>1</v>
      </c>
    </row>
    <row r="115" spans="1:3" x14ac:dyDescent="0.2">
      <c r="A115" t="s">
        <v>589</v>
      </c>
      <c r="B115">
        <v>2309990</v>
      </c>
      <c r="C115">
        <f t="shared" si="1"/>
        <v>1</v>
      </c>
    </row>
    <row r="116" spans="1:3" x14ac:dyDescent="0.2">
      <c r="A116" t="s">
        <v>493</v>
      </c>
      <c r="B116">
        <v>2309930</v>
      </c>
      <c r="C116">
        <f t="shared" si="1"/>
        <v>1</v>
      </c>
    </row>
    <row r="117" spans="1:3" x14ac:dyDescent="0.2">
      <c r="A117" t="s">
        <v>238</v>
      </c>
      <c r="B117">
        <v>2309650</v>
      </c>
      <c r="C117">
        <f t="shared" si="1"/>
        <v>1</v>
      </c>
    </row>
    <row r="118" spans="1:3" x14ac:dyDescent="0.2">
      <c r="A118" t="s">
        <v>349</v>
      </c>
      <c r="B118">
        <v>2309630</v>
      </c>
      <c r="C118">
        <f t="shared" si="1"/>
        <v>1</v>
      </c>
    </row>
    <row r="119" spans="1:3" x14ac:dyDescent="0.2">
      <c r="A119" t="s">
        <v>583</v>
      </c>
      <c r="B119">
        <v>2309560</v>
      </c>
      <c r="C119">
        <f t="shared" si="1"/>
        <v>1</v>
      </c>
    </row>
    <row r="120" spans="1:3" x14ac:dyDescent="0.2">
      <c r="A120" t="s">
        <v>492</v>
      </c>
      <c r="B120">
        <v>2309390</v>
      </c>
      <c r="C120">
        <f t="shared" si="1"/>
        <v>1</v>
      </c>
    </row>
    <row r="121" spans="1:3" x14ac:dyDescent="0.2">
      <c r="A121" t="s">
        <v>220</v>
      </c>
      <c r="B121">
        <v>2309330</v>
      </c>
      <c r="C121">
        <f t="shared" si="1"/>
        <v>1</v>
      </c>
    </row>
    <row r="122" spans="1:3" x14ac:dyDescent="0.2">
      <c r="A122" t="s">
        <v>307</v>
      </c>
      <c r="B122">
        <v>2309090</v>
      </c>
      <c r="C122">
        <f t="shared" si="1"/>
        <v>1</v>
      </c>
    </row>
    <row r="123" spans="1:3" x14ac:dyDescent="0.2">
      <c r="A123" t="s">
        <v>278</v>
      </c>
      <c r="B123">
        <v>2308940</v>
      </c>
      <c r="C123">
        <f t="shared" si="1"/>
        <v>1</v>
      </c>
    </row>
    <row r="124" spans="1:3" x14ac:dyDescent="0.2">
      <c r="A124" t="s">
        <v>620</v>
      </c>
      <c r="B124">
        <v>2308700</v>
      </c>
      <c r="C124">
        <f t="shared" si="1"/>
        <v>1</v>
      </c>
    </row>
    <row r="125" spans="1:3" x14ac:dyDescent="0.2">
      <c r="A125" t="s">
        <v>593</v>
      </c>
      <c r="B125">
        <v>2308490</v>
      </c>
      <c r="C125">
        <f t="shared" si="1"/>
        <v>1</v>
      </c>
    </row>
    <row r="126" spans="1:3" x14ac:dyDescent="0.2">
      <c r="A126" t="s">
        <v>8</v>
      </c>
      <c r="B126">
        <v>2308400</v>
      </c>
      <c r="C126">
        <f t="shared" si="1"/>
        <v>1</v>
      </c>
    </row>
    <row r="127" spans="1:3" x14ac:dyDescent="0.2">
      <c r="A127" t="s">
        <v>4</v>
      </c>
      <c r="B127">
        <v>2308340</v>
      </c>
      <c r="C127">
        <f t="shared" si="1"/>
        <v>1</v>
      </c>
    </row>
    <row r="128" spans="1:3" x14ac:dyDescent="0.2">
      <c r="A128" t="s">
        <v>488</v>
      </c>
      <c r="B128">
        <v>2308280</v>
      </c>
      <c r="C128">
        <f t="shared" si="1"/>
        <v>1</v>
      </c>
    </row>
    <row r="129" spans="1:3" x14ac:dyDescent="0.2">
      <c r="A129" t="s">
        <v>615</v>
      </c>
      <c r="B129">
        <v>2308250</v>
      </c>
      <c r="C129">
        <f t="shared" si="1"/>
        <v>1</v>
      </c>
    </row>
    <row r="130" spans="1:3" x14ac:dyDescent="0.2">
      <c r="A130" t="s">
        <v>487</v>
      </c>
      <c r="B130">
        <v>2308160</v>
      </c>
      <c r="C130">
        <f t="shared" ref="C130:C193" si="2">COUNTIF($B$2:$B$199,B130)</f>
        <v>1</v>
      </c>
    </row>
    <row r="131" spans="1:3" x14ac:dyDescent="0.2">
      <c r="A131" t="s">
        <v>305</v>
      </c>
      <c r="B131">
        <v>2307980</v>
      </c>
      <c r="C131">
        <f t="shared" si="2"/>
        <v>1</v>
      </c>
    </row>
    <row r="132" spans="1:3" x14ac:dyDescent="0.2">
      <c r="A132" t="s">
        <v>94</v>
      </c>
      <c r="B132">
        <v>2307800</v>
      </c>
      <c r="C132">
        <f t="shared" si="2"/>
        <v>1</v>
      </c>
    </row>
    <row r="133" spans="1:3" x14ac:dyDescent="0.2">
      <c r="A133" t="s">
        <v>303</v>
      </c>
      <c r="B133">
        <v>2307710</v>
      </c>
      <c r="C133">
        <f t="shared" si="2"/>
        <v>1</v>
      </c>
    </row>
    <row r="134" spans="1:3" x14ac:dyDescent="0.2">
      <c r="A134" t="s">
        <v>592</v>
      </c>
      <c r="B134">
        <v>2307590</v>
      </c>
      <c r="C134">
        <f t="shared" si="2"/>
        <v>1</v>
      </c>
    </row>
    <row r="135" spans="1:3" x14ac:dyDescent="0.2">
      <c r="A135" t="s">
        <v>90</v>
      </c>
      <c r="B135">
        <v>2307530</v>
      </c>
      <c r="C135">
        <f t="shared" si="2"/>
        <v>1</v>
      </c>
    </row>
    <row r="136" spans="1:3" x14ac:dyDescent="0.2">
      <c r="A136" t="s">
        <v>88</v>
      </c>
      <c r="B136">
        <v>2307450</v>
      </c>
      <c r="C136">
        <f t="shared" si="2"/>
        <v>1</v>
      </c>
    </row>
    <row r="137" spans="1:3" x14ac:dyDescent="0.2">
      <c r="A137" t="s">
        <v>86</v>
      </c>
      <c r="B137">
        <v>2307320</v>
      </c>
      <c r="C137">
        <f t="shared" si="2"/>
        <v>1</v>
      </c>
    </row>
    <row r="138" spans="1:3" x14ac:dyDescent="0.2">
      <c r="A138" t="s">
        <v>84</v>
      </c>
      <c r="B138">
        <v>2307250</v>
      </c>
      <c r="C138">
        <f t="shared" si="2"/>
        <v>1</v>
      </c>
    </row>
    <row r="139" spans="1:3" x14ac:dyDescent="0.2">
      <c r="A139" t="s">
        <v>82</v>
      </c>
      <c r="B139">
        <v>2307140</v>
      </c>
      <c r="C139">
        <f t="shared" si="2"/>
        <v>1</v>
      </c>
    </row>
    <row r="140" spans="1:3" x14ac:dyDescent="0.2">
      <c r="A140" t="s">
        <v>353</v>
      </c>
      <c r="B140">
        <v>2307100</v>
      </c>
      <c r="C140">
        <f t="shared" si="2"/>
        <v>1</v>
      </c>
    </row>
    <row r="141" spans="1:3" x14ac:dyDescent="0.2">
      <c r="A141" t="s">
        <v>301</v>
      </c>
      <c r="B141">
        <v>2306900</v>
      </c>
      <c r="C141">
        <f t="shared" si="2"/>
        <v>1</v>
      </c>
    </row>
    <row r="142" spans="1:3" x14ac:dyDescent="0.2">
      <c r="A142" t="s">
        <v>284</v>
      </c>
      <c r="B142">
        <v>2306870</v>
      </c>
      <c r="C142">
        <f t="shared" si="2"/>
        <v>1</v>
      </c>
    </row>
    <row r="143" spans="1:3" x14ac:dyDescent="0.2">
      <c r="A143" t="s">
        <v>80</v>
      </c>
      <c r="B143">
        <v>2306810</v>
      </c>
      <c r="C143">
        <f t="shared" si="2"/>
        <v>1</v>
      </c>
    </row>
    <row r="144" spans="1:3" x14ac:dyDescent="0.2">
      <c r="A144" t="s">
        <v>2</v>
      </c>
      <c r="B144">
        <v>2306780</v>
      </c>
      <c r="C144">
        <f t="shared" si="2"/>
        <v>1</v>
      </c>
    </row>
    <row r="145" spans="1:3" x14ac:dyDescent="0.2">
      <c r="A145" t="s">
        <v>332</v>
      </c>
      <c r="B145">
        <v>2306610</v>
      </c>
      <c r="C145">
        <f t="shared" si="2"/>
        <v>1</v>
      </c>
    </row>
    <row r="146" spans="1:3" x14ac:dyDescent="0.2">
      <c r="A146" t="s">
        <v>78</v>
      </c>
      <c r="B146">
        <v>2306510</v>
      </c>
      <c r="C146">
        <f t="shared" si="2"/>
        <v>1</v>
      </c>
    </row>
    <row r="147" spans="1:3" x14ac:dyDescent="0.2">
      <c r="A147" t="s">
        <v>293</v>
      </c>
      <c r="B147">
        <v>2306330</v>
      </c>
      <c r="C147">
        <f t="shared" si="2"/>
        <v>1</v>
      </c>
    </row>
    <row r="148" spans="1:3" x14ac:dyDescent="0.2">
      <c r="A148" t="s">
        <v>76</v>
      </c>
      <c r="B148">
        <v>2306260</v>
      </c>
      <c r="C148">
        <f t="shared" si="2"/>
        <v>1</v>
      </c>
    </row>
    <row r="149" spans="1:3" x14ac:dyDescent="0.2">
      <c r="A149" t="s">
        <v>329</v>
      </c>
      <c r="B149">
        <v>2306250</v>
      </c>
      <c r="C149">
        <f t="shared" si="2"/>
        <v>1</v>
      </c>
    </row>
    <row r="150" spans="1:3" x14ac:dyDescent="0.2">
      <c r="A150" t="s">
        <v>614</v>
      </c>
      <c r="B150">
        <v>2306180</v>
      </c>
      <c r="C150">
        <f t="shared" si="2"/>
        <v>2</v>
      </c>
    </row>
    <row r="151" spans="1:3" x14ac:dyDescent="0.2">
      <c r="A151" t="s">
        <v>337</v>
      </c>
      <c r="B151">
        <v>2306180</v>
      </c>
      <c r="C151">
        <f t="shared" si="2"/>
        <v>2</v>
      </c>
    </row>
    <row r="152" spans="1:3" x14ac:dyDescent="0.2">
      <c r="A152" t="s">
        <v>276</v>
      </c>
      <c r="B152">
        <v>2306160</v>
      </c>
      <c r="C152">
        <f t="shared" si="2"/>
        <v>1</v>
      </c>
    </row>
    <row r="153" spans="1:3" x14ac:dyDescent="0.2">
      <c r="A153" t="s">
        <v>74</v>
      </c>
      <c r="B153">
        <v>2306060</v>
      </c>
      <c r="C153">
        <f t="shared" si="2"/>
        <v>1</v>
      </c>
    </row>
    <row r="154" spans="1:3" x14ac:dyDescent="0.2">
      <c r="A154" t="s">
        <v>72</v>
      </c>
      <c r="B154">
        <v>2306000</v>
      </c>
      <c r="C154">
        <f t="shared" si="2"/>
        <v>1</v>
      </c>
    </row>
    <row r="155" spans="1:3" x14ac:dyDescent="0.2">
      <c r="A155" t="s">
        <v>611</v>
      </c>
      <c r="B155">
        <v>2305970</v>
      </c>
      <c r="C155">
        <f t="shared" si="2"/>
        <v>1</v>
      </c>
    </row>
    <row r="156" spans="1:3" x14ac:dyDescent="0.2">
      <c r="A156" t="s">
        <v>68</v>
      </c>
      <c r="B156">
        <v>2305670</v>
      </c>
      <c r="C156">
        <f t="shared" si="2"/>
        <v>1</v>
      </c>
    </row>
    <row r="157" spans="1:3" x14ac:dyDescent="0.2">
      <c r="A157" t="s">
        <v>62</v>
      </c>
      <c r="B157">
        <v>2305500</v>
      </c>
      <c r="C157">
        <f t="shared" si="2"/>
        <v>1</v>
      </c>
    </row>
    <row r="158" spans="1:3" x14ac:dyDescent="0.2">
      <c r="A158" t="s">
        <v>324</v>
      </c>
      <c r="B158">
        <v>2305400</v>
      </c>
      <c r="C158">
        <f t="shared" si="2"/>
        <v>1</v>
      </c>
    </row>
    <row r="159" spans="1:3" x14ac:dyDescent="0.2">
      <c r="A159" t="s">
        <v>587</v>
      </c>
      <c r="B159">
        <v>2305380</v>
      </c>
      <c r="C159">
        <f t="shared" si="2"/>
        <v>1</v>
      </c>
    </row>
    <row r="160" spans="1:3" x14ac:dyDescent="0.2">
      <c r="A160" t="s">
        <v>582</v>
      </c>
      <c r="B160">
        <v>2305360</v>
      </c>
      <c r="C160">
        <f t="shared" si="2"/>
        <v>1</v>
      </c>
    </row>
    <row r="161" spans="1:3" x14ac:dyDescent="0.2">
      <c r="A161" t="s">
        <v>60</v>
      </c>
      <c r="B161">
        <v>2305310</v>
      </c>
      <c r="C161">
        <f t="shared" si="2"/>
        <v>1</v>
      </c>
    </row>
    <row r="162" spans="1:3" x14ac:dyDescent="0.2">
      <c r="A162" t="s">
        <v>64</v>
      </c>
      <c r="B162">
        <v>2305280</v>
      </c>
      <c r="C162">
        <f t="shared" si="2"/>
        <v>1</v>
      </c>
    </row>
    <row r="163" spans="1:3" x14ac:dyDescent="0.2">
      <c r="A163" t="s">
        <v>6</v>
      </c>
      <c r="B163">
        <v>2304895</v>
      </c>
      <c r="C163">
        <f t="shared" si="2"/>
        <v>1</v>
      </c>
    </row>
    <row r="164" spans="1:3" x14ac:dyDescent="0.2">
      <c r="A164" t="s">
        <v>222</v>
      </c>
      <c r="B164">
        <v>2304890</v>
      </c>
      <c r="C164">
        <f t="shared" si="2"/>
        <v>1</v>
      </c>
    </row>
    <row r="165" spans="1:3" x14ac:dyDescent="0.2">
      <c r="A165" t="s">
        <v>58</v>
      </c>
      <c r="B165">
        <v>2304860</v>
      </c>
      <c r="C165">
        <f t="shared" si="2"/>
        <v>1</v>
      </c>
    </row>
    <row r="166" spans="1:3" x14ac:dyDescent="0.2">
      <c r="A166" t="s">
        <v>591</v>
      </c>
      <c r="B166">
        <v>2304620</v>
      </c>
      <c r="C166">
        <f t="shared" si="2"/>
        <v>1</v>
      </c>
    </row>
    <row r="167" spans="1:3" x14ac:dyDescent="0.2">
      <c r="A167" t="s">
        <v>581</v>
      </c>
      <c r="B167">
        <v>2304160</v>
      </c>
      <c r="C167">
        <f t="shared" si="2"/>
        <v>1</v>
      </c>
    </row>
    <row r="168" spans="1:3" x14ac:dyDescent="0.2">
      <c r="A168" t="s">
        <v>50</v>
      </c>
      <c r="B168">
        <v>2304110</v>
      </c>
      <c r="C168">
        <f t="shared" si="2"/>
        <v>1</v>
      </c>
    </row>
    <row r="169" spans="1:3" x14ac:dyDescent="0.2">
      <c r="A169" t="s">
        <v>347</v>
      </c>
      <c r="B169">
        <v>2304080</v>
      </c>
      <c r="C169">
        <f t="shared" si="2"/>
        <v>1</v>
      </c>
    </row>
    <row r="170" spans="1:3" x14ac:dyDescent="0.2">
      <c r="A170" t="s">
        <v>52</v>
      </c>
      <c r="B170">
        <v>2303930</v>
      </c>
      <c r="C170">
        <f t="shared" si="2"/>
        <v>1</v>
      </c>
    </row>
    <row r="171" spans="1:3" x14ac:dyDescent="0.2">
      <c r="A171" t="s">
        <v>48</v>
      </c>
      <c r="B171">
        <v>2303870</v>
      </c>
      <c r="C171">
        <f t="shared" si="2"/>
        <v>1</v>
      </c>
    </row>
    <row r="172" spans="1:3" x14ac:dyDescent="0.2">
      <c r="A172" t="s">
        <v>46</v>
      </c>
      <c r="B172">
        <v>2303780</v>
      </c>
      <c r="C172">
        <f t="shared" si="2"/>
        <v>1</v>
      </c>
    </row>
    <row r="173" spans="1:3" x14ac:dyDescent="0.2">
      <c r="A173" t="s">
        <v>345</v>
      </c>
      <c r="B173">
        <v>2303640</v>
      </c>
      <c r="C173">
        <f t="shared" si="2"/>
        <v>1</v>
      </c>
    </row>
    <row r="174" spans="1:3" x14ac:dyDescent="0.2">
      <c r="A174" t="s">
        <v>334</v>
      </c>
      <c r="B174">
        <v>2303610</v>
      </c>
      <c r="C174">
        <f t="shared" si="2"/>
        <v>1</v>
      </c>
    </row>
    <row r="175" spans="1:3" x14ac:dyDescent="0.2">
      <c r="A175" t="s">
        <v>280</v>
      </c>
      <c r="B175">
        <v>2303600</v>
      </c>
      <c r="C175">
        <f t="shared" si="2"/>
        <v>1</v>
      </c>
    </row>
    <row r="176" spans="1:3" x14ac:dyDescent="0.2">
      <c r="A176" t="s">
        <v>44</v>
      </c>
      <c r="B176">
        <v>2303510</v>
      </c>
      <c r="C176">
        <f t="shared" si="2"/>
        <v>1</v>
      </c>
    </row>
    <row r="177" spans="1:3" x14ac:dyDescent="0.2">
      <c r="A177" t="s">
        <v>610</v>
      </c>
      <c r="B177">
        <v>2303290</v>
      </c>
      <c r="C177">
        <f t="shared" si="2"/>
        <v>1</v>
      </c>
    </row>
    <row r="178" spans="1:3" x14ac:dyDescent="0.2">
      <c r="A178" t="s">
        <v>343</v>
      </c>
      <c r="B178">
        <v>2303210</v>
      </c>
      <c r="C178">
        <f t="shared" si="2"/>
        <v>1</v>
      </c>
    </row>
    <row r="179" spans="1:3" x14ac:dyDescent="0.2">
      <c r="A179" t="s">
        <v>42</v>
      </c>
      <c r="B179">
        <v>2303150</v>
      </c>
      <c r="C179">
        <f t="shared" si="2"/>
        <v>1</v>
      </c>
    </row>
    <row r="180" spans="1:3" x14ac:dyDescent="0.2">
      <c r="A180" t="s">
        <v>351</v>
      </c>
      <c r="B180">
        <v>2302950</v>
      </c>
      <c r="C180">
        <f t="shared" si="2"/>
        <v>1</v>
      </c>
    </row>
    <row r="181" spans="1:3" x14ac:dyDescent="0.2">
      <c r="A181" t="s">
        <v>590</v>
      </c>
      <c r="B181">
        <v>2302850</v>
      </c>
      <c r="C181">
        <f t="shared" si="2"/>
        <v>1</v>
      </c>
    </row>
    <row r="182" spans="1:3" x14ac:dyDescent="0.2">
      <c r="A182" t="s">
        <v>40</v>
      </c>
      <c r="B182">
        <v>2302820</v>
      </c>
      <c r="C182">
        <f t="shared" si="2"/>
        <v>1</v>
      </c>
    </row>
    <row r="183" spans="1:3" x14ac:dyDescent="0.2">
      <c r="A183" t="s">
        <v>588</v>
      </c>
      <c r="B183">
        <v>2302730</v>
      </c>
      <c r="C183">
        <f t="shared" si="2"/>
        <v>1</v>
      </c>
    </row>
    <row r="184" spans="1:3" x14ac:dyDescent="0.2">
      <c r="A184" t="s">
        <v>38</v>
      </c>
      <c r="B184">
        <v>2302640</v>
      </c>
      <c r="C184">
        <f t="shared" si="2"/>
        <v>1</v>
      </c>
    </row>
    <row r="185" spans="1:3" x14ac:dyDescent="0.2">
      <c r="A185" t="s">
        <v>36</v>
      </c>
      <c r="B185">
        <v>2302610</v>
      </c>
      <c r="C185">
        <f t="shared" si="2"/>
        <v>1</v>
      </c>
    </row>
    <row r="186" spans="1:3" x14ac:dyDescent="0.2">
      <c r="A186" t="s">
        <v>612</v>
      </c>
      <c r="B186">
        <v>2302510</v>
      </c>
      <c r="C186">
        <f t="shared" si="2"/>
        <v>1</v>
      </c>
    </row>
    <row r="187" spans="1:3" x14ac:dyDescent="0.2">
      <c r="A187" t="s">
        <v>584</v>
      </c>
      <c r="B187">
        <v>2302500</v>
      </c>
      <c r="C187">
        <f t="shared" si="2"/>
        <v>1</v>
      </c>
    </row>
    <row r="188" spans="1:3" x14ac:dyDescent="0.2">
      <c r="A188" t="s">
        <v>240</v>
      </c>
      <c r="B188">
        <v>2302280</v>
      </c>
      <c r="C188">
        <f t="shared" si="2"/>
        <v>1</v>
      </c>
    </row>
    <row r="189" spans="1:3" x14ac:dyDescent="0.2">
      <c r="A189" t="s">
        <v>32</v>
      </c>
      <c r="B189">
        <v>2302220</v>
      </c>
      <c r="C189">
        <f t="shared" si="2"/>
        <v>1</v>
      </c>
    </row>
    <row r="190" spans="1:3" x14ac:dyDescent="0.2">
      <c r="A190" t="s">
        <v>537</v>
      </c>
      <c r="B190">
        <v>2300069</v>
      </c>
      <c r="C190">
        <f t="shared" si="2"/>
        <v>1</v>
      </c>
    </row>
    <row r="191" spans="1:3" x14ac:dyDescent="0.2">
      <c r="A191" t="s">
        <v>315</v>
      </c>
      <c r="B191">
        <v>2300068</v>
      </c>
      <c r="C191">
        <f t="shared" si="2"/>
        <v>1</v>
      </c>
    </row>
    <row r="192" spans="1:3" x14ac:dyDescent="0.2">
      <c r="A192" t="s">
        <v>607</v>
      </c>
      <c r="B192">
        <v>2300067</v>
      </c>
      <c r="C192">
        <f t="shared" si="2"/>
        <v>1</v>
      </c>
    </row>
    <row r="193" spans="1:3" x14ac:dyDescent="0.2">
      <c r="A193" t="s">
        <v>538</v>
      </c>
      <c r="B193">
        <v>2300066</v>
      </c>
      <c r="C193">
        <f t="shared" si="2"/>
        <v>1</v>
      </c>
    </row>
    <row r="194" spans="1:3" x14ac:dyDescent="0.2">
      <c r="A194" t="s">
        <v>312</v>
      </c>
      <c r="B194">
        <v>2300065</v>
      </c>
      <c r="C194">
        <f t="shared" ref="C194:C197" si="3">COUNTIF($B$2:$B$199,B194)</f>
        <v>1</v>
      </c>
    </row>
    <row r="195" spans="1:3" x14ac:dyDescent="0.2">
      <c r="A195" t="s">
        <v>175</v>
      </c>
      <c r="B195">
        <v>2300064</v>
      </c>
      <c r="C195">
        <f t="shared" si="3"/>
        <v>1</v>
      </c>
    </row>
    <row r="196" spans="1:3" x14ac:dyDescent="0.2">
      <c r="A196" t="s">
        <v>299</v>
      </c>
      <c r="B196">
        <v>2300062</v>
      </c>
      <c r="C196">
        <f t="shared" si="3"/>
        <v>1</v>
      </c>
    </row>
    <row r="197" spans="1:3" x14ac:dyDescent="0.2">
      <c r="A197" t="s">
        <v>484</v>
      </c>
      <c r="B197">
        <v>2300053</v>
      </c>
      <c r="C197">
        <f t="shared" si="3"/>
        <v>1</v>
      </c>
    </row>
    <row r="198" spans="1:3" x14ac:dyDescent="0.2">
      <c r="A198" t="s">
        <v>92</v>
      </c>
      <c r="B198">
        <v>2300009</v>
      </c>
      <c r="C198">
        <f t="shared" ref="C184:C200" si="4">COUNTIF($B$2:$B$199,B198)</f>
        <v>1</v>
      </c>
    </row>
    <row r="199" spans="1:3" x14ac:dyDescent="0.2">
      <c r="A199" t="s">
        <v>70</v>
      </c>
      <c r="B199">
        <v>2300008</v>
      </c>
      <c r="C199">
        <f>COUNTIF($B$2:$B$199,B199)</f>
        <v>1</v>
      </c>
    </row>
    <row r="200" spans="1:3" x14ac:dyDescent="0.2">
      <c r="A200" t="s">
        <v>576</v>
      </c>
    </row>
    <row r="201" spans="1:3" x14ac:dyDescent="0.2">
      <c r="A201" t="s">
        <v>216</v>
      </c>
    </row>
    <row r="202" spans="1:3" x14ac:dyDescent="0.2">
      <c r="A202" t="s">
        <v>580</v>
      </c>
    </row>
    <row r="203" spans="1:3" x14ac:dyDescent="0.2">
      <c r="A203" t="s">
        <v>248</v>
      </c>
    </row>
    <row r="204" spans="1:3" x14ac:dyDescent="0.2">
      <c r="A204" t="s">
        <v>586</v>
      </c>
    </row>
    <row r="205" spans="1:3" x14ac:dyDescent="0.2">
      <c r="A205" t="s">
        <v>596</v>
      </c>
    </row>
    <row r="206" spans="1:3" x14ac:dyDescent="0.2">
      <c r="A206" t="s">
        <v>295</v>
      </c>
    </row>
    <row r="207" spans="1:3" x14ac:dyDescent="0.2">
      <c r="A207" t="s">
        <v>602</v>
      </c>
    </row>
    <row r="208" spans="1:3" x14ac:dyDescent="0.2">
      <c r="A208" t="s">
        <v>603</v>
      </c>
    </row>
    <row r="209" spans="1:1" x14ac:dyDescent="0.2">
      <c r="A209" t="s">
        <v>12</v>
      </c>
    </row>
    <row r="210" spans="1:1" x14ac:dyDescent="0.2">
      <c r="A210" t="s">
        <v>14</v>
      </c>
    </row>
    <row r="211" spans="1:1" x14ac:dyDescent="0.2">
      <c r="A211" t="s">
        <v>16</v>
      </c>
    </row>
    <row r="212" spans="1:1" x14ac:dyDescent="0.2">
      <c r="A212" t="s">
        <v>18</v>
      </c>
    </row>
    <row r="213" spans="1:1" x14ac:dyDescent="0.2">
      <c r="A213" t="s">
        <v>20</v>
      </c>
    </row>
    <row r="214" spans="1:1" x14ac:dyDescent="0.2">
      <c r="A214" t="s">
        <v>22</v>
      </c>
    </row>
    <row r="215" spans="1:1" x14ac:dyDescent="0.2">
      <c r="A215" t="s">
        <v>24</v>
      </c>
    </row>
    <row r="216" spans="1:1" x14ac:dyDescent="0.2">
      <c r="A216" t="s">
        <v>26</v>
      </c>
    </row>
    <row r="217" spans="1:1" x14ac:dyDescent="0.2">
      <c r="A217" t="s">
        <v>96</v>
      </c>
    </row>
    <row r="218" spans="1:1" x14ac:dyDescent="0.2">
      <c r="A218" t="s">
        <v>539</v>
      </c>
    </row>
    <row r="219" spans="1:1" x14ac:dyDescent="0.2">
      <c r="A219" t="s">
        <v>489</v>
      </c>
    </row>
    <row r="220" spans="1:1" x14ac:dyDescent="0.2">
      <c r="A220" t="s">
        <v>118</v>
      </c>
    </row>
    <row r="221" spans="1:1" x14ac:dyDescent="0.2">
      <c r="A221" t="s">
        <v>121</v>
      </c>
    </row>
    <row r="222" spans="1:1" x14ac:dyDescent="0.2">
      <c r="A222" t="s">
        <v>123</v>
      </c>
    </row>
    <row r="223" spans="1:1" x14ac:dyDescent="0.2">
      <c r="A223" t="s">
        <v>545</v>
      </c>
    </row>
    <row r="224" spans="1:1" x14ac:dyDescent="0.2">
      <c r="A224" t="s">
        <v>546</v>
      </c>
    </row>
    <row r="225" spans="1:1" x14ac:dyDescent="0.2">
      <c r="A225" t="s">
        <v>540</v>
      </c>
    </row>
    <row r="226" spans="1:1" x14ac:dyDescent="0.2">
      <c r="A226" t="s">
        <v>180</v>
      </c>
    </row>
    <row r="227" spans="1:1" x14ac:dyDescent="0.2">
      <c r="A227" t="s">
        <v>640</v>
      </c>
    </row>
    <row r="228" spans="1:1" x14ac:dyDescent="0.2">
      <c r="A228" t="s">
        <v>541</v>
      </c>
    </row>
    <row r="229" spans="1:1" x14ac:dyDescent="0.2">
      <c r="A229" t="s">
        <v>542</v>
      </c>
    </row>
    <row r="230" spans="1:1" x14ac:dyDescent="0.2">
      <c r="A230" t="s">
        <v>543</v>
      </c>
    </row>
    <row r="231" spans="1:1" x14ac:dyDescent="0.2">
      <c r="A231" t="s">
        <v>544</v>
      </c>
    </row>
    <row r="232" spans="1:1" x14ac:dyDescent="0.2">
      <c r="A232" t="s">
        <v>28</v>
      </c>
    </row>
    <row r="233" spans="1:1" x14ac:dyDescent="0.2">
      <c r="A233" t="s">
        <v>617</v>
      </c>
    </row>
    <row r="234" spans="1:1" x14ac:dyDescent="0.2">
      <c r="A234" t="s">
        <v>355</v>
      </c>
    </row>
    <row r="235" spans="1:1" x14ac:dyDescent="0.2">
      <c r="A235" t="s">
        <v>30</v>
      </c>
    </row>
    <row r="236" spans="1:1" x14ac:dyDescent="0.2">
      <c r="A236" t="s">
        <v>635</v>
      </c>
    </row>
  </sheetData>
  <autoFilter ref="A1:C1" xr:uid="{5E543FB8-D509-184E-B1A2-9F274E6EEC10}">
    <sortState xmlns:xlrd2="http://schemas.microsoft.com/office/spreadsheetml/2017/richdata2" ref="A2:C236">
      <sortCondition descending="1" ref="B1:B2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GASB Data --&gt;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NCES Data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2025-02-18T22:30:01Z</dcterms:created>
  <dcterms:modified xsi:type="dcterms:W3CDTF">2025-02-20T18:21:50Z</dcterms:modified>
</cp:coreProperties>
</file>