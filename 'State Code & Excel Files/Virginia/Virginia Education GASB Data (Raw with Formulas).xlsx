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Virginia/"/>
    </mc:Choice>
  </mc:AlternateContent>
  <xr:revisionPtr revIDLastSave="0" documentId="13_ncr:1_{1EFCCAC0-0933-4947-9723-7F51FB62F9B8}" xr6:coauthVersionLast="47" xr6:coauthVersionMax="47" xr10:uidLastSave="{00000000-0000-0000-0000-000000000000}"/>
  <bookViews>
    <workbookView xWindow="-4560" yWindow="-28300" windowWidth="25840" windowHeight="28160" xr2:uid="{D009E163-A2D2-5544-860E-41A820185AB6}"/>
  </bookViews>
  <sheets>
    <sheet name="Final" sheetId="4" r:id="rId1"/>
    <sheet name="LEAIDs" sheetId="6" r:id="rId2"/>
    <sheet name="Nonemployer" sheetId="5" r:id="rId3"/>
    <sheet name="Sheet1" sheetId="1" r:id="rId4"/>
    <sheet name="Name Cleaning" sheetId="3" r:id="rId5"/>
  </sheets>
  <definedNames>
    <definedName name="_xlnm._FilterDatabase" localSheetId="0" hidden="1">Final!$B$1:$I$1</definedName>
    <definedName name="_xlnm._FilterDatabase" localSheetId="1" hidden="1">LEAIDs!$A$1:$B$1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4" l="1"/>
  <c r="Q2" i="4"/>
  <c r="N3" i="4"/>
  <c r="Q3" i="4"/>
  <c r="N4" i="4"/>
  <c r="Q4" i="4"/>
  <c r="N5" i="4"/>
  <c r="Q5" i="4"/>
  <c r="N6" i="4"/>
  <c r="Q6" i="4"/>
  <c r="N7" i="4"/>
  <c r="Q7" i="4"/>
  <c r="N8" i="4"/>
  <c r="Q8" i="4"/>
  <c r="N9" i="4"/>
  <c r="Q9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2" i="4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P1126" i="3"/>
  <c r="P1127" i="3"/>
  <c r="P1128" i="3"/>
  <c r="P1129" i="3"/>
  <c r="P1130" i="3"/>
  <c r="P1131" i="3"/>
  <c r="P1132" i="3"/>
  <c r="P1133" i="3"/>
  <c r="P1134" i="3"/>
  <c r="P1135" i="3"/>
  <c r="P1136" i="3"/>
  <c r="P1137" i="3"/>
  <c r="P1138" i="3"/>
  <c r="P1139" i="3"/>
  <c r="P1140" i="3"/>
  <c r="P1141" i="3"/>
  <c r="P1142" i="3"/>
  <c r="P1143" i="3"/>
  <c r="P1144" i="3"/>
  <c r="P1145" i="3"/>
  <c r="P1146" i="3"/>
  <c r="P1147" i="3"/>
  <c r="P1148" i="3"/>
  <c r="P1149" i="3"/>
  <c r="P1150" i="3"/>
  <c r="P1151" i="3"/>
  <c r="P1152" i="3"/>
  <c r="P1153" i="3"/>
  <c r="P1154" i="3"/>
  <c r="P1155" i="3"/>
  <c r="P1156" i="3"/>
  <c r="P1157" i="3"/>
  <c r="P1158" i="3"/>
  <c r="P1159" i="3"/>
  <c r="P1160" i="3"/>
  <c r="P1161" i="3"/>
  <c r="P1162" i="3"/>
  <c r="P1163" i="3"/>
  <c r="P1164" i="3"/>
  <c r="P1165" i="3"/>
  <c r="P1166" i="3"/>
  <c r="P1167" i="3"/>
  <c r="P1168" i="3"/>
  <c r="P1169" i="3"/>
  <c r="P1170" i="3"/>
  <c r="P1171" i="3"/>
  <c r="P1172" i="3"/>
  <c r="P1173" i="3"/>
  <c r="P1174" i="3"/>
  <c r="P1175" i="3"/>
  <c r="P1176" i="3"/>
  <c r="P1177" i="3"/>
  <c r="P1178" i="3"/>
  <c r="P1179" i="3"/>
  <c r="P1180" i="3"/>
  <c r="P1181" i="3"/>
  <c r="P1182" i="3"/>
  <c r="P1183" i="3"/>
  <c r="P1184" i="3"/>
  <c r="P1185" i="3"/>
  <c r="P1186" i="3"/>
  <c r="P1187" i="3"/>
  <c r="P1188" i="3"/>
  <c r="P1189" i="3"/>
  <c r="P1190" i="3"/>
  <c r="P1191" i="3"/>
  <c r="P1192" i="3"/>
  <c r="P1193" i="3"/>
  <c r="P1194" i="3"/>
  <c r="P1195" i="3"/>
  <c r="P1196" i="3"/>
  <c r="P1197" i="3"/>
  <c r="P1198" i="3"/>
  <c r="P1199" i="3"/>
  <c r="P1200" i="3"/>
  <c r="P1201" i="3"/>
  <c r="P1202" i="3"/>
  <c r="P1203" i="3"/>
  <c r="P1204" i="3"/>
  <c r="P1205" i="3"/>
  <c r="P1206" i="3"/>
  <c r="P1207" i="3"/>
  <c r="P1208" i="3"/>
  <c r="P1209" i="3"/>
  <c r="P1210" i="3"/>
  <c r="P1211" i="3"/>
  <c r="P1212" i="3"/>
  <c r="P1213" i="3"/>
  <c r="P1214" i="3"/>
  <c r="P1215" i="3"/>
  <c r="P1216" i="3"/>
  <c r="P1217" i="3"/>
  <c r="P1218" i="3"/>
  <c r="P1219" i="3"/>
  <c r="P1220" i="3"/>
  <c r="P1221" i="3"/>
  <c r="P1222" i="3"/>
  <c r="P1223" i="3"/>
  <c r="P1224" i="3"/>
  <c r="P1225" i="3"/>
  <c r="P1226" i="3"/>
  <c r="P1227" i="3"/>
  <c r="P1228" i="3"/>
  <c r="P1229" i="3"/>
  <c r="P1230" i="3"/>
  <c r="P1231" i="3"/>
  <c r="P1232" i="3"/>
  <c r="P1233" i="3"/>
  <c r="P1234" i="3"/>
  <c r="P1235" i="3"/>
  <c r="P1236" i="3"/>
  <c r="P1237" i="3"/>
  <c r="P1238" i="3"/>
  <c r="P1239" i="3"/>
  <c r="P1240" i="3"/>
  <c r="P1241" i="3"/>
  <c r="P1242" i="3"/>
  <c r="P1243" i="3"/>
  <c r="P1244" i="3"/>
  <c r="P1245" i="3"/>
  <c r="P1246" i="3"/>
  <c r="P1247" i="3"/>
  <c r="P1248" i="3"/>
  <c r="P1249" i="3"/>
  <c r="P1250" i="3"/>
  <c r="P1251" i="3"/>
  <c r="P1252" i="3"/>
  <c r="P1253" i="3"/>
  <c r="P1254" i="3"/>
  <c r="P1255" i="3"/>
  <c r="P1256" i="3"/>
  <c r="P1257" i="3"/>
  <c r="P1258" i="3"/>
  <c r="P1259" i="3"/>
  <c r="P1260" i="3"/>
  <c r="P1261" i="3"/>
  <c r="P1262" i="3"/>
  <c r="P1263" i="3"/>
  <c r="P1264" i="3"/>
  <c r="P1265" i="3"/>
  <c r="P1266" i="3"/>
  <c r="P1267" i="3"/>
  <c r="P1268" i="3"/>
  <c r="P1269" i="3"/>
  <c r="P1270" i="3"/>
  <c r="P1271" i="3"/>
  <c r="P1272" i="3"/>
  <c r="P1273" i="3"/>
  <c r="P1274" i="3"/>
  <c r="P1275" i="3"/>
  <c r="P1276" i="3"/>
  <c r="P1277" i="3"/>
  <c r="P1278" i="3"/>
  <c r="P1279" i="3"/>
  <c r="P1280" i="3"/>
  <c r="P1281" i="3"/>
  <c r="P1282" i="3"/>
  <c r="P1283" i="3"/>
  <c r="P1284" i="3"/>
  <c r="P1285" i="3"/>
  <c r="P1286" i="3"/>
  <c r="P1287" i="3"/>
  <c r="P1288" i="3"/>
  <c r="P1289" i="3"/>
  <c r="P1290" i="3"/>
  <c r="P1291" i="3"/>
  <c r="P1292" i="3"/>
  <c r="P1293" i="3"/>
  <c r="P1294" i="3"/>
  <c r="P1295" i="3"/>
  <c r="P1296" i="3"/>
  <c r="P1297" i="3"/>
  <c r="P1298" i="3"/>
  <c r="P1299" i="3"/>
  <c r="P1" i="3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" i="3"/>
</calcChain>
</file>

<file path=xl/sharedStrings.xml><?xml version="1.0" encoding="utf-8"?>
<sst xmlns="http://schemas.openxmlformats.org/spreadsheetml/2006/main" count="24782" uniqueCount="318">
  <si>
    <t>Accomack County School Board</t>
  </si>
  <si>
    <t>Albemarle County Schools</t>
  </si>
  <si>
    <t>Alleghany County School Board</t>
  </si>
  <si>
    <t>Amelia County School Board</t>
  </si>
  <si>
    <t>Amherst County School Board</t>
  </si>
  <si>
    <t>Appomattox County School Board</t>
  </si>
  <si>
    <t>Arlington Public Schools</t>
  </si>
  <si>
    <t>Augusta County School Board</t>
  </si>
  <si>
    <t>Bath County School Board</t>
  </si>
  <si>
    <t>Bedford County School Board</t>
  </si>
  <si>
    <t>Bland County School Board</t>
  </si>
  <si>
    <t>Botetourt County Schools</t>
  </si>
  <si>
    <t>Brunswick County Public Schools</t>
  </si>
  <si>
    <t>Buchanan County School Board</t>
  </si>
  <si>
    <t>Buckingham County School Board</t>
  </si>
  <si>
    <t>Campbell County School Board</t>
  </si>
  <si>
    <t>Caroline County School Board</t>
  </si>
  <si>
    <t>Carroll County School Board</t>
  </si>
  <si>
    <t>Charles City County School Board</t>
  </si>
  <si>
    <t>Charlotte County School Board</t>
  </si>
  <si>
    <t>Chesterfield County School Board</t>
  </si>
  <si>
    <t>Clarke County School Board</t>
  </si>
  <si>
    <t>Craig County School Board</t>
  </si>
  <si>
    <t>Culpeper County School Board</t>
  </si>
  <si>
    <t>Cumberland County School Board</t>
  </si>
  <si>
    <t>Dickenson County School Board</t>
  </si>
  <si>
    <t>Dinwiddie County School Board</t>
  </si>
  <si>
    <t>Essex County Public Schools</t>
  </si>
  <si>
    <t>Fairfax County School Board</t>
  </si>
  <si>
    <t>Fauquier County School Board</t>
  </si>
  <si>
    <t>Floyd County School Board</t>
  </si>
  <si>
    <t>Fluvanna County Public Schools</t>
  </si>
  <si>
    <t>40100</t>
  </si>
  <si>
    <t>40101</t>
  </si>
  <si>
    <t>40102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</si>
  <si>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</si>
  <si>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</si>
  <si>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</si>
  <si>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</si>
  <si>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</si>
  <si>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</si>
  <si>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</si>
  <si>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</si>
  <si>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</si>
  <si>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</si>
  <si>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</si>
  <si>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40114</t>
  </si>
  <si>
    <t>40115</t>
  </si>
  <si>
    <t>40116</t>
  </si>
  <si>
    <t>40117</t>
  </si>
  <si>
    <t>40118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</si>
  <si>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</si>
  <si>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</si>
  <si>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</si>
  <si>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</si>
  <si>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</si>
  <si>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</si>
  <si>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</si>
  <si>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</si>
  <si>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40128</t>
  </si>
  <si>
    <t>40129</t>
  </si>
  <si>
    <t>40130</t>
  </si>
  <si>
    <t>40131</t>
  </si>
  <si>
    <t>40132</t>
  </si>
  <si>
    <t>Franklin County Public Schools</t>
  </si>
  <si>
    <t>Frederick County School Board</t>
  </si>
  <si>
    <t>Giles County Schools</t>
  </si>
  <si>
    <t>Gloucester County School Board</t>
  </si>
  <si>
    <t>Goochland County School Board</t>
  </si>
  <si>
    <t>Grayson County School Board</t>
  </si>
  <si>
    <t>Greene County Public Schools</t>
  </si>
  <si>
    <t>Greensville County School Board</t>
  </si>
  <si>
    <t>Halifax County School Board</t>
  </si>
  <si>
    <t>Hanover County School Board</t>
  </si>
  <si>
    <t>Henrico County School Board</t>
  </si>
  <si>
    <t>Henry County Public Schools</t>
  </si>
  <si>
    <t>Highland County Public Schools</t>
  </si>
  <si>
    <t>Isle of Wight County Schools</t>
  </si>
  <si>
    <t>King George County School Board</t>
  </si>
  <si>
    <t>King &amp; Queen County School Board</t>
  </si>
  <si>
    <t>King William County School Board</t>
  </si>
  <si>
    <t>Lancaster County Public Schools</t>
  </si>
  <si>
    <t>Lee County School Board</t>
  </si>
  <si>
    <t>Loudoun County School Board</t>
  </si>
  <si>
    <t>Louisa County Public Schools</t>
  </si>
  <si>
    <t>Lunenburg County School Board</t>
  </si>
  <si>
    <t>Madison County School Board</t>
  </si>
  <si>
    <t>Mathews County School Board</t>
  </si>
  <si>
    <t>Mecklenburg County School Board</t>
  </si>
  <si>
    <t>Middlesex County School Board</t>
  </si>
  <si>
    <t>Montgomery County School Board</t>
  </si>
  <si>
    <t>Nelson County Public Schools</t>
  </si>
  <si>
    <t>New Kent County School Board</t>
  </si>
  <si>
    <t>Northampton County Schools</t>
  </si>
  <si>
    <t>Northumberland County School Board</t>
  </si>
  <si>
    <t>Nottoway County School Board</t>
  </si>
  <si>
    <t>Orange County Public Schools</t>
  </si>
  <si>
    <t>40133</t>
  </si>
  <si>
    <t>40134</t>
  </si>
  <si>
    <t>40135</t>
  </si>
  <si>
    <t>40136</t>
  </si>
  <si>
    <t>40137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</si>
  <si>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</si>
  <si>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</si>
  <si>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</si>
  <si>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</si>
  <si>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</si>
  <si>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</si>
  <si>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</si>
  <si>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</si>
  <si>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40146</t>
  </si>
  <si>
    <t>40148</t>
  </si>
  <si>
    <t>40149</t>
  </si>
  <si>
    <t>40150</t>
  </si>
  <si>
    <t>40151</t>
  </si>
  <si>
    <t>40152</t>
  </si>
  <si>
    <t>40153</t>
  </si>
  <si>
    <t>40154</t>
  </si>
  <si>
    <t>40155</t>
  </si>
  <si>
    <t>40156</t>
  </si>
  <si>
    <t>40157</t>
  </si>
  <si>
    <t>40158</t>
  </si>
  <si>
    <t>40159</t>
  </si>
  <si>
    <t>40160</t>
  </si>
  <si>
    <t>40162</t>
  </si>
  <si>
    <t>40163</t>
  </si>
  <si>
    <t>40165</t>
  </si>
  <si>
    <t>40166</t>
  </si>
  <si>
    <t>40167</t>
  </si>
  <si>
    <t>40168</t>
  </si>
  <si>
    <t>Page County Public Schools</t>
  </si>
  <si>
    <t>Patrick County School Board</t>
  </si>
  <si>
    <t>Pittsylvania County School Board</t>
  </si>
  <si>
    <t>Powhatan County School Board</t>
  </si>
  <si>
    <t>Prince Edward County School Board</t>
  </si>
  <si>
    <t>Prince George County School Board</t>
  </si>
  <si>
    <t>Prince William County School Board</t>
  </si>
  <si>
    <t>Pulaski County School Board</t>
  </si>
  <si>
    <t>Rappahannock County School Board</t>
  </si>
  <si>
    <t>Richmond County School Board</t>
  </si>
  <si>
    <t>Roanoke County School Board</t>
  </si>
  <si>
    <t>Rockbridge County School Board</t>
  </si>
  <si>
    <t>Rockingham County School Board</t>
  </si>
  <si>
    <t>Russell County School Board</t>
  </si>
  <si>
    <t>Scott County School Board</t>
  </si>
  <si>
    <t>Shenandoah County School Board</t>
  </si>
  <si>
    <t>Smyth County School Board</t>
  </si>
  <si>
    <t>Southampton County School Board</t>
  </si>
  <si>
    <t>Spotsylvania County School Board</t>
  </si>
  <si>
    <t>Stafford County School Board</t>
  </si>
  <si>
    <t>Surry County Schools</t>
  </si>
  <si>
    <t>Sussex County School Board</t>
  </si>
  <si>
    <t>Tazewell County Schools</t>
  </si>
  <si>
    <t>Warren County School Board</t>
  </si>
  <si>
    <t>Washington County School Board</t>
  </si>
  <si>
    <t>Westmoreland County School Board</t>
  </si>
  <si>
    <t>Wise County School Board</t>
  </si>
  <si>
    <t>Wythe County School Board</t>
  </si>
  <si>
    <t>York County School Board</t>
  </si>
  <si>
    <t>Alexandria City School Board</t>
  </si>
  <si>
    <t>Bristol City School Board</t>
  </si>
  <si>
    <t>Buena Vista City Schools</t>
  </si>
  <si>
    <t>Charlottesville Public Schools</t>
  </si>
  <si>
    <t>40169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</si>
  <si>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</si>
  <si>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</si>
  <si>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</si>
  <si>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</si>
  <si>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</si>
  <si>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</si>
  <si>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</si>
  <si>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</si>
  <si>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40179</t>
  </si>
  <si>
    <t>40180</t>
  </si>
  <si>
    <t>40181</t>
  </si>
  <si>
    <t>40182</t>
  </si>
  <si>
    <t>40183</t>
  </si>
  <si>
    <t>40184</t>
  </si>
  <si>
    <t>40185</t>
  </si>
  <si>
    <t>40186</t>
  </si>
  <si>
    <t>40187</t>
  </si>
  <si>
    <t>40188</t>
  </si>
  <si>
    <t>40189</t>
  </si>
  <si>
    <t>40190</t>
  </si>
  <si>
    <t>40191</t>
  </si>
  <si>
    <t>40192</t>
  </si>
  <si>
    <t>40193</t>
  </si>
  <si>
    <t>40195</t>
  </si>
  <si>
    <t>40196</t>
  </si>
  <si>
    <t>40197</t>
  </si>
  <si>
    <t>40198</t>
  </si>
  <si>
    <t>40199</t>
  </si>
  <si>
    <t>40200</t>
  </si>
  <si>
    <t>40201</t>
  </si>
  <si>
    <t>40202</t>
  </si>
  <si>
    <t>40203</t>
  </si>
  <si>
    <t>Danville City Schools</t>
  </si>
  <si>
    <t>Fredericksburg City Schools</t>
  </si>
  <si>
    <t>Hampton City Schools</t>
  </si>
  <si>
    <t>Harrisonburg City School Board</t>
  </si>
  <si>
    <t>Hopewell City School Board</t>
  </si>
  <si>
    <t>Lynchburg Public Schools</t>
  </si>
  <si>
    <t>Newport News Public Schools</t>
  </si>
  <si>
    <t>Norfolk Public Schools</t>
  </si>
  <si>
    <t>Petersburg City Schools</t>
  </si>
  <si>
    <t>Portsmouth School Board</t>
  </si>
  <si>
    <t>Radford City School Board</t>
  </si>
  <si>
    <t>Richmond Public Schools</t>
  </si>
  <si>
    <t>Roanoke City School Board</t>
  </si>
  <si>
    <t>Staunton City Schools</t>
  </si>
  <si>
    <t>Suffolk City School Board</t>
  </si>
  <si>
    <t>Winchester Public Schools</t>
  </si>
  <si>
    <t>Martinsville City Schools</t>
  </si>
  <si>
    <t>Falls Church Public Schools</t>
  </si>
  <si>
    <t>Colonial Heights City Schools</t>
  </si>
  <si>
    <t>Covington City School Board</t>
  </si>
  <si>
    <t>Fairfax City School Board</t>
  </si>
  <si>
    <t>Franklin City Public Schools</t>
  </si>
  <si>
    <t>Chesapeake Public Schools</t>
  </si>
  <si>
    <t>Virginia Beach City School Board</t>
  </si>
  <si>
    <t>Manassas Park City Schools</t>
  </si>
  <si>
    <t>Town of West Point School Board</t>
  </si>
  <si>
    <t>Lexington City School Board</t>
  </si>
  <si>
    <t>Waynesboro Public Schools</t>
  </si>
  <si>
    <t>Town of Colonial Beach Schools</t>
  </si>
  <si>
    <t>Galax City Schools</t>
  </si>
  <si>
    <t>Norton City Schools</t>
  </si>
  <si>
    <t>Manassas City Schools</t>
  </si>
  <si>
    <t>City of Salem Schools</t>
  </si>
  <si>
    <t>40205</t>
  </si>
  <si>
    <t>40206</t>
  </si>
  <si>
    <t>40207</t>
  </si>
  <si>
    <t>40208</t>
  </si>
  <si>
    <t>40209</t>
  </si>
  <si>
    <t>40210</t>
  </si>
  <si>
    <t>40211</t>
  </si>
  <si>
    <t>40212</t>
  </si>
  <si>
    <t>40213</t>
  </si>
  <si>
    <t>40214</t>
  </si>
  <si>
    <t>40215</t>
  </si>
  <si>
    <t>40216</t>
  </si>
  <si>
    <t>40217</t>
  </si>
  <si>
    <t>40219</t>
  </si>
  <si>
    <t>40220</t>
  </si>
  <si>
    <t>40222</t>
  </si>
  <si>
    <t>40223</t>
  </si>
  <si>
    <t>40224</t>
  </si>
  <si>
    <t>40225</t>
  </si>
  <si>
    <t>40230</t>
  </si>
  <si>
    <t>40231</t>
  </si>
  <si>
    <t>40232</t>
  </si>
  <si>
    <t>40233</t>
  </si>
  <si>
    <t>40234</t>
  </si>
  <si>
    <t>40236</t>
  </si>
  <si>
    <t>40306</t>
  </si>
  <si>
    <t>40307</t>
  </si>
  <si>
    <t>40308</t>
  </si>
  <si>
    <t>40309</t>
  </si>
  <si>
    <t>40313</t>
  </si>
  <si>
    <t>40314</t>
  </si>
  <si>
    <t>40332</t>
  </si>
  <si>
    <t>40335</t>
  </si>
  <si>
    <t>Williamsburg‐James City County School Board</t>
  </si>
  <si>
    <t>Poquoson City Public Schools</t>
  </si>
  <si>
    <t>Valley Vocational Technical Center</t>
  </si>
  <si>
    <t>Charlottesville/Albemarle Vo‐Tech Center</t>
  </si>
  <si>
    <t>The Pruden Center for Industry and Technology</t>
  </si>
  <si>
    <t>Jackson River Technical Center</t>
  </si>
  <si>
    <t>New Horizons Technical Center</t>
  </si>
  <si>
    <t>Northern Neck Regional Vocational Center</t>
  </si>
  <si>
    <t>Rowanty Vocational Technical Center</t>
  </si>
  <si>
    <t>Amelia‐Nottoway Vocational Center</t>
  </si>
  <si>
    <t>Northern Neck Regional Special Education Program</t>
  </si>
  <si>
    <t>Maggie Walker Governor's School for Govt &amp; Intl Studies</t>
  </si>
  <si>
    <t>Appomattox Region Governor's School</t>
  </si>
  <si>
    <t>Bridging Communities Regional Career and Tech Center</t>
  </si>
  <si>
    <t>40402</t>
  </si>
  <si>
    <t>40403</t>
  </si>
  <si>
    <t>40410</t>
  </si>
  <si>
    <t>40412</t>
  </si>
  <si>
    <t>40413</t>
  </si>
  <si>
    <t>40414</t>
  </si>
  <si>
    <t>40415</t>
  </si>
  <si>
    <t>40416</t>
  </si>
  <si>
    <t>40417</t>
  </si>
  <si>
    <t>40418</t>
  </si>
  <si>
    <t>40421</t>
  </si>
  <si>
    <t>40423</t>
  </si>
  <si>
    <t>40424</t>
  </si>
  <si>
    <t>40425</t>
  </si>
  <si>
    <t>Year</t>
  </si>
  <si>
    <t>Employer Code</t>
  </si>
  <si>
    <t>E mployer Name</t>
  </si>
  <si>
    <t>Employer Contributions</t>
  </si>
  <si>
    <t>Williamsburg-James City County School Board</t>
  </si>
  <si>
    <t>Charlottesville/Albemarle Vo-Tech Center</t>
  </si>
  <si>
    <t>Amelia-Nottoway Vocational Center</t>
  </si>
  <si>
    <t>—</t>
  </si>
  <si>
    <t>replace</t>
  </si>
  <si>
    <t>employer_name</t>
  </si>
  <si>
    <t>==</t>
  </si>
  <si>
    <t>"</t>
  </si>
  <si>
    <t xml:space="preserve">if </t>
  </si>
  <si>
    <t>employer_code</t>
  </si>
  <si>
    <t>=</t>
  </si>
  <si>
    <t>employer_contributions</t>
  </si>
  <si>
    <t>state</t>
  </si>
  <si>
    <t>state_abv</t>
  </si>
  <si>
    <t>plan_name</t>
  </si>
  <si>
    <t>Virginia</t>
  </si>
  <si>
    <t>VA</t>
  </si>
  <si>
    <t>Virginia Retirement System Retirement Plan</t>
  </si>
  <si>
    <t>non_employer_contributions</t>
  </si>
  <si>
    <t>District_Name</t>
  </si>
  <si>
    <t>LEAID</t>
  </si>
  <si>
    <t>total_contributions</t>
  </si>
  <si>
    <t>District Contributions</t>
  </si>
  <si>
    <t>Total Contributions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</si>
</sst>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9" formatCode="_(* #,##0_);_(* \(#,##0\);_(* &quot;-&quot;??_);_(@_)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49" fontId="0" fillId="0" borderId="0" xfId="0" applyNumberFormat="1"/>
    <xf numFmtId="6" fontId="0" fillId="0" borderId="0" xfId="0" applyNumberFormat="1"/>
    <xf numFmtId="3" fontId="0" fillId="0" borderId="0" xfId="0" applyNumberFormat="1"/>
    <xf numFmtId="0" fontId="0" fillId="0" borderId="0" xfId="0" quotePrefix="1"/>
    <xf numFmtId="0" fontId="2" fillId="0" borderId="0" xfId="0" applyFont="1"/>
    <xf numFmtId="0" fontId="3" fillId="0" borderId="0" xfId="0" applyFont="1"/>
    <xf numFmtId="44" fontId="3" fillId="0" borderId="0" xfId="1" applyFont="1"/>
    <xf numFmtId="1" fontId="0" fillId="0" borderId="0" xfId="0" applyNumberFormat="1"/>
    <xf numFmtId="164" fontId="0" fillId="0" borderId="0" xfId="1" applyNumberFormat="1" applyFont="1"/>
    <xf numFmtId="44" fontId="0" fillId="0" borderId="0" xfId="1" applyFont="1"/>
    <xf numFmtId="10" fontId="0" fillId="0" borderId="0" xfId="0" applyNumberFormat="1"/>
    <xf numFmtId="164" fontId="3" fillId="0" borderId="0" xfId="1" applyNumberFormat="1" applyFont="1"/>
    <xf numFmtId="1" fontId="0" fillId="0" borderId="0" xfId="1" applyNumberFormat="1" applyFont="1"/>
    <xf numFmtId="1" fontId="4" fillId="0" borderId="0" xfId="1" applyNumberFormat="1" applyFont="1"/>
    <xf numFmtId="0" fontId="6" fillId="0" borderId="0" xfId="0" applyFont="1"/>
    <xf numFmtId="169" fontId="0" fillId="0" borderId="0" xfId="2" applyNumberFormat="1" applyFont="1"/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190500</xdr:rowOff>
    </xdr:from>
    <xdr:to>
      <xdr:col>350</xdr:col>
      <xdr:colOff>177800</xdr:colOff>
      <xdr:row>4</xdr:row>
      <xdr:rowOff>152400</xdr:rowOff>
    </xdr:to>
    <xdr:sp macro="" textlink="">
      <xdr:nvSpPr>
        <xdr:cNvPr id="5124" name="Graphic 11">
          <a:extLst>
            <a:ext uri="{FF2B5EF4-FFF2-40B4-BE49-F238E27FC236}">
              <a16:creationId xmlns:a16="http://schemas.microsoft.com/office/drawing/2014/main" id="{06EEF2F1-CA55-38BF-528A-310E153A933F}"/>
            </a:ext>
          </a:extLst>
        </xdr:cNvPr>
        <xdr:cNvSpPr>
          <a:spLocks/>
        </xdr:cNvSpPr>
      </xdr:nvSpPr>
      <xdr:spPr bwMode="auto">
        <a:xfrm>
          <a:off x="0" y="800100"/>
          <a:ext cx="289102800" cy="165100"/>
        </a:xfrm>
        <a:custGeom>
          <a:avLst/>
          <a:gdLst>
            <a:gd name="T0" fmla="*/ 0 w 2276475"/>
            <a:gd name="T1" fmla="*/ 0 h 1270"/>
            <a:gd name="T2" fmla="*/ 2276475 w 2276475"/>
            <a:gd name="T3" fmla="*/ 0 h 1270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2276475" h="1270">
              <a:moveTo>
                <a:pt x="0" y="0"/>
              </a:moveTo>
              <a:lnTo>
                <a:pt x="2276475" y="0"/>
              </a:ln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3</xdr:row>
      <xdr:rowOff>190500</xdr:rowOff>
    </xdr:from>
    <xdr:to>
      <xdr:col>350</xdr:col>
      <xdr:colOff>177800</xdr:colOff>
      <xdr:row>4</xdr:row>
      <xdr:rowOff>152400</xdr:rowOff>
    </xdr:to>
    <xdr:sp macro="" textlink="">
      <xdr:nvSpPr>
        <xdr:cNvPr id="5126" name="Graphic 12">
          <a:extLst>
            <a:ext uri="{FF2B5EF4-FFF2-40B4-BE49-F238E27FC236}">
              <a16:creationId xmlns:a16="http://schemas.microsoft.com/office/drawing/2014/main" id="{AA509D10-8ADB-E1A4-F6F9-5FF5002BEA81}"/>
            </a:ext>
          </a:extLst>
        </xdr:cNvPr>
        <xdr:cNvSpPr>
          <a:spLocks/>
        </xdr:cNvSpPr>
      </xdr:nvSpPr>
      <xdr:spPr bwMode="auto">
        <a:xfrm>
          <a:off x="0" y="800100"/>
          <a:ext cx="289102800" cy="165100"/>
        </a:xfrm>
        <a:custGeom>
          <a:avLst/>
          <a:gdLst>
            <a:gd name="T0" fmla="*/ 0 w 2276475"/>
            <a:gd name="T1" fmla="*/ 0 h 1270"/>
            <a:gd name="T2" fmla="*/ 2276475 w 2276475"/>
            <a:gd name="T3" fmla="*/ 0 h 1270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2276475" h="1270">
              <a:moveTo>
                <a:pt x="0" y="0"/>
              </a:moveTo>
              <a:lnTo>
                <a:pt x="2276475" y="0"/>
              </a:ln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7B9CD-EAD7-1F43-9B3A-4DEA47E30D32}">
  <dimension ref="A1:Q1300"/>
  <sheetViews>
    <sheetView tabSelected="1" workbookViewId="0">
      <selection activeCell="M8" sqref="M8"/>
    </sheetView>
  </sheetViews>
  <sheetFormatPr baseColWidth="10" defaultRowHeight="16" x14ac:dyDescent="0.2"/>
  <cols>
    <col min="1" max="1" width="13.6640625" customWidth="1"/>
    <col min="2" max="2" width="5.1640625" bestFit="1" customWidth="1"/>
    <col min="3" max="3" width="10.1640625" customWidth="1"/>
    <col min="4" max="4" width="11" customWidth="1"/>
    <col min="5" max="5" width="37" bestFit="1" customWidth="1"/>
    <col min="6" max="6" width="16.33203125" bestFit="1" customWidth="1"/>
    <col min="7" max="7" width="46.6640625" bestFit="1" customWidth="1"/>
    <col min="8" max="8" width="24.33203125" style="10" bestFit="1" customWidth="1"/>
    <col min="9" max="9" width="28.33203125" style="9" bestFit="1" customWidth="1"/>
    <col min="10" max="10" width="46.6640625" bestFit="1" customWidth="1"/>
    <col min="14" max="14" width="16.6640625" bestFit="1" customWidth="1"/>
    <col min="17" max="17" width="14" bestFit="1" customWidth="1"/>
  </cols>
  <sheetData>
    <row r="1" spans="1:17" x14ac:dyDescent="0.2">
      <c r="A1" s="6" t="s">
        <v>314</v>
      </c>
      <c r="B1" s="6" t="s">
        <v>290</v>
      </c>
      <c r="C1" s="6" t="s">
        <v>306</v>
      </c>
      <c r="D1" s="6" t="s">
        <v>307</v>
      </c>
      <c r="E1" s="6" t="s">
        <v>308</v>
      </c>
      <c r="F1" s="6" t="s">
        <v>303</v>
      </c>
      <c r="G1" s="6" t="s">
        <v>299</v>
      </c>
      <c r="H1" s="7" t="s">
        <v>305</v>
      </c>
      <c r="I1" s="12" t="s">
        <v>312</v>
      </c>
      <c r="J1" s="6" t="s">
        <v>315</v>
      </c>
      <c r="M1" t="s">
        <v>317</v>
      </c>
      <c r="P1" t="s">
        <v>316</v>
      </c>
    </row>
    <row r="2" spans="1:17" x14ac:dyDescent="0.2">
      <c r="A2">
        <v>5100255</v>
      </c>
      <c r="B2" s="8">
        <v>2015</v>
      </c>
      <c r="C2" s="8" t="s">
        <v>309</v>
      </c>
      <c r="D2" s="8" t="s">
        <v>310</v>
      </c>
      <c r="E2" s="8" t="s">
        <v>311</v>
      </c>
      <c r="F2" t="s">
        <v>289</v>
      </c>
      <c r="G2" t="s">
        <v>275</v>
      </c>
      <c r="H2" s="13">
        <v>57283</v>
      </c>
      <c r="I2" s="13"/>
      <c r="J2" s="8">
        <f>SUM(H2:I2)</f>
        <v>57283</v>
      </c>
      <c r="M2">
        <v>2015</v>
      </c>
      <c r="N2" s="16">
        <f>SUMIF($B$2:$B$1300,$M2,$J$2:$J$1300)</f>
        <v>1078065090</v>
      </c>
      <c r="P2">
        <v>2015</v>
      </c>
      <c r="Q2" s="16">
        <f>SUMIF($B$2:$B$1300,$M2,$H$2:H$1300)</f>
        <v>1078065090</v>
      </c>
    </row>
    <row r="3" spans="1:17" x14ac:dyDescent="0.2">
      <c r="A3">
        <v>5100255</v>
      </c>
      <c r="B3" s="8">
        <v>2016</v>
      </c>
      <c r="C3" s="8" t="s">
        <v>309</v>
      </c>
      <c r="D3" s="8" t="s">
        <v>310</v>
      </c>
      <c r="E3" s="8" t="s">
        <v>311</v>
      </c>
      <c r="F3" t="s">
        <v>289</v>
      </c>
      <c r="G3" t="s">
        <v>275</v>
      </c>
      <c r="H3" s="13">
        <v>64037</v>
      </c>
      <c r="I3" s="13"/>
      <c r="J3" s="8">
        <f t="shared" ref="J3:J66" si="0">SUM(H3:I3)</f>
        <v>64037</v>
      </c>
      <c r="M3">
        <v>2016</v>
      </c>
      <c r="N3" s="16">
        <f t="shared" ref="N3:N9" si="1">SUMIF($B$2:$B$1300,M3,$J$2:$J$1300)</f>
        <v>1072020395</v>
      </c>
      <c r="P3">
        <v>2016</v>
      </c>
      <c r="Q3" s="16">
        <f>SUMIF($B$2:$B$1300,$M3,$H$2:H$1300)</f>
        <v>1072020395</v>
      </c>
    </row>
    <row r="4" spans="1:17" x14ac:dyDescent="0.2">
      <c r="A4">
        <v>5100255</v>
      </c>
      <c r="B4" s="8">
        <v>2017</v>
      </c>
      <c r="C4" s="8" t="s">
        <v>309</v>
      </c>
      <c r="D4" s="8" t="s">
        <v>310</v>
      </c>
      <c r="E4" s="8" t="s">
        <v>311</v>
      </c>
      <c r="F4" t="s">
        <v>289</v>
      </c>
      <c r="G4" t="s">
        <v>275</v>
      </c>
      <c r="H4" s="13">
        <v>65254</v>
      </c>
      <c r="I4" s="13"/>
      <c r="J4" s="8">
        <f t="shared" si="0"/>
        <v>65254</v>
      </c>
      <c r="M4">
        <v>2017</v>
      </c>
      <c r="N4" s="16">
        <f t="shared" si="1"/>
        <v>1137903954</v>
      </c>
      <c r="P4">
        <v>2017</v>
      </c>
      <c r="Q4" s="16">
        <f>SUMIF($B$2:$B$1300,$M4,$H$2:H$1300)</f>
        <v>1137903954</v>
      </c>
    </row>
    <row r="5" spans="1:17" x14ac:dyDescent="0.2">
      <c r="A5">
        <v>5100255</v>
      </c>
      <c r="B5" s="8">
        <v>2018</v>
      </c>
      <c r="C5" s="8" t="s">
        <v>309</v>
      </c>
      <c r="D5" s="8" t="s">
        <v>310</v>
      </c>
      <c r="E5" s="8" t="s">
        <v>311</v>
      </c>
      <c r="F5" t="s">
        <v>289</v>
      </c>
      <c r="G5" t="s">
        <v>275</v>
      </c>
      <c r="H5" s="13">
        <v>85036</v>
      </c>
      <c r="I5" s="13"/>
      <c r="J5" s="8">
        <f t="shared" si="0"/>
        <v>85036</v>
      </c>
      <c r="M5">
        <v>2018</v>
      </c>
      <c r="N5" s="16">
        <f t="shared" si="1"/>
        <v>1293312369</v>
      </c>
      <c r="P5">
        <v>2018</v>
      </c>
      <c r="Q5" s="16">
        <f>SUMIF($B$2:$B$1300,$M5,$H$2:H$1300)</f>
        <v>1293312369</v>
      </c>
    </row>
    <row r="6" spans="1:17" x14ac:dyDescent="0.2">
      <c r="A6">
        <v>5100255</v>
      </c>
      <c r="B6" s="8">
        <v>2019</v>
      </c>
      <c r="C6" s="8" t="s">
        <v>309</v>
      </c>
      <c r="D6" s="8" t="s">
        <v>310</v>
      </c>
      <c r="E6" s="8" t="s">
        <v>311</v>
      </c>
      <c r="F6" t="s">
        <v>289</v>
      </c>
      <c r="G6" t="s">
        <v>275</v>
      </c>
      <c r="H6" s="13">
        <v>74578</v>
      </c>
      <c r="I6" s="13"/>
      <c r="J6" s="8">
        <f t="shared" si="0"/>
        <v>74578</v>
      </c>
      <c r="M6">
        <v>2019</v>
      </c>
      <c r="N6" s="16">
        <f t="shared" si="1"/>
        <v>1281538143</v>
      </c>
      <c r="P6">
        <v>2019</v>
      </c>
      <c r="Q6" s="16">
        <f>SUMIF($B$2:$B$1300,$M6,$H$2:H$1300)</f>
        <v>1281538143</v>
      </c>
    </row>
    <row r="7" spans="1:17" x14ac:dyDescent="0.2">
      <c r="A7">
        <v>5100255</v>
      </c>
      <c r="B7" s="8">
        <v>2020</v>
      </c>
      <c r="C7" s="8" t="s">
        <v>309</v>
      </c>
      <c r="D7" s="8" t="s">
        <v>310</v>
      </c>
      <c r="E7" s="8" t="s">
        <v>311</v>
      </c>
      <c r="F7" t="s">
        <v>289</v>
      </c>
      <c r="G7" t="s">
        <v>275</v>
      </c>
      <c r="H7" s="13">
        <v>76632</v>
      </c>
      <c r="I7" s="13"/>
      <c r="J7" s="8">
        <f t="shared" si="0"/>
        <v>76632</v>
      </c>
      <c r="M7">
        <v>2020</v>
      </c>
      <c r="N7" s="16">
        <f t="shared" si="1"/>
        <v>1328821445</v>
      </c>
      <c r="P7">
        <v>2020</v>
      </c>
      <c r="Q7" s="16">
        <f>SUMIF($B$2:$B$1300,$M7,$H$2:H$1300)</f>
        <v>1328821445</v>
      </c>
    </row>
    <row r="8" spans="1:17" x14ac:dyDescent="0.2">
      <c r="A8">
        <v>5100255</v>
      </c>
      <c r="B8" s="8">
        <v>2021</v>
      </c>
      <c r="C8" s="8" t="s">
        <v>309</v>
      </c>
      <c r="D8" s="8" t="s">
        <v>310</v>
      </c>
      <c r="E8" s="8" t="s">
        <v>311</v>
      </c>
      <c r="F8" t="s">
        <v>289</v>
      </c>
      <c r="G8" t="s">
        <v>275</v>
      </c>
      <c r="H8" s="13">
        <v>72911</v>
      </c>
      <c r="I8" s="13">
        <v>3159</v>
      </c>
      <c r="J8" s="8">
        <f t="shared" si="0"/>
        <v>76070</v>
      </c>
      <c r="M8">
        <v>2021</v>
      </c>
      <c r="N8" s="16">
        <f t="shared" si="1"/>
        <v>1476071210</v>
      </c>
      <c r="P8">
        <v>2021</v>
      </c>
      <c r="Q8" s="16">
        <f>SUMIF($B$2:$B$1300,$M8,$H$2:H$1300)</f>
        <v>1414726941</v>
      </c>
    </row>
    <row r="9" spans="1:17" x14ac:dyDescent="0.2">
      <c r="A9">
        <v>5100255</v>
      </c>
      <c r="B9" s="8">
        <v>2022</v>
      </c>
      <c r="C9" s="8" t="s">
        <v>309</v>
      </c>
      <c r="D9" s="8" t="s">
        <v>310</v>
      </c>
      <c r="E9" s="8" t="s">
        <v>311</v>
      </c>
      <c r="F9" t="s">
        <v>289</v>
      </c>
      <c r="G9" t="s">
        <v>275</v>
      </c>
      <c r="H9" s="13">
        <v>94935</v>
      </c>
      <c r="I9" s="13">
        <v>28268</v>
      </c>
      <c r="J9" s="8">
        <f t="shared" si="0"/>
        <v>123203</v>
      </c>
      <c r="M9">
        <v>2022</v>
      </c>
      <c r="N9" s="16">
        <f t="shared" si="1"/>
        <v>1927940379</v>
      </c>
      <c r="P9">
        <v>2022</v>
      </c>
      <c r="Q9" s="16">
        <f>SUMIF($B$2:$B$1300,$M9,$H$2:H$1300)</f>
        <v>1485569294</v>
      </c>
    </row>
    <row r="10" spans="1:17" x14ac:dyDescent="0.2">
      <c r="A10">
        <v>5100255</v>
      </c>
      <c r="B10" s="8">
        <v>2023</v>
      </c>
      <c r="C10" s="8" t="s">
        <v>309</v>
      </c>
      <c r="D10" s="8" t="s">
        <v>310</v>
      </c>
      <c r="E10" s="8" t="s">
        <v>311</v>
      </c>
      <c r="F10" t="s">
        <v>289</v>
      </c>
      <c r="G10" t="s">
        <v>275</v>
      </c>
      <c r="H10" s="13">
        <v>104253</v>
      </c>
      <c r="I10" s="13">
        <v>9732</v>
      </c>
      <c r="J10" s="8">
        <f t="shared" si="0"/>
        <v>113985</v>
      </c>
    </row>
    <row r="11" spans="1:17" x14ac:dyDescent="0.2">
      <c r="A11">
        <v>5100032</v>
      </c>
      <c r="B11" s="8">
        <v>2015</v>
      </c>
      <c r="C11" s="8" t="s">
        <v>309</v>
      </c>
      <c r="D11" s="8" t="s">
        <v>310</v>
      </c>
      <c r="E11" s="8" t="s">
        <v>311</v>
      </c>
      <c r="F11" t="s">
        <v>288</v>
      </c>
      <c r="G11" t="s">
        <v>274</v>
      </c>
      <c r="H11" s="13">
        <v>251292</v>
      </c>
      <c r="I11" s="13"/>
      <c r="J11" s="8">
        <f t="shared" si="0"/>
        <v>251292</v>
      </c>
    </row>
    <row r="12" spans="1:17" x14ac:dyDescent="0.2">
      <c r="A12">
        <v>5100032</v>
      </c>
      <c r="B12" s="8">
        <v>2016</v>
      </c>
      <c r="C12" s="8" t="s">
        <v>309</v>
      </c>
      <c r="D12" s="8" t="s">
        <v>310</v>
      </c>
      <c r="E12" s="8" t="s">
        <v>311</v>
      </c>
      <c r="F12" t="s">
        <v>288</v>
      </c>
      <c r="G12" t="s">
        <v>274</v>
      </c>
      <c r="H12" s="13">
        <v>248310</v>
      </c>
      <c r="I12" s="13"/>
      <c r="J12" s="8">
        <f t="shared" si="0"/>
        <v>248310</v>
      </c>
    </row>
    <row r="13" spans="1:17" x14ac:dyDescent="0.2">
      <c r="A13">
        <v>5100032</v>
      </c>
      <c r="B13" s="8">
        <v>2017</v>
      </c>
      <c r="C13" s="8" t="s">
        <v>309</v>
      </c>
      <c r="D13" s="8" t="s">
        <v>310</v>
      </c>
      <c r="E13" s="8" t="s">
        <v>311</v>
      </c>
      <c r="F13" t="s">
        <v>288</v>
      </c>
      <c r="G13" t="s">
        <v>274</v>
      </c>
      <c r="H13" s="13">
        <v>248262</v>
      </c>
      <c r="I13" s="13"/>
      <c r="J13" s="8">
        <f t="shared" si="0"/>
        <v>248262</v>
      </c>
    </row>
    <row r="14" spans="1:17" x14ac:dyDescent="0.2">
      <c r="A14">
        <v>5100032</v>
      </c>
      <c r="B14" s="8">
        <v>2018</v>
      </c>
      <c r="C14" s="8" t="s">
        <v>309</v>
      </c>
      <c r="D14" s="8" t="s">
        <v>310</v>
      </c>
      <c r="E14" s="8" t="s">
        <v>311</v>
      </c>
      <c r="F14" t="s">
        <v>288</v>
      </c>
      <c r="G14" t="s">
        <v>274</v>
      </c>
      <c r="H14" s="13">
        <v>271290</v>
      </c>
      <c r="I14" s="13"/>
      <c r="J14" s="8">
        <f t="shared" si="0"/>
        <v>271290</v>
      </c>
    </row>
    <row r="15" spans="1:17" x14ac:dyDescent="0.2">
      <c r="A15">
        <v>5100032</v>
      </c>
      <c r="B15" s="8">
        <v>2019</v>
      </c>
      <c r="C15" s="8" t="s">
        <v>309</v>
      </c>
      <c r="D15" s="8" t="s">
        <v>310</v>
      </c>
      <c r="E15" s="8" t="s">
        <v>311</v>
      </c>
      <c r="F15" t="s">
        <v>288</v>
      </c>
      <c r="G15" t="s">
        <v>274</v>
      </c>
      <c r="H15" s="13">
        <v>288617</v>
      </c>
      <c r="I15" s="13"/>
      <c r="J15" s="8">
        <f t="shared" si="0"/>
        <v>288617</v>
      </c>
    </row>
    <row r="16" spans="1:17" x14ac:dyDescent="0.2">
      <c r="A16">
        <v>5100032</v>
      </c>
      <c r="B16" s="8">
        <v>2020</v>
      </c>
      <c r="C16" s="8" t="s">
        <v>309</v>
      </c>
      <c r="D16" s="8" t="s">
        <v>310</v>
      </c>
      <c r="E16" s="8" t="s">
        <v>311</v>
      </c>
      <c r="F16" t="s">
        <v>288</v>
      </c>
      <c r="G16" t="s">
        <v>274</v>
      </c>
      <c r="H16" s="13">
        <v>313505</v>
      </c>
      <c r="I16" s="13"/>
      <c r="J16" s="8">
        <f t="shared" si="0"/>
        <v>313505</v>
      </c>
    </row>
    <row r="17" spans="1:10" x14ac:dyDescent="0.2">
      <c r="A17">
        <v>5100032</v>
      </c>
      <c r="B17" s="8">
        <v>2021</v>
      </c>
      <c r="C17" s="8" t="s">
        <v>309</v>
      </c>
      <c r="D17" s="8" t="s">
        <v>310</v>
      </c>
      <c r="E17" s="8" t="s">
        <v>311</v>
      </c>
      <c r="F17" t="s">
        <v>288</v>
      </c>
      <c r="G17" t="s">
        <v>274</v>
      </c>
      <c r="H17" s="13">
        <v>348130</v>
      </c>
      <c r="I17" s="13">
        <v>15097</v>
      </c>
      <c r="J17" s="8">
        <f t="shared" si="0"/>
        <v>363227</v>
      </c>
    </row>
    <row r="18" spans="1:10" x14ac:dyDescent="0.2">
      <c r="A18">
        <v>5100032</v>
      </c>
      <c r="B18" s="8">
        <v>2022</v>
      </c>
      <c r="C18" s="8" t="s">
        <v>309</v>
      </c>
      <c r="D18" s="8" t="s">
        <v>310</v>
      </c>
      <c r="E18" s="8" t="s">
        <v>311</v>
      </c>
      <c r="F18" t="s">
        <v>288</v>
      </c>
      <c r="G18" t="s">
        <v>274</v>
      </c>
      <c r="H18" s="13">
        <v>365216</v>
      </c>
      <c r="I18" s="13">
        <v>108735</v>
      </c>
      <c r="J18" s="8">
        <f t="shared" si="0"/>
        <v>473951</v>
      </c>
    </row>
    <row r="19" spans="1:10" x14ac:dyDescent="0.2">
      <c r="A19">
        <v>5100032</v>
      </c>
      <c r="B19" s="8">
        <v>2023</v>
      </c>
      <c r="C19" s="8" t="s">
        <v>309</v>
      </c>
      <c r="D19" s="8" t="s">
        <v>310</v>
      </c>
      <c r="E19" s="8" t="s">
        <v>311</v>
      </c>
      <c r="F19" t="s">
        <v>288</v>
      </c>
      <c r="G19" t="s">
        <v>274</v>
      </c>
      <c r="H19" s="13">
        <v>394158</v>
      </c>
      <c r="I19" s="13">
        <v>36820</v>
      </c>
      <c r="J19" s="8">
        <f t="shared" si="0"/>
        <v>430978</v>
      </c>
    </row>
    <row r="20" spans="1:10" x14ac:dyDescent="0.2">
      <c r="A20">
        <v>5100061</v>
      </c>
      <c r="B20" s="8">
        <v>2015</v>
      </c>
      <c r="C20" s="8" t="s">
        <v>309</v>
      </c>
      <c r="D20" s="8" t="s">
        <v>310</v>
      </c>
      <c r="E20" s="8" t="s">
        <v>311</v>
      </c>
      <c r="F20" t="s">
        <v>287</v>
      </c>
      <c r="G20" t="s">
        <v>273</v>
      </c>
      <c r="H20" s="13">
        <v>593975</v>
      </c>
      <c r="I20" s="13"/>
      <c r="J20" s="8">
        <f t="shared" si="0"/>
        <v>593975</v>
      </c>
    </row>
    <row r="21" spans="1:10" x14ac:dyDescent="0.2">
      <c r="A21">
        <v>5100061</v>
      </c>
      <c r="B21" s="8">
        <v>2016</v>
      </c>
      <c r="C21" s="8" t="s">
        <v>309</v>
      </c>
      <c r="D21" s="8" t="s">
        <v>310</v>
      </c>
      <c r="E21" s="8" t="s">
        <v>311</v>
      </c>
      <c r="F21" t="s">
        <v>287</v>
      </c>
      <c r="G21" t="s">
        <v>273</v>
      </c>
      <c r="H21" s="13">
        <v>595269</v>
      </c>
      <c r="I21" s="13"/>
      <c r="J21" s="8">
        <f t="shared" si="0"/>
        <v>595269</v>
      </c>
    </row>
    <row r="22" spans="1:10" x14ac:dyDescent="0.2">
      <c r="A22">
        <v>5100061</v>
      </c>
      <c r="B22" s="8">
        <v>2017</v>
      </c>
      <c r="C22" s="8" t="s">
        <v>309</v>
      </c>
      <c r="D22" s="8" t="s">
        <v>310</v>
      </c>
      <c r="E22" s="8" t="s">
        <v>311</v>
      </c>
      <c r="F22" t="s">
        <v>287</v>
      </c>
      <c r="G22" t="s">
        <v>273</v>
      </c>
      <c r="H22" s="13">
        <v>634800</v>
      </c>
      <c r="I22" s="13"/>
      <c r="J22" s="8">
        <f t="shared" si="0"/>
        <v>634800</v>
      </c>
    </row>
    <row r="23" spans="1:10" x14ac:dyDescent="0.2">
      <c r="A23">
        <v>5100061</v>
      </c>
      <c r="B23" s="8">
        <v>2018</v>
      </c>
      <c r="C23" s="8" t="s">
        <v>309</v>
      </c>
      <c r="D23" s="8" t="s">
        <v>310</v>
      </c>
      <c r="E23" s="8" t="s">
        <v>311</v>
      </c>
      <c r="F23" t="s">
        <v>287</v>
      </c>
      <c r="G23" t="s">
        <v>273</v>
      </c>
      <c r="H23" s="13">
        <v>724752</v>
      </c>
      <c r="I23" s="13"/>
      <c r="J23" s="8">
        <f t="shared" si="0"/>
        <v>724752</v>
      </c>
    </row>
    <row r="24" spans="1:10" x14ac:dyDescent="0.2">
      <c r="A24">
        <v>5100061</v>
      </c>
      <c r="B24" s="8">
        <v>2019</v>
      </c>
      <c r="C24" s="8" t="s">
        <v>309</v>
      </c>
      <c r="D24" s="8" t="s">
        <v>310</v>
      </c>
      <c r="E24" s="8" t="s">
        <v>311</v>
      </c>
      <c r="F24" t="s">
        <v>287</v>
      </c>
      <c r="G24" t="s">
        <v>273</v>
      </c>
      <c r="H24" s="13">
        <v>673873</v>
      </c>
      <c r="I24" s="13"/>
      <c r="J24" s="8">
        <f t="shared" si="0"/>
        <v>673873</v>
      </c>
    </row>
    <row r="25" spans="1:10" x14ac:dyDescent="0.2">
      <c r="A25">
        <v>5100061</v>
      </c>
      <c r="B25" s="8">
        <v>2020</v>
      </c>
      <c r="C25" s="8" t="s">
        <v>309</v>
      </c>
      <c r="D25" s="8" t="s">
        <v>310</v>
      </c>
      <c r="E25" s="8" t="s">
        <v>311</v>
      </c>
      <c r="F25" t="s">
        <v>287</v>
      </c>
      <c r="G25" t="s">
        <v>273</v>
      </c>
      <c r="H25" s="13">
        <v>678951</v>
      </c>
      <c r="I25" s="13"/>
      <c r="J25" s="8">
        <f t="shared" si="0"/>
        <v>678951</v>
      </c>
    </row>
    <row r="26" spans="1:10" x14ac:dyDescent="0.2">
      <c r="A26">
        <v>5100061</v>
      </c>
      <c r="B26" s="8">
        <v>2021</v>
      </c>
      <c r="C26" s="8" t="s">
        <v>309</v>
      </c>
      <c r="D26" s="8" t="s">
        <v>310</v>
      </c>
      <c r="E26" s="8" t="s">
        <v>311</v>
      </c>
      <c r="F26" t="s">
        <v>287</v>
      </c>
      <c r="G26" t="s">
        <v>273</v>
      </c>
      <c r="H26" s="13">
        <v>751532</v>
      </c>
      <c r="I26" s="13">
        <v>32586</v>
      </c>
      <c r="J26" s="8">
        <f t="shared" si="0"/>
        <v>784118</v>
      </c>
    </row>
    <row r="27" spans="1:10" x14ac:dyDescent="0.2">
      <c r="A27">
        <v>5100061</v>
      </c>
      <c r="B27" s="8">
        <v>2022</v>
      </c>
      <c r="C27" s="8" t="s">
        <v>309</v>
      </c>
      <c r="D27" s="8" t="s">
        <v>310</v>
      </c>
      <c r="E27" s="8" t="s">
        <v>311</v>
      </c>
      <c r="F27" t="s">
        <v>287</v>
      </c>
      <c r="G27" t="s">
        <v>273</v>
      </c>
      <c r="H27" s="13">
        <v>780057</v>
      </c>
      <c r="I27" s="13">
        <v>232289</v>
      </c>
      <c r="J27" s="8">
        <f t="shared" si="0"/>
        <v>1012346</v>
      </c>
    </row>
    <row r="28" spans="1:10" x14ac:dyDescent="0.2">
      <c r="A28">
        <v>5100061</v>
      </c>
      <c r="B28" s="8">
        <v>2023</v>
      </c>
      <c r="C28" s="8" t="s">
        <v>309</v>
      </c>
      <c r="D28" s="8" t="s">
        <v>310</v>
      </c>
      <c r="E28" s="8" t="s">
        <v>311</v>
      </c>
      <c r="F28" t="s">
        <v>287</v>
      </c>
      <c r="G28" t="s">
        <v>273</v>
      </c>
      <c r="H28" s="13">
        <v>817990</v>
      </c>
      <c r="I28" s="13">
        <v>76412</v>
      </c>
      <c r="J28" s="8">
        <f t="shared" si="0"/>
        <v>894402</v>
      </c>
    </row>
    <row r="29" spans="1:10" x14ac:dyDescent="0.2">
      <c r="A29">
        <v>5100097</v>
      </c>
      <c r="B29" s="8">
        <v>2015</v>
      </c>
      <c r="C29" s="8" t="s">
        <v>309</v>
      </c>
      <c r="D29" s="8" t="s">
        <v>310</v>
      </c>
      <c r="E29" s="8" t="s">
        <v>311</v>
      </c>
      <c r="F29" t="s">
        <v>286</v>
      </c>
      <c r="G29" t="s">
        <v>272</v>
      </c>
      <c r="H29" s="13">
        <v>123576</v>
      </c>
      <c r="I29" s="13"/>
      <c r="J29" s="8">
        <f t="shared" si="0"/>
        <v>123576</v>
      </c>
    </row>
    <row r="30" spans="1:10" x14ac:dyDescent="0.2">
      <c r="A30">
        <v>5100097</v>
      </c>
      <c r="B30" s="8">
        <v>2016</v>
      </c>
      <c r="C30" s="8" t="s">
        <v>309</v>
      </c>
      <c r="D30" s="8" t="s">
        <v>310</v>
      </c>
      <c r="E30" s="8" t="s">
        <v>311</v>
      </c>
      <c r="F30" t="s">
        <v>286</v>
      </c>
      <c r="G30" t="s">
        <v>272</v>
      </c>
      <c r="H30" s="13">
        <v>103416</v>
      </c>
      <c r="I30" s="13"/>
      <c r="J30" s="8">
        <f t="shared" si="0"/>
        <v>103416</v>
      </c>
    </row>
    <row r="31" spans="1:10" x14ac:dyDescent="0.2">
      <c r="A31">
        <v>5100097</v>
      </c>
      <c r="B31" s="8">
        <v>2017</v>
      </c>
      <c r="C31" s="8" t="s">
        <v>309</v>
      </c>
      <c r="D31" s="8" t="s">
        <v>310</v>
      </c>
      <c r="E31" s="8" t="s">
        <v>311</v>
      </c>
      <c r="F31" t="s">
        <v>286</v>
      </c>
      <c r="G31" t="s">
        <v>272</v>
      </c>
      <c r="H31" s="13">
        <v>113937</v>
      </c>
      <c r="I31" s="13"/>
      <c r="J31" s="8">
        <f t="shared" si="0"/>
        <v>113937</v>
      </c>
    </row>
    <row r="32" spans="1:10" x14ac:dyDescent="0.2">
      <c r="A32">
        <v>5100097</v>
      </c>
      <c r="B32" s="8">
        <v>2018</v>
      </c>
      <c r="C32" s="8" t="s">
        <v>309</v>
      </c>
      <c r="D32" s="8" t="s">
        <v>310</v>
      </c>
      <c r="E32" s="8" t="s">
        <v>311</v>
      </c>
      <c r="F32" t="s">
        <v>286</v>
      </c>
      <c r="G32" t="s">
        <v>272</v>
      </c>
      <c r="H32" s="13">
        <v>135138</v>
      </c>
      <c r="I32" s="13"/>
      <c r="J32" s="8">
        <f t="shared" si="0"/>
        <v>135138</v>
      </c>
    </row>
    <row r="33" spans="1:10" x14ac:dyDescent="0.2">
      <c r="A33">
        <v>5100097</v>
      </c>
      <c r="B33" s="8">
        <v>2019</v>
      </c>
      <c r="C33" s="8" t="s">
        <v>309</v>
      </c>
      <c r="D33" s="8" t="s">
        <v>310</v>
      </c>
      <c r="E33" s="8" t="s">
        <v>311</v>
      </c>
      <c r="F33" t="s">
        <v>286</v>
      </c>
      <c r="G33" t="s">
        <v>272</v>
      </c>
      <c r="H33" s="13">
        <v>128563</v>
      </c>
      <c r="I33" s="13"/>
      <c r="J33" s="8">
        <f t="shared" si="0"/>
        <v>128563</v>
      </c>
    </row>
    <row r="34" spans="1:10" x14ac:dyDescent="0.2">
      <c r="A34">
        <v>5100097</v>
      </c>
      <c r="B34" s="8">
        <v>2020</v>
      </c>
      <c r="C34" s="8" t="s">
        <v>309</v>
      </c>
      <c r="D34" s="8" t="s">
        <v>310</v>
      </c>
      <c r="E34" s="8" t="s">
        <v>311</v>
      </c>
      <c r="F34" t="s">
        <v>286</v>
      </c>
      <c r="G34" t="s">
        <v>272</v>
      </c>
      <c r="H34" s="13">
        <v>131025</v>
      </c>
      <c r="I34" s="13"/>
      <c r="J34" s="8">
        <f t="shared" si="0"/>
        <v>131025</v>
      </c>
    </row>
    <row r="35" spans="1:10" x14ac:dyDescent="0.2">
      <c r="A35">
        <v>5100097</v>
      </c>
      <c r="B35" s="8">
        <v>2021</v>
      </c>
      <c r="C35" s="8" t="s">
        <v>309</v>
      </c>
      <c r="D35" s="8" t="s">
        <v>310</v>
      </c>
      <c r="E35" s="8" t="s">
        <v>311</v>
      </c>
      <c r="F35" t="s">
        <v>286</v>
      </c>
      <c r="G35" t="s">
        <v>272</v>
      </c>
      <c r="H35" s="13">
        <v>98107</v>
      </c>
      <c r="I35" s="13">
        <v>4251</v>
      </c>
      <c r="J35" s="8">
        <f t="shared" si="0"/>
        <v>102358</v>
      </c>
    </row>
    <row r="36" spans="1:10" x14ac:dyDescent="0.2">
      <c r="A36">
        <v>5100097</v>
      </c>
      <c r="B36" s="8">
        <v>2022</v>
      </c>
      <c r="C36" s="8" t="s">
        <v>309</v>
      </c>
      <c r="D36" s="8" t="s">
        <v>310</v>
      </c>
      <c r="E36" s="8" t="s">
        <v>311</v>
      </c>
      <c r="F36" t="s">
        <v>286</v>
      </c>
      <c r="G36" t="s">
        <v>272</v>
      </c>
      <c r="H36" s="13">
        <v>96016</v>
      </c>
      <c r="I36" s="13">
        <v>28577</v>
      </c>
      <c r="J36" s="8">
        <f t="shared" si="0"/>
        <v>124593</v>
      </c>
    </row>
    <row r="37" spans="1:10" x14ac:dyDescent="0.2">
      <c r="A37">
        <v>5100097</v>
      </c>
      <c r="B37" s="8">
        <v>2023</v>
      </c>
      <c r="C37" s="8" t="s">
        <v>309</v>
      </c>
      <c r="D37" s="8" t="s">
        <v>310</v>
      </c>
      <c r="E37" s="8" t="s">
        <v>311</v>
      </c>
      <c r="F37" t="s">
        <v>286</v>
      </c>
      <c r="G37" t="s">
        <v>272</v>
      </c>
      <c r="H37" s="13">
        <v>119228</v>
      </c>
      <c r="I37" s="13">
        <v>11133</v>
      </c>
      <c r="J37" s="8">
        <f t="shared" si="0"/>
        <v>130361</v>
      </c>
    </row>
    <row r="38" spans="1:10" x14ac:dyDescent="0.2">
      <c r="A38">
        <v>5100013</v>
      </c>
      <c r="B38" s="8">
        <v>2015</v>
      </c>
      <c r="C38" s="8" t="s">
        <v>309</v>
      </c>
      <c r="D38" s="8" t="s">
        <v>310</v>
      </c>
      <c r="E38" s="8" t="s">
        <v>311</v>
      </c>
      <c r="F38" t="s">
        <v>285</v>
      </c>
      <c r="G38" t="s">
        <v>296</v>
      </c>
      <c r="H38" s="13">
        <v>29123</v>
      </c>
      <c r="I38" s="13"/>
      <c r="J38" s="8">
        <f t="shared" si="0"/>
        <v>29123</v>
      </c>
    </row>
    <row r="39" spans="1:10" x14ac:dyDescent="0.2">
      <c r="A39">
        <v>5100013</v>
      </c>
      <c r="B39" s="8">
        <v>2016</v>
      </c>
      <c r="C39" s="8" t="s">
        <v>309</v>
      </c>
      <c r="D39" s="8" t="s">
        <v>310</v>
      </c>
      <c r="E39" s="8" t="s">
        <v>311</v>
      </c>
      <c r="F39" t="s">
        <v>285</v>
      </c>
      <c r="G39" t="s">
        <v>296</v>
      </c>
      <c r="H39" s="13">
        <v>29105</v>
      </c>
      <c r="I39" s="13"/>
      <c r="J39" s="8">
        <f t="shared" si="0"/>
        <v>29105</v>
      </c>
    </row>
    <row r="40" spans="1:10" x14ac:dyDescent="0.2">
      <c r="A40">
        <v>5100013</v>
      </c>
      <c r="B40" s="8">
        <v>2017</v>
      </c>
      <c r="C40" s="8" t="s">
        <v>309</v>
      </c>
      <c r="D40" s="8" t="s">
        <v>310</v>
      </c>
      <c r="E40" s="8" t="s">
        <v>311</v>
      </c>
      <c r="F40" t="s">
        <v>285</v>
      </c>
      <c r="G40" t="s">
        <v>296</v>
      </c>
      <c r="H40" s="13">
        <v>30262</v>
      </c>
      <c r="I40" s="13"/>
      <c r="J40" s="8">
        <f t="shared" si="0"/>
        <v>30262</v>
      </c>
    </row>
    <row r="41" spans="1:10" x14ac:dyDescent="0.2">
      <c r="A41">
        <v>5100013</v>
      </c>
      <c r="B41" s="8">
        <v>2018</v>
      </c>
      <c r="C41" s="8" t="s">
        <v>309</v>
      </c>
      <c r="D41" s="8" t="s">
        <v>310</v>
      </c>
      <c r="E41" s="8" t="s">
        <v>311</v>
      </c>
      <c r="F41" t="s">
        <v>285</v>
      </c>
      <c r="G41" t="s">
        <v>296</v>
      </c>
      <c r="H41" s="13">
        <v>33977</v>
      </c>
      <c r="I41" s="13"/>
      <c r="J41" s="8">
        <f t="shared" si="0"/>
        <v>33977</v>
      </c>
    </row>
    <row r="42" spans="1:10" x14ac:dyDescent="0.2">
      <c r="A42">
        <v>5100013</v>
      </c>
      <c r="B42" s="8">
        <v>2019</v>
      </c>
      <c r="C42" s="8" t="s">
        <v>309</v>
      </c>
      <c r="D42" s="8" t="s">
        <v>310</v>
      </c>
      <c r="E42" s="8" t="s">
        <v>311</v>
      </c>
      <c r="F42" t="s">
        <v>285</v>
      </c>
      <c r="G42" t="s">
        <v>296</v>
      </c>
      <c r="H42" s="13">
        <v>40566</v>
      </c>
      <c r="I42" s="13"/>
      <c r="J42" s="8">
        <f t="shared" si="0"/>
        <v>40566</v>
      </c>
    </row>
    <row r="43" spans="1:10" x14ac:dyDescent="0.2">
      <c r="A43">
        <v>5100013</v>
      </c>
      <c r="B43" s="8">
        <v>2020</v>
      </c>
      <c r="C43" s="8" t="s">
        <v>309</v>
      </c>
      <c r="D43" s="8" t="s">
        <v>310</v>
      </c>
      <c r="E43" s="8" t="s">
        <v>311</v>
      </c>
      <c r="F43" t="s">
        <v>285</v>
      </c>
      <c r="G43" t="s">
        <v>296</v>
      </c>
      <c r="H43" s="13">
        <v>38189</v>
      </c>
      <c r="I43" s="13"/>
      <c r="J43" s="8">
        <f t="shared" si="0"/>
        <v>38189</v>
      </c>
    </row>
    <row r="44" spans="1:10" x14ac:dyDescent="0.2">
      <c r="A44">
        <v>5100013</v>
      </c>
      <c r="B44" s="8">
        <v>2021</v>
      </c>
      <c r="C44" s="8" t="s">
        <v>309</v>
      </c>
      <c r="D44" s="8" t="s">
        <v>310</v>
      </c>
      <c r="E44" s="8" t="s">
        <v>311</v>
      </c>
      <c r="F44" t="s">
        <v>285</v>
      </c>
      <c r="G44" t="s">
        <v>296</v>
      </c>
      <c r="H44" s="13">
        <v>33446</v>
      </c>
      <c r="I44" s="13">
        <v>1448</v>
      </c>
      <c r="J44" s="8">
        <f t="shared" si="0"/>
        <v>34894</v>
      </c>
    </row>
    <row r="45" spans="1:10" x14ac:dyDescent="0.2">
      <c r="A45">
        <v>5100013</v>
      </c>
      <c r="B45" s="8">
        <v>2022</v>
      </c>
      <c r="C45" s="8" t="s">
        <v>309</v>
      </c>
      <c r="D45" s="8" t="s">
        <v>310</v>
      </c>
      <c r="E45" s="8" t="s">
        <v>311</v>
      </c>
      <c r="F45" t="s">
        <v>285</v>
      </c>
      <c r="G45" t="s">
        <v>296</v>
      </c>
      <c r="H45" s="13">
        <v>52065</v>
      </c>
      <c r="I45" s="13">
        <v>15483</v>
      </c>
      <c r="J45" s="8">
        <f t="shared" si="0"/>
        <v>67548</v>
      </c>
    </row>
    <row r="46" spans="1:10" x14ac:dyDescent="0.2">
      <c r="A46">
        <v>5100013</v>
      </c>
      <c r="B46" s="8">
        <v>2023</v>
      </c>
      <c r="C46" s="8" t="s">
        <v>309</v>
      </c>
      <c r="D46" s="8" t="s">
        <v>310</v>
      </c>
      <c r="E46" s="8" t="s">
        <v>311</v>
      </c>
      <c r="F46" t="s">
        <v>285</v>
      </c>
      <c r="G46" t="s">
        <v>296</v>
      </c>
      <c r="H46" s="13">
        <v>60051</v>
      </c>
      <c r="I46" s="13">
        <v>5603</v>
      </c>
      <c r="J46" s="8">
        <f t="shared" si="0"/>
        <v>65654</v>
      </c>
    </row>
    <row r="47" spans="1:10" x14ac:dyDescent="0.2">
      <c r="A47">
        <v>5100011</v>
      </c>
      <c r="B47" s="8">
        <v>2015</v>
      </c>
      <c r="C47" s="8" t="s">
        <v>309</v>
      </c>
      <c r="D47" s="8" t="s">
        <v>310</v>
      </c>
      <c r="E47" s="8" t="s">
        <v>311</v>
      </c>
      <c r="F47" t="s">
        <v>284</v>
      </c>
      <c r="G47" t="s">
        <v>270</v>
      </c>
      <c r="H47" s="13">
        <v>99259</v>
      </c>
      <c r="I47" s="13"/>
      <c r="J47" s="8">
        <f t="shared" si="0"/>
        <v>99259</v>
      </c>
    </row>
    <row r="48" spans="1:10" x14ac:dyDescent="0.2">
      <c r="A48">
        <v>5100011</v>
      </c>
      <c r="B48" s="8">
        <v>2016</v>
      </c>
      <c r="C48" s="8" t="s">
        <v>309</v>
      </c>
      <c r="D48" s="8" t="s">
        <v>310</v>
      </c>
      <c r="E48" s="8" t="s">
        <v>311</v>
      </c>
      <c r="F48" t="s">
        <v>284</v>
      </c>
      <c r="G48" t="s">
        <v>270</v>
      </c>
      <c r="H48" s="13">
        <v>102267</v>
      </c>
      <c r="I48" s="13"/>
      <c r="J48" s="8">
        <f t="shared" si="0"/>
        <v>102267</v>
      </c>
    </row>
    <row r="49" spans="1:10" x14ac:dyDescent="0.2">
      <c r="A49">
        <v>5100011</v>
      </c>
      <c r="B49" s="8">
        <v>2017</v>
      </c>
      <c r="C49" s="8" t="s">
        <v>309</v>
      </c>
      <c r="D49" s="8" t="s">
        <v>310</v>
      </c>
      <c r="E49" s="8" t="s">
        <v>311</v>
      </c>
      <c r="F49" t="s">
        <v>284</v>
      </c>
      <c r="G49" t="s">
        <v>270</v>
      </c>
      <c r="H49" s="13">
        <v>108792</v>
      </c>
      <c r="I49" s="13"/>
      <c r="J49" s="8">
        <f t="shared" si="0"/>
        <v>108792</v>
      </c>
    </row>
    <row r="50" spans="1:10" x14ac:dyDescent="0.2">
      <c r="A50">
        <v>5100011</v>
      </c>
      <c r="B50" s="8">
        <v>2018</v>
      </c>
      <c r="C50" s="8" t="s">
        <v>309</v>
      </c>
      <c r="D50" s="8" t="s">
        <v>310</v>
      </c>
      <c r="E50" s="8" t="s">
        <v>311</v>
      </c>
      <c r="F50" t="s">
        <v>284</v>
      </c>
      <c r="G50" t="s">
        <v>270</v>
      </c>
      <c r="H50" s="13">
        <v>110026</v>
      </c>
      <c r="I50" s="13"/>
      <c r="J50" s="8">
        <f t="shared" si="0"/>
        <v>110026</v>
      </c>
    </row>
    <row r="51" spans="1:10" x14ac:dyDescent="0.2">
      <c r="A51">
        <v>5100011</v>
      </c>
      <c r="B51" s="8">
        <v>2019</v>
      </c>
      <c r="C51" s="8" t="s">
        <v>309</v>
      </c>
      <c r="D51" s="8" t="s">
        <v>310</v>
      </c>
      <c r="E51" s="8" t="s">
        <v>311</v>
      </c>
      <c r="F51" t="s">
        <v>284</v>
      </c>
      <c r="G51" t="s">
        <v>270</v>
      </c>
      <c r="H51" s="13">
        <v>119168</v>
      </c>
      <c r="I51" s="13"/>
      <c r="J51" s="8">
        <f t="shared" si="0"/>
        <v>119168</v>
      </c>
    </row>
    <row r="52" spans="1:10" x14ac:dyDescent="0.2">
      <c r="A52">
        <v>5100011</v>
      </c>
      <c r="B52" s="8">
        <v>2020</v>
      </c>
      <c r="C52" s="8" t="s">
        <v>309</v>
      </c>
      <c r="D52" s="8" t="s">
        <v>310</v>
      </c>
      <c r="E52" s="8" t="s">
        <v>311</v>
      </c>
      <c r="F52" t="s">
        <v>284</v>
      </c>
      <c r="G52" t="s">
        <v>270</v>
      </c>
      <c r="H52" s="13">
        <v>131434</v>
      </c>
      <c r="I52" s="13"/>
      <c r="J52" s="8">
        <f t="shared" si="0"/>
        <v>131434</v>
      </c>
    </row>
    <row r="53" spans="1:10" x14ac:dyDescent="0.2">
      <c r="A53">
        <v>5100011</v>
      </c>
      <c r="B53" s="8">
        <v>2021</v>
      </c>
      <c r="C53" s="8" t="s">
        <v>309</v>
      </c>
      <c r="D53" s="8" t="s">
        <v>310</v>
      </c>
      <c r="E53" s="8" t="s">
        <v>311</v>
      </c>
      <c r="F53" t="s">
        <v>284</v>
      </c>
      <c r="G53" t="s">
        <v>270</v>
      </c>
      <c r="H53" s="13">
        <v>137888</v>
      </c>
      <c r="I53" s="13">
        <v>5981</v>
      </c>
      <c r="J53" s="8">
        <f t="shared" si="0"/>
        <v>143869</v>
      </c>
    </row>
    <row r="54" spans="1:10" x14ac:dyDescent="0.2">
      <c r="A54">
        <v>5100011</v>
      </c>
      <c r="B54" s="8">
        <v>2022</v>
      </c>
      <c r="C54" s="8" t="s">
        <v>309</v>
      </c>
      <c r="D54" s="8" t="s">
        <v>310</v>
      </c>
      <c r="E54" s="8" t="s">
        <v>311</v>
      </c>
      <c r="F54" t="s">
        <v>284</v>
      </c>
      <c r="G54" t="s">
        <v>270</v>
      </c>
      <c r="H54" s="13">
        <v>152497</v>
      </c>
      <c r="I54" s="13">
        <v>45432</v>
      </c>
      <c r="J54" s="8">
        <f t="shared" si="0"/>
        <v>197929</v>
      </c>
    </row>
    <row r="55" spans="1:10" x14ac:dyDescent="0.2">
      <c r="A55">
        <v>5100011</v>
      </c>
      <c r="B55" s="8">
        <v>2023</v>
      </c>
      <c r="C55" s="8" t="s">
        <v>309</v>
      </c>
      <c r="D55" s="8" t="s">
        <v>310</v>
      </c>
      <c r="E55" s="8" t="s">
        <v>311</v>
      </c>
      <c r="F55" t="s">
        <v>284</v>
      </c>
      <c r="G55" t="s">
        <v>270</v>
      </c>
      <c r="H55" s="13">
        <v>159018</v>
      </c>
      <c r="I55" s="13">
        <v>14849</v>
      </c>
      <c r="J55" s="8">
        <f t="shared" si="0"/>
        <v>173867</v>
      </c>
    </row>
    <row r="56" spans="1:10" x14ac:dyDescent="0.2">
      <c r="A56">
        <v>5100012</v>
      </c>
      <c r="B56" s="8">
        <v>2015</v>
      </c>
      <c r="C56" s="8" t="s">
        <v>309</v>
      </c>
      <c r="D56" s="8" t="s">
        <v>310</v>
      </c>
      <c r="E56" s="8" t="s">
        <v>311</v>
      </c>
      <c r="F56" t="s">
        <v>283</v>
      </c>
      <c r="G56" t="s">
        <v>269</v>
      </c>
      <c r="H56" s="13">
        <v>168432</v>
      </c>
      <c r="I56" s="13"/>
      <c r="J56" s="8">
        <f t="shared" si="0"/>
        <v>168432</v>
      </c>
    </row>
    <row r="57" spans="1:10" x14ac:dyDescent="0.2">
      <c r="A57">
        <v>5100012</v>
      </c>
      <c r="B57" s="8">
        <v>2016</v>
      </c>
      <c r="C57" s="8" t="s">
        <v>309</v>
      </c>
      <c r="D57" s="8" t="s">
        <v>310</v>
      </c>
      <c r="E57" s="8" t="s">
        <v>311</v>
      </c>
      <c r="F57" t="s">
        <v>283</v>
      </c>
      <c r="G57" t="s">
        <v>269</v>
      </c>
      <c r="H57" s="13">
        <v>161677</v>
      </c>
      <c r="I57" s="13"/>
      <c r="J57" s="8">
        <f t="shared" si="0"/>
        <v>161677</v>
      </c>
    </row>
    <row r="58" spans="1:10" x14ac:dyDescent="0.2">
      <c r="A58">
        <v>5100012</v>
      </c>
      <c r="B58" s="8">
        <v>2017</v>
      </c>
      <c r="C58" s="8" t="s">
        <v>309</v>
      </c>
      <c r="D58" s="8" t="s">
        <v>310</v>
      </c>
      <c r="E58" s="8" t="s">
        <v>311</v>
      </c>
      <c r="F58" t="s">
        <v>283</v>
      </c>
      <c r="G58" t="s">
        <v>269</v>
      </c>
      <c r="H58" s="13">
        <v>160914</v>
      </c>
      <c r="I58" s="13"/>
      <c r="J58" s="8">
        <f t="shared" si="0"/>
        <v>160914</v>
      </c>
    </row>
    <row r="59" spans="1:10" x14ac:dyDescent="0.2">
      <c r="A59">
        <v>5100012</v>
      </c>
      <c r="B59" s="8">
        <v>2018</v>
      </c>
      <c r="C59" s="8" t="s">
        <v>309</v>
      </c>
      <c r="D59" s="8" t="s">
        <v>310</v>
      </c>
      <c r="E59" s="8" t="s">
        <v>311</v>
      </c>
      <c r="F59" t="s">
        <v>283</v>
      </c>
      <c r="G59" t="s">
        <v>269</v>
      </c>
      <c r="H59" s="13">
        <v>179115</v>
      </c>
      <c r="I59" s="13"/>
      <c r="J59" s="8">
        <f t="shared" si="0"/>
        <v>179115</v>
      </c>
    </row>
    <row r="60" spans="1:10" x14ac:dyDescent="0.2">
      <c r="A60">
        <v>5100012</v>
      </c>
      <c r="B60" s="8">
        <v>2019</v>
      </c>
      <c r="C60" s="8" t="s">
        <v>309</v>
      </c>
      <c r="D60" s="8" t="s">
        <v>310</v>
      </c>
      <c r="E60" s="8" t="s">
        <v>311</v>
      </c>
      <c r="F60" t="s">
        <v>283</v>
      </c>
      <c r="G60" t="s">
        <v>269</v>
      </c>
      <c r="H60" s="13">
        <v>180599</v>
      </c>
      <c r="I60" s="13"/>
      <c r="J60" s="8">
        <f t="shared" si="0"/>
        <v>180599</v>
      </c>
    </row>
    <row r="61" spans="1:10" x14ac:dyDescent="0.2">
      <c r="A61">
        <v>5100012</v>
      </c>
      <c r="B61" s="8">
        <v>2020</v>
      </c>
      <c r="C61" s="8" t="s">
        <v>309</v>
      </c>
      <c r="D61" s="8" t="s">
        <v>310</v>
      </c>
      <c r="E61" s="8" t="s">
        <v>311</v>
      </c>
      <c r="F61" t="s">
        <v>283</v>
      </c>
      <c r="G61" t="s">
        <v>269</v>
      </c>
      <c r="H61" s="13">
        <v>190435</v>
      </c>
      <c r="I61" s="13"/>
      <c r="J61" s="8">
        <f t="shared" si="0"/>
        <v>190435</v>
      </c>
    </row>
    <row r="62" spans="1:10" x14ac:dyDescent="0.2">
      <c r="A62">
        <v>5100012</v>
      </c>
      <c r="B62" s="8">
        <v>2021</v>
      </c>
      <c r="C62" s="8" t="s">
        <v>309</v>
      </c>
      <c r="D62" s="8" t="s">
        <v>310</v>
      </c>
      <c r="E62" s="8" t="s">
        <v>311</v>
      </c>
      <c r="F62" t="s">
        <v>283</v>
      </c>
      <c r="G62" t="s">
        <v>269</v>
      </c>
      <c r="H62" s="13">
        <v>196907</v>
      </c>
      <c r="I62" s="13">
        <v>8539</v>
      </c>
      <c r="J62" s="8">
        <f t="shared" si="0"/>
        <v>205446</v>
      </c>
    </row>
    <row r="63" spans="1:10" x14ac:dyDescent="0.2">
      <c r="A63">
        <v>5100012</v>
      </c>
      <c r="B63" s="8">
        <v>2022</v>
      </c>
      <c r="C63" s="8" t="s">
        <v>309</v>
      </c>
      <c r="D63" s="8" t="s">
        <v>310</v>
      </c>
      <c r="E63" s="8" t="s">
        <v>311</v>
      </c>
      <c r="F63" t="s">
        <v>283</v>
      </c>
      <c r="G63" t="s">
        <v>269</v>
      </c>
      <c r="H63" s="13">
        <v>200212</v>
      </c>
      <c r="I63" s="13">
        <v>59632</v>
      </c>
      <c r="J63" s="8">
        <f t="shared" si="0"/>
        <v>259844</v>
      </c>
    </row>
    <row r="64" spans="1:10" x14ac:dyDescent="0.2">
      <c r="A64">
        <v>5100012</v>
      </c>
      <c r="B64" s="8">
        <v>2023</v>
      </c>
      <c r="C64" s="8" t="s">
        <v>309</v>
      </c>
      <c r="D64" s="8" t="s">
        <v>310</v>
      </c>
      <c r="E64" s="8" t="s">
        <v>311</v>
      </c>
      <c r="F64" t="s">
        <v>283</v>
      </c>
      <c r="G64" t="s">
        <v>269</v>
      </c>
      <c r="H64" s="13">
        <v>164303</v>
      </c>
      <c r="I64" s="13">
        <v>15350</v>
      </c>
      <c r="J64" s="8">
        <f t="shared" si="0"/>
        <v>179653</v>
      </c>
    </row>
    <row r="65" spans="1:10" x14ac:dyDescent="0.2">
      <c r="A65">
        <v>5100009</v>
      </c>
      <c r="B65" s="8">
        <v>2015</v>
      </c>
      <c r="C65" s="8" t="s">
        <v>309</v>
      </c>
      <c r="D65" s="8" t="s">
        <v>310</v>
      </c>
      <c r="E65" s="8" t="s">
        <v>311</v>
      </c>
      <c r="F65" t="s">
        <v>282</v>
      </c>
      <c r="G65" t="s">
        <v>268</v>
      </c>
      <c r="H65" s="13">
        <v>1095992</v>
      </c>
      <c r="I65" s="13"/>
      <c r="J65" s="8">
        <f t="shared" si="0"/>
        <v>1095992</v>
      </c>
    </row>
    <row r="66" spans="1:10" x14ac:dyDescent="0.2">
      <c r="A66">
        <v>5100009</v>
      </c>
      <c r="B66" s="8">
        <v>2016</v>
      </c>
      <c r="C66" s="8" t="s">
        <v>309</v>
      </c>
      <c r="D66" s="8" t="s">
        <v>310</v>
      </c>
      <c r="E66" s="8" t="s">
        <v>311</v>
      </c>
      <c r="F66" t="s">
        <v>282</v>
      </c>
      <c r="G66" t="s">
        <v>268</v>
      </c>
      <c r="H66" s="13">
        <v>1101176</v>
      </c>
      <c r="I66" s="13"/>
      <c r="J66" s="8">
        <f t="shared" si="0"/>
        <v>1101176</v>
      </c>
    </row>
    <row r="67" spans="1:10" x14ac:dyDescent="0.2">
      <c r="A67">
        <v>5100009</v>
      </c>
      <c r="B67" s="8">
        <v>2017</v>
      </c>
      <c r="C67" s="8" t="s">
        <v>309</v>
      </c>
      <c r="D67" s="8" t="s">
        <v>310</v>
      </c>
      <c r="E67" s="8" t="s">
        <v>311</v>
      </c>
      <c r="F67" t="s">
        <v>282</v>
      </c>
      <c r="G67" t="s">
        <v>268</v>
      </c>
      <c r="H67" s="13">
        <v>1183565</v>
      </c>
      <c r="I67" s="13"/>
      <c r="J67" s="8">
        <f t="shared" ref="J67:J130" si="2">SUM(H67:I67)</f>
        <v>1183565</v>
      </c>
    </row>
    <row r="68" spans="1:10" x14ac:dyDescent="0.2">
      <c r="A68">
        <v>5100009</v>
      </c>
      <c r="B68" s="8">
        <v>2018</v>
      </c>
      <c r="C68" s="8" t="s">
        <v>309</v>
      </c>
      <c r="D68" s="8" t="s">
        <v>310</v>
      </c>
      <c r="E68" s="8" t="s">
        <v>311</v>
      </c>
      <c r="F68" t="s">
        <v>282</v>
      </c>
      <c r="G68" t="s">
        <v>268</v>
      </c>
      <c r="H68" s="13">
        <v>1394319</v>
      </c>
      <c r="I68" s="13"/>
      <c r="J68" s="8">
        <f t="shared" si="2"/>
        <v>1394319</v>
      </c>
    </row>
    <row r="69" spans="1:10" x14ac:dyDescent="0.2">
      <c r="A69">
        <v>5100009</v>
      </c>
      <c r="B69" s="8">
        <v>2019</v>
      </c>
      <c r="C69" s="8" t="s">
        <v>309</v>
      </c>
      <c r="D69" s="8" t="s">
        <v>310</v>
      </c>
      <c r="E69" s="8" t="s">
        <v>311</v>
      </c>
      <c r="F69" t="s">
        <v>282</v>
      </c>
      <c r="G69" t="s">
        <v>268</v>
      </c>
      <c r="H69" s="13">
        <v>1357537</v>
      </c>
      <c r="I69" s="13"/>
      <c r="J69" s="8">
        <f t="shared" si="2"/>
        <v>1357537</v>
      </c>
    </row>
    <row r="70" spans="1:10" x14ac:dyDescent="0.2">
      <c r="A70">
        <v>5100009</v>
      </c>
      <c r="B70" s="8">
        <v>2020</v>
      </c>
      <c r="C70" s="8" t="s">
        <v>309</v>
      </c>
      <c r="D70" s="8" t="s">
        <v>310</v>
      </c>
      <c r="E70" s="8" t="s">
        <v>311</v>
      </c>
      <c r="F70" t="s">
        <v>282</v>
      </c>
      <c r="G70" t="s">
        <v>268</v>
      </c>
      <c r="H70" s="13">
        <v>1374234</v>
      </c>
      <c r="I70" s="13"/>
      <c r="J70" s="8">
        <f t="shared" si="2"/>
        <v>1374234</v>
      </c>
    </row>
    <row r="71" spans="1:10" x14ac:dyDescent="0.2">
      <c r="A71">
        <v>5100009</v>
      </c>
      <c r="B71" s="8">
        <v>2021</v>
      </c>
      <c r="C71" s="8" t="s">
        <v>309</v>
      </c>
      <c r="D71" s="8" t="s">
        <v>310</v>
      </c>
      <c r="E71" s="8" t="s">
        <v>311</v>
      </c>
      <c r="F71" t="s">
        <v>282</v>
      </c>
      <c r="G71" t="s">
        <v>268</v>
      </c>
      <c r="H71" s="13">
        <v>1479512</v>
      </c>
      <c r="I71" s="13">
        <v>64154</v>
      </c>
      <c r="J71" s="8">
        <f t="shared" si="2"/>
        <v>1543666</v>
      </c>
    </row>
    <row r="72" spans="1:10" x14ac:dyDescent="0.2">
      <c r="A72">
        <v>5100009</v>
      </c>
      <c r="B72" s="8">
        <v>2022</v>
      </c>
      <c r="C72" s="8" t="s">
        <v>309</v>
      </c>
      <c r="D72" s="8" t="s">
        <v>310</v>
      </c>
      <c r="E72" s="8" t="s">
        <v>311</v>
      </c>
      <c r="F72" t="s">
        <v>282</v>
      </c>
      <c r="G72" t="s">
        <v>268</v>
      </c>
      <c r="H72" s="13">
        <v>1535641</v>
      </c>
      <c r="I72" s="13">
        <v>457279</v>
      </c>
      <c r="J72" s="8">
        <f t="shared" si="2"/>
        <v>1992920</v>
      </c>
    </row>
    <row r="73" spans="1:10" x14ac:dyDescent="0.2">
      <c r="A73">
        <v>5100009</v>
      </c>
      <c r="B73" s="8">
        <v>2023</v>
      </c>
      <c r="C73" s="8" t="s">
        <v>309</v>
      </c>
      <c r="D73" s="8" t="s">
        <v>310</v>
      </c>
      <c r="E73" s="8" t="s">
        <v>311</v>
      </c>
      <c r="F73" t="s">
        <v>282</v>
      </c>
      <c r="G73" t="s">
        <v>268</v>
      </c>
      <c r="H73" s="13">
        <v>1629031</v>
      </c>
      <c r="I73" s="13">
        <v>152176</v>
      </c>
      <c r="J73" s="8">
        <f t="shared" si="2"/>
        <v>1781207</v>
      </c>
    </row>
    <row r="74" spans="1:10" x14ac:dyDescent="0.2">
      <c r="A74">
        <v>5100004</v>
      </c>
      <c r="B74" s="8">
        <v>2015</v>
      </c>
      <c r="C74" s="8" t="s">
        <v>309</v>
      </c>
      <c r="D74" s="8" t="s">
        <v>310</v>
      </c>
      <c r="E74" s="8" t="s">
        <v>311</v>
      </c>
      <c r="F74" t="s">
        <v>281</v>
      </c>
      <c r="G74" t="s">
        <v>267</v>
      </c>
      <c r="H74" s="13">
        <v>124101</v>
      </c>
      <c r="I74" s="13"/>
      <c r="J74" s="8">
        <f t="shared" si="2"/>
        <v>124101</v>
      </c>
    </row>
    <row r="75" spans="1:10" x14ac:dyDescent="0.2">
      <c r="A75">
        <v>5100004</v>
      </c>
      <c r="B75" s="8">
        <v>2016</v>
      </c>
      <c r="C75" s="8" t="s">
        <v>309</v>
      </c>
      <c r="D75" s="8" t="s">
        <v>310</v>
      </c>
      <c r="E75" s="8" t="s">
        <v>311</v>
      </c>
      <c r="F75" t="s">
        <v>281</v>
      </c>
      <c r="G75" t="s">
        <v>267</v>
      </c>
      <c r="H75" s="13">
        <v>115331</v>
      </c>
      <c r="I75" s="13"/>
      <c r="J75" s="8">
        <f t="shared" si="2"/>
        <v>115331</v>
      </c>
    </row>
    <row r="76" spans="1:10" x14ac:dyDescent="0.2">
      <c r="A76">
        <v>5100004</v>
      </c>
      <c r="B76" s="8">
        <v>2017</v>
      </c>
      <c r="C76" s="8" t="s">
        <v>309</v>
      </c>
      <c r="D76" s="8" t="s">
        <v>310</v>
      </c>
      <c r="E76" s="8" t="s">
        <v>311</v>
      </c>
      <c r="F76" t="s">
        <v>281</v>
      </c>
      <c r="G76" t="s">
        <v>267</v>
      </c>
      <c r="H76" s="13">
        <v>78683</v>
      </c>
      <c r="I76" s="13"/>
      <c r="J76" s="8">
        <f t="shared" si="2"/>
        <v>78683</v>
      </c>
    </row>
    <row r="77" spans="1:10" x14ac:dyDescent="0.2">
      <c r="A77">
        <v>5100004</v>
      </c>
      <c r="B77" s="8">
        <v>2018</v>
      </c>
      <c r="C77" s="8" t="s">
        <v>309</v>
      </c>
      <c r="D77" s="8" t="s">
        <v>310</v>
      </c>
      <c r="E77" s="8" t="s">
        <v>311</v>
      </c>
      <c r="F77" t="s">
        <v>281</v>
      </c>
      <c r="G77" t="s">
        <v>267</v>
      </c>
      <c r="H77" s="13">
        <v>95201</v>
      </c>
      <c r="I77" s="13"/>
      <c r="J77" s="8">
        <f t="shared" si="2"/>
        <v>95201</v>
      </c>
    </row>
    <row r="78" spans="1:10" x14ac:dyDescent="0.2">
      <c r="A78">
        <v>5100004</v>
      </c>
      <c r="B78" s="8">
        <v>2019</v>
      </c>
      <c r="C78" s="8" t="s">
        <v>309</v>
      </c>
      <c r="D78" s="8" t="s">
        <v>310</v>
      </c>
      <c r="E78" s="8" t="s">
        <v>311</v>
      </c>
      <c r="F78" t="s">
        <v>281</v>
      </c>
      <c r="G78" t="s">
        <v>267</v>
      </c>
      <c r="H78" s="13">
        <v>89319</v>
      </c>
      <c r="I78" s="13"/>
      <c r="J78" s="8">
        <f t="shared" si="2"/>
        <v>89319</v>
      </c>
    </row>
    <row r="79" spans="1:10" x14ac:dyDescent="0.2">
      <c r="A79">
        <v>5100004</v>
      </c>
      <c r="B79" s="8">
        <v>2020</v>
      </c>
      <c r="C79" s="8" t="s">
        <v>309</v>
      </c>
      <c r="D79" s="8" t="s">
        <v>310</v>
      </c>
      <c r="E79" s="8" t="s">
        <v>311</v>
      </c>
      <c r="F79" t="s">
        <v>281</v>
      </c>
      <c r="G79" t="s">
        <v>267</v>
      </c>
      <c r="H79" s="13">
        <v>88269</v>
      </c>
      <c r="I79" s="13"/>
      <c r="J79" s="8">
        <f t="shared" si="2"/>
        <v>88269</v>
      </c>
    </row>
    <row r="80" spans="1:10" x14ac:dyDescent="0.2">
      <c r="A80">
        <v>5100004</v>
      </c>
      <c r="B80" s="8">
        <v>2021</v>
      </c>
      <c r="C80" s="8" t="s">
        <v>309</v>
      </c>
      <c r="D80" s="8" t="s">
        <v>310</v>
      </c>
      <c r="E80" s="8" t="s">
        <v>311</v>
      </c>
      <c r="F80" t="s">
        <v>281</v>
      </c>
      <c r="G80" t="s">
        <v>267</v>
      </c>
      <c r="H80" s="13">
        <v>93741</v>
      </c>
      <c r="I80" s="13">
        <v>4067</v>
      </c>
      <c r="J80" s="8">
        <f t="shared" si="2"/>
        <v>97808</v>
      </c>
    </row>
    <row r="81" spans="1:10" x14ac:dyDescent="0.2">
      <c r="A81">
        <v>5100004</v>
      </c>
      <c r="B81" s="8">
        <v>2022</v>
      </c>
      <c r="C81" s="8" t="s">
        <v>309</v>
      </c>
      <c r="D81" s="8" t="s">
        <v>310</v>
      </c>
      <c r="E81" s="8" t="s">
        <v>311</v>
      </c>
      <c r="F81" t="s">
        <v>281</v>
      </c>
      <c r="G81" t="s">
        <v>267</v>
      </c>
      <c r="H81" s="14"/>
      <c r="I81" s="13"/>
      <c r="J81" s="8">
        <f t="shared" si="2"/>
        <v>0</v>
      </c>
    </row>
    <row r="82" spans="1:10" x14ac:dyDescent="0.2">
      <c r="A82">
        <v>5100010</v>
      </c>
      <c r="B82" s="8">
        <v>2015</v>
      </c>
      <c r="C82" s="8" t="s">
        <v>309</v>
      </c>
      <c r="D82" s="8" t="s">
        <v>310</v>
      </c>
      <c r="E82" s="8" t="s">
        <v>311</v>
      </c>
      <c r="F82" t="s">
        <v>280</v>
      </c>
      <c r="G82" t="s">
        <v>266</v>
      </c>
      <c r="H82" s="13">
        <v>196105</v>
      </c>
      <c r="I82" s="13"/>
      <c r="J82" s="8">
        <f t="shared" si="2"/>
        <v>196105</v>
      </c>
    </row>
    <row r="83" spans="1:10" x14ac:dyDescent="0.2">
      <c r="A83">
        <v>5100010</v>
      </c>
      <c r="B83" s="8">
        <v>2016</v>
      </c>
      <c r="C83" s="8" t="s">
        <v>309</v>
      </c>
      <c r="D83" s="8" t="s">
        <v>310</v>
      </c>
      <c r="E83" s="8" t="s">
        <v>311</v>
      </c>
      <c r="F83" t="s">
        <v>280</v>
      </c>
      <c r="G83" t="s">
        <v>266</v>
      </c>
      <c r="H83" s="13">
        <v>205814</v>
      </c>
      <c r="I83" s="13"/>
      <c r="J83" s="8">
        <f t="shared" si="2"/>
        <v>205814</v>
      </c>
    </row>
    <row r="84" spans="1:10" x14ac:dyDescent="0.2">
      <c r="A84">
        <v>5100010</v>
      </c>
      <c r="B84" s="8">
        <v>2017</v>
      </c>
      <c r="C84" s="8" t="s">
        <v>309</v>
      </c>
      <c r="D84" s="8" t="s">
        <v>310</v>
      </c>
      <c r="E84" s="8" t="s">
        <v>311</v>
      </c>
      <c r="F84" t="s">
        <v>280</v>
      </c>
      <c r="G84" t="s">
        <v>266</v>
      </c>
      <c r="H84" s="13">
        <v>192728</v>
      </c>
      <c r="I84" s="13"/>
      <c r="J84" s="8">
        <f t="shared" si="2"/>
        <v>192728</v>
      </c>
    </row>
    <row r="85" spans="1:10" x14ac:dyDescent="0.2">
      <c r="A85">
        <v>5100010</v>
      </c>
      <c r="B85" s="8">
        <v>2018</v>
      </c>
      <c r="C85" s="8" t="s">
        <v>309</v>
      </c>
      <c r="D85" s="8" t="s">
        <v>310</v>
      </c>
      <c r="E85" s="8" t="s">
        <v>311</v>
      </c>
      <c r="F85" t="s">
        <v>280</v>
      </c>
      <c r="G85" t="s">
        <v>266</v>
      </c>
      <c r="H85" s="14"/>
      <c r="I85" s="13"/>
      <c r="J85" s="8">
        <f t="shared" si="2"/>
        <v>0</v>
      </c>
    </row>
    <row r="86" spans="1:10" x14ac:dyDescent="0.2">
      <c r="A86">
        <v>5100010</v>
      </c>
      <c r="B86" s="8">
        <v>2019</v>
      </c>
      <c r="C86" s="8" t="s">
        <v>309</v>
      </c>
      <c r="D86" s="8" t="s">
        <v>310</v>
      </c>
      <c r="E86" s="8" t="s">
        <v>311</v>
      </c>
      <c r="F86" t="s">
        <v>280</v>
      </c>
      <c r="G86" t="s">
        <v>266</v>
      </c>
      <c r="H86" s="13"/>
      <c r="I86" s="13"/>
      <c r="J86" s="8">
        <f t="shared" si="2"/>
        <v>0</v>
      </c>
    </row>
    <row r="87" spans="1:10" x14ac:dyDescent="0.2">
      <c r="A87">
        <v>5100003</v>
      </c>
      <c r="B87" s="8">
        <v>2015</v>
      </c>
      <c r="C87" s="8" t="s">
        <v>309</v>
      </c>
      <c r="D87" s="8" t="s">
        <v>310</v>
      </c>
      <c r="E87" s="8" t="s">
        <v>311</v>
      </c>
      <c r="F87" t="s">
        <v>279</v>
      </c>
      <c r="G87" t="s">
        <v>295</v>
      </c>
      <c r="H87" s="13">
        <v>134160</v>
      </c>
      <c r="I87" s="13"/>
      <c r="J87" s="8">
        <f t="shared" si="2"/>
        <v>134160</v>
      </c>
    </row>
    <row r="88" spans="1:10" x14ac:dyDescent="0.2">
      <c r="A88">
        <v>5100003</v>
      </c>
      <c r="B88" s="8">
        <v>2016</v>
      </c>
      <c r="C88" s="8" t="s">
        <v>309</v>
      </c>
      <c r="D88" s="8" t="s">
        <v>310</v>
      </c>
      <c r="E88" s="8" t="s">
        <v>311</v>
      </c>
      <c r="F88" t="s">
        <v>279</v>
      </c>
      <c r="G88" t="s">
        <v>295</v>
      </c>
      <c r="H88" s="13">
        <v>148330</v>
      </c>
      <c r="I88" s="13"/>
      <c r="J88" s="8">
        <f t="shared" si="2"/>
        <v>148330</v>
      </c>
    </row>
    <row r="89" spans="1:10" x14ac:dyDescent="0.2">
      <c r="A89">
        <v>5100003</v>
      </c>
      <c r="B89" s="8">
        <v>2017</v>
      </c>
      <c r="C89" s="8" t="s">
        <v>309</v>
      </c>
      <c r="D89" s="8" t="s">
        <v>310</v>
      </c>
      <c r="E89" s="8" t="s">
        <v>311</v>
      </c>
      <c r="F89" t="s">
        <v>279</v>
      </c>
      <c r="G89" t="s">
        <v>295</v>
      </c>
      <c r="H89" s="13">
        <v>166936</v>
      </c>
      <c r="I89" s="13"/>
      <c r="J89" s="8">
        <f t="shared" si="2"/>
        <v>166936</v>
      </c>
    </row>
    <row r="90" spans="1:10" x14ac:dyDescent="0.2">
      <c r="A90">
        <v>5100003</v>
      </c>
      <c r="B90" s="8">
        <v>2018</v>
      </c>
      <c r="C90" s="8" t="s">
        <v>309</v>
      </c>
      <c r="D90" s="8" t="s">
        <v>310</v>
      </c>
      <c r="E90" s="8" t="s">
        <v>311</v>
      </c>
      <c r="F90" t="s">
        <v>279</v>
      </c>
      <c r="G90" t="s">
        <v>295</v>
      </c>
      <c r="H90" s="13">
        <v>159876</v>
      </c>
      <c r="I90" s="13"/>
      <c r="J90" s="8">
        <f t="shared" si="2"/>
        <v>159876</v>
      </c>
    </row>
    <row r="91" spans="1:10" x14ac:dyDescent="0.2">
      <c r="A91">
        <v>5100003</v>
      </c>
      <c r="B91" s="8">
        <v>2019</v>
      </c>
      <c r="C91" s="8" t="s">
        <v>309</v>
      </c>
      <c r="D91" s="8" t="s">
        <v>310</v>
      </c>
      <c r="E91" s="8" t="s">
        <v>311</v>
      </c>
      <c r="F91" t="s">
        <v>279</v>
      </c>
      <c r="G91" t="s">
        <v>295</v>
      </c>
      <c r="H91" s="13">
        <v>182898</v>
      </c>
      <c r="I91" s="13"/>
      <c r="J91" s="8">
        <f t="shared" si="2"/>
        <v>182898</v>
      </c>
    </row>
    <row r="92" spans="1:10" x14ac:dyDescent="0.2">
      <c r="A92">
        <v>5100003</v>
      </c>
      <c r="B92" s="8">
        <v>2020</v>
      </c>
      <c r="C92" s="8" t="s">
        <v>309</v>
      </c>
      <c r="D92" s="8" t="s">
        <v>310</v>
      </c>
      <c r="E92" s="8" t="s">
        <v>311</v>
      </c>
      <c r="F92" t="s">
        <v>279</v>
      </c>
      <c r="G92" t="s">
        <v>295</v>
      </c>
      <c r="H92" s="13">
        <v>188995</v>
      </c>
      <c r="I92" s="13"/>
      <c r="J92" s="8">
        <f t="shared" si="2"/>
        <v>188995</v>
      </c>
    </row>
    <row r="93" spans="1:10" x14ac:dyDescent="0.2">
      <c r="A93">
        <v>5100003</v>
      </c>
      <c r="B93" s="8">
        <v>2021</v>
      </c>
      <c r="C93" s="8" t="s">
        <v>309</v>
      </c>
      <c r="D93" s="8" t="s">
        <v>310</v>
      </c>
      <c r="E93" s="8" t="s">
        <v>311</v>
      </c>
      <c r="F93" t="s">
        <v>279</v>
      </c>
      <c r="G93" t="s">
        <v>295</v>
      </c>
      <c r="H93" s="13">
        <v>199862</v>
      </c>
      <c r="I93" s="13">
        <v>8668</v>
      </c>
      <c r="J93" s="8">
        <f t="shared" si="2"/>
        <v>208530</v>
      </c>
    </row>
    <row r="94" spans="1:10" x14ac:dyDescent="0.2">
      <c r="A94">
        <v>5100003</v>
      </c>
      <c r="B94" s="8">
        <v>2022</v>
      </c>
      <c r="C94" s="8" t="s">
        <v>309</v>
      </c>
      <c r="D94" s="8" t="s">
        <v>310</v>
      </c>
      <c r="E94" s="8" t="s">
        <v>311</v>
      </c>
      <c r="F94" t="s">
        <v>279</v>
      </c>
      <c r="G94" t="s">
        <v>295</v>
      </c>
      <c r="H94" s="13">
        <v>240712</v>
      </c>
      <c r="I94" s="13">
        <v>71664</v>
      </c>
      <c r="J94" s="8">
        <f t="shared" si="2"/>
        <v>312376</v>
      </c>
    </row>
    <row r="95" spans="1:10" x14ac:dyDescent="0.2">
      <c r="A95">
        <v>5100003</v>
      </c>
      <c r="B95" s="8">
        <v>2023</v>
      </c>
      <c r="C95" s="8" t="s">
        <v>309</v>
      </c>
      <c r="D95" s="8" t="s">
        <v>310</v>
      </c>
      <c r="E95" s="8" t="s">
        <v>311</v>
      </c>
      <c r="F95" t="s">
        <v>279</v>
      </c>
      <c r="G95" t="s">
        <v>295</v>
      </c>
      <c r="H95" s="13">
        <v>272576</v>
      </c>
      <c r="I95" s="13">
        <v>25466</v>
      </c>
      <c r="J95" s="8">
        <f t="shared" si="2"/>
        <v>298042</v>
      </c>
    </row>
    <row r="96" spans="1:10" x14ac:dyDescent="0.2">
      <c r="A96">
        <v>5100008</v>
      </c>
      <c r="B96" s="8">
        <v>2015</v>
      </c>
      <c r="C96" s="8" t="s">
        <v>309</v>
      </c>
      <c r="D96" s="8" t="s">
        <v>310</v>
      </c>
      <c r="E96" s="8" t="s">
        <v>311</v>
      </c>
      <c r="F96" t="s">
        <v>278</v>
      </c>
      <c r="G96" t="s">
        <v>264</v>
      </c>
      <c r="H96" s="13">
        <v>281474</v>
      </c>
      <c r="I96" s="13"/>
      <c r="J96" s="8">
        <f t="shared" si="2"/>
        <v>281474</v>
      </c>
    </row>
    <row r="97" spans="1:10" x14ac:dyDescent="0.2">
      <c r="A97">
        <v>5100008</v>
      </c>
      <c r="B97" s="8">
        <v>2016</v>
      </c>
      <c r="C97" s="8" t="s">
        <v>309</v>
      </c>
      <c r="D97" s="8" t="s">
        <v>310</v>
      </c>
      <c r="E97" s="8" t="s">
        <v>311</v>
      </c>
      <c r="F97" t="s">
        <v>278</v>
      </c>
      <c r="G97" t="s">
        <v>264</v>
      </c>
      <c r="H97" s="13">
        <v>271925</v>
      </c>
      <c r="I97" s="13"/>
      <c r="J97" s="8">
        <f t="shared" si="2"/>
        <v>271925</v>
      </c>
    </row>
    <row r="98" spans="1:10" x14ac:dyDescent="0.2">
      <c r="A98">
        <v>5100008</v>
      </c>
      <c r="B98" s="8">
        <v>2017</v>
      </c>
      <c r="C98" s="8" t="s">
        <v>309</v>
      </c>
      <c r="D98" s="8" t="s">
        <v>310</v>
      </c>
      <c r="E98" s="8" t="s">
        <v>311</v>
      </c>
      <c r="F98" t="s">
        <v>278</v>
      </c>
      <c r="G98" t="s">
        <v>264</v>
      </c>
      <c r="H98" s="13">
        <v>285538</v>
      </c>
      <c r="I98" s="13"/>
      <c r="J98" s="8">
        <f t="shared" si="2"/>
        <v>285538</v>
      </c>
    </row>
    <row r="99" spans="1:10" x14ac:dyDescent="0.2">
      <c r="A99">
        <v>5100008</v>
      </c>
      <c r="B99" s="8">
        <v>2018</v>
      </c>
      <c r="C99" s="8" t="s">
        <v>309</v>
      </c>
      <c r="D99" s="8" t="s">
        <v>310</v>
      </c>
      <c r="E99" s="8" t="s">
        <v>311</v>
      </c>
      <c r="F99" t="s">
        <v>278</v>
      </c>
      <c r="G99" t="s">
        <v>264</v>
      </c>
      <c r="H99" s="13">
        <v>311553</v>
      </c>
      <c r="I99" s="13"/>
      <c r="J99" s="8">
        <f t="shared" si="2"/>
        <v>311553</v>
      </c>
    </row>
    <row r="100" spans="1:10" x14ac:dyDescent="0.2">
      <c r="A100">
        <v>5100008</v>
      </c>
      <c r="B100" s="8">
        <v>2019</v>
      </c>
      <c r="C100" s="8" t="s">
        <v>309</v>
      </c>
      <c r="D100" s="8" t="s">
        <v>310</v>
      </c>
      <c r="E100" s="8" t="s">
        <v>311</v>
      </c>
      <c r="F100" t="s">
        <v>278</v>
      </c>
      <c r="G100" t="s">
        <v>264</v>
      </c>
      <c r="H100" s="13">
        <v>308280</v>
      </c>
      <c r="I100" s="13"/>
      <c r="J100" s="8">
        <f t="shared" si="2"/>
        <v>308280</v>
      </c>
    </row>
    <row r="101" spans="1:10" x14ac:dyDescent="0.2">
      <c r="A101">
        <v>5100008</v>
      </c>
      <c r="B101" s="8">
        <v>2020</v>
      </c>
      <c r="C101" s="8" t="s">
        <v>309</v>
      </c>
      <c r="D101" s="8" t="s">
        <v>310</v>
      </c>
      <c r="E101" s="8" t="s">
        <v>311</v>
      </c>
      <c r="F101" t="s">
        <v>278</v>
      </c>
      <c r="G101" t="s">
        <v>264</v>
      </c>
      <c r="H101" s="13">
        <v>314648</v>
      </c>
      <c r="I101" s="13"/>
      <c r="J101" s="8">
        <f t="shared" si="2"/>
        <v>314648</v>
      </c>
    </row>
    <row r="102" spans="1:10" x14ac:dyDescent="0.2">
      <c r="A102">
        <v>5100008</v>
      </c>
      <c r="B102" s="8">
        <v>2021</v>
      </c>
      <c r="C102" s="8" t="s">
        <v>309</v>
      </c>
      <c r="D102" s="8" t="s">
        <v>310</v>
      </c>
      <c r="E102" s="8" t="s">
        <v>311</v>
      </c>
      <c r="F102" t="s">
        <v>278</v>
      </c>
      <c r="G102" t="s">
        <v>264</v>
      </c>
      <c r="H102" s="13">
        <v>318175</v>
      </c>
      <c r="I102" s="13">
        <v>13796</v>
      </c>
      <c r="J102" s="8">
        <f t="shared" si="2"/>
        <v>331971</v>
      </c>
    </row>
    <row r="103" spans="1:10" x14ac:dyDescent="0.2">
      <c r="A103">
        <v>5100008</v>
      </c>
      <c r="B103" s="8">
        <v>2022</v>
      </c>
      <c r="C103" s="8" t="s">
        <v>309</v>
      </c>
      <c r="D103" s="8" t="s">
        <v>310</v>
      </c>
      <c r="E103" s="8" t="s">
        <v>311</v>
      </c>
      <c r="F103" t="s">
        <v>278</v>
      </c>
      <c r="G103" t="s">
        <v>264</v>
      </c>
      <c r="H103" s="13">
        <v>324497</v>
      </c>
      <c r="I103" s="13">
        <v>96614</v>
      </c>
      <c r="J103" s="8">
        <f t="shared" si="2"/>
        <v>421111</v>
      </c>
    </row>
    <row r="104" spans="1:10" x14ac:dyDescent="0.2">
      <c r="A104">
        <v>5100008</v>
      </c>
      <c r="B104" s="8">
        <v>2023</v>
      </c>
      <c r="C104" s="8" t="s">
        <v>309</v>
      </c>
      <c r="D104" s="8" t="s">
        <v>310</v>
      </c>
      <c r="E104" s="8" t="s">
        <v>311</v>
      </c>
      <c r="F104" t="s">
        <v>278</v>
      </c>
      <c r="G104" t="s">
        <v>264</v>
      </c>
      <c r="H104" s="13">
        <v>369291</v>
      </c>
      <c r="I104" s="13">
        <v>34490</v>
      </c>
      <c r="J104" s="8">
        <f t="shared" si="2"/>
        <v>403781</v>
      </c>
    </row>
    <row r="105" spans="1:10" x14ac:dyDescent="0.2">
      <c r="A105">
        <v>5102980</v>
      </c>
      <c r="B105" s="8">
        <v>2015</v>
      </c>
      <c r="C105" s="8" t="s">
        <v>309</v>
      </c>
      <c r="D105" s="8" t="s">
        <v>310</v>
      </c>
      <c r="E105" s="8" t="s">
        <v>311</v>
      </c>
      <c r="F105" t="s">
        <v>277</v>
      </c>
      <c r="G105" t="s">
        <v>263</v>
      </c>
      <c r="H105" s="13">
        <v>1582804</v>
      </c>
      <c r="I105" s="13"/>
      <c r="J105" s="8">
        <f t="shared" si="2"/>
        <v>1582804</v>
      </c>
    </row>
    <row r="106" spans="1:10" x14ac:dyDescent="0.2">
      <c r="A106">
        <v>5102980</v>
      </c>
      <c r="B106" s="8">
        <v>2016</v>
      </c>
      <c r="C106" s="8" t="s">
        <v>309</v>
      </c>
      <c r="D106" s="8" t="s">
        <v>310</v>
      </c>
      <c r="E106" s="8" t="s">
        <v>311</v>
      </c>
      <c r="F106" t="s">
        <v>277</v>
      </c>
      <c r="G106" t="s">
        <v>263</v>
      </c>
      <c r="H106" s="13">
        <v>1559524</v>
      </c>
      <c r="I106" s="13"/>
      <c r="J106" s="8">
        <f t="shared" si="2"/>
        <v>1559524</v>
      </c>
    </row>
    <row r="107" spans="1:10" x14ac:dyDescent="0.2">
      <c r="A107">
        <v>5102980</v>
      </c>
      <c r="B107" s="8">
        <v>2017</v>
      </c>
      <c r="C107" s="8" t="s">
        <v>309</v>
      </c>
      <c r="D107" s="8" t="s">
        <v>310</v>
      </c>
      <c r="E107" s="8" t="s">
        <v>311</v>
      </c>
      <c r="F107" t="s">
        <v>277</v>
      </c>
      <c r="G107" t="s">
        <v>263</v>
      </c>
      <c r="H107" s="13">
        <v>1664914</v>
      </c>
      <c r="I107" s="13"/>
      <c r="J107" s="8">
        <f t="shared" si="2"/>
        <v>1664914</v>
      </c>
    </row>
    <row r="108" spans="1:10" x14ac:dyDescent="0.2">
      <c r="A108">
        <v>5102980</v>
      </c>
      <c r="B108" s="8">
        <v>2018</v>
      </c>
      <c r="C108" s="8" t="s">
        <v>309</v>
      </c>
      <c r="D108" s="8" t="s">
        <v>310</v>
      </c>
      <c r="E108" s="8" t="s">
        <v>311</v>
      </c>
      <c r="F108" t="s">
        <v>277</v>
      </c>
      <c r="G108" t="s">
        <v>263</v>
      </c>
      <c r="H108" s="13">
        <v>1861082</v>
      </c>
      <c r="I108" s="13"/>
      <c r="J108" s="8">
        <f t="shared" si="2"/>
        <v>1861082</v>
      </c>
    </row>
    <row r="109" spans="1:10" x14ac:dyDescent="0.2">
      <c r="A109">
        <v>5102980</v>
      </c>
      <c r="B109" s="8">
        <v>2019</v>
      </c>
      <c r="C109" s="8" t="s">
        <v>309</v>
      </c>
      <c r="D109" s="8" t="s">
        <v>310</v>
      </c>
      <c r="E109" s="8" t="s">
        <v>311</v>
      </c>
      <c r="F109" t="s">
        <v>277</v>
      </c>
      <c r="G109" t="s">
        <v>263</v>
      </c>
      <c r="H109" s="13">
        <v>1816800</v>
      </c>
      <c r="I109" s="13"/>
      <c r="J109" s="8">
        <f t="shared" si="2"/>
        <v>1816800</v>
      </c>
    </row>
    <row r="110" spans="1:10" x14ac:dyDescent="0.2">
      <c r="A110">
        <v>5102980</v>
      </c>
      <c r="B110" s="8">
        <v>2020</v>
      </c>
      <c r="C110" s="8" t="s">
        <v>309</v>
      </c>
      <c r="D110" s="8" t="s">
        <v>310</v>
      </c>
      <c r="E110" s="8" t="s">
        <v>311</v>
      </c>
      <c r="F110" t="s">
        <v>277</v>
      </c>
      <c r="G110" t="s">
        <v>263</v>
      </c>
      <c r="H110" s="13">
        <v>1865884</v>
      </c>
      <c r="I110" s="13"/>
      <c r="J110" s="8">
        <f t="shared" si="2"/>
        <v>1865884</v>
      </c>
    </row>
    <row r="111" spans="1:10" x14ac:dyDescent="0.2">
      <c r="A111">
        <v>5102980</v>
      </c>
      <c r="B111" s="8">
        <v>2021</v>
      </c>
      <c r="C111" s="8" t="s">
        <v>309</v>
      </c>
      <c r="D111" s="8" t="s">
        <v>310</v>
      </c>
      <c r="E111" s="8" t="s">
        <v>311</v>
      </c>
      <c r="F111" t="s">
        <v>277</v>
      </c>
      <c r="G111" t="s">
        <v>263</v>
      </c>
      <c r="H111" s="13">
        <v>1952024</v>
      </c>
      <c r="I111" s="13">
        <v>84643</v>
      </c>
      <c r="J111" s="8">
        <f t="shared" si="2"/>
        <v>2036667</v>
      </c>
    </row>
    <row r="112" spans="1:10" x14ac:dyDescent="0.2">
      <c r="A112">
        <v>5102980</v>
      </c>
      <c r="B112" s="8">
        <v>2022</v>
      </c>
      <c r="C112" s="8" t="s">
        <v>309</v>
      </c>
      <c r="D112" s="8" t="s">
        <v>310</v>
      </c>
      <c r="E112" s="8" t="s">
        <v>311</v>
      </c>
      <c r="F112" t="s">
        <v>277</v>
      </c>
      <c r="G112" t="s">
        <v>263</v>
      </c>
      <c r="H112" s="13">
        <v>1991245</v>
      </c>
      <c r="I112" s="13">
        <v>592954</v>
      </c>
      <c r="J112" s="8">
        <f t="shared" si="2"/>
        <v>2584199</v>
      </c>
    </row>
    <row r="113" spans="1:10" x14ac:dyDescent="0.2">
      <c r="A113">
        <v>5102980</v>
      </c>
      <c r="B113" s="8">
        <v>2023</v>
      </c>
      <c r="C113" s="8" t="s">
        <v>309</v>
      </c>
      <c r="D113" s="8" t="s">
        <v>310</v>
      </c>
      <c r="E113" s="8" t="s">
        <v>311</v>
      </c>
      <c r="F113" t="s">
        <v>277</v>
      </c>
      <c r="G113" t="s">
        <v>263</v>
      </c>
      <c r="H113" s="13">
        <v>2012018</v>
      </c>
      <c r="I113" s="13">
        <v>187949</v>
      </c>
      <c r="J113" s="8">
        <f t="shared" si="2"/>
        <v>2199967</v>
      </c>
    </row>
    <row r="114" spans="1:10" x14ac:dyDescent="0.2">
      <c r="A114">
        <v>5104020</v>
      </c>
      <c r="B114" s="8">
        <v>2015</v>
      </c>
      <c r="C114" s="8" t="s">
        <v>309</v>
      </c>
      <c r="D114" s="8" t="s">
        <v>310</v>
      </c>
      <c r="E114" s="8" t="s">
        <v>311</v>
      </c>
      <c r="F114" t="s">
        <v>276</v>
      </c>
      <c r="G114" t="s">
        <v>294</v>
      </c>
      <c r="H114" s="13">
        <v>9475729</v>
      </c>
      <c r="I114" s="13"/>
      <c r="J114" s="8">
        <f t="shared" si="2"/>
        <v>9475729</v>
      </c>
    </row>
    <row r="115" spans="1:10" x14ac:dyDescent="0.2">
      <c r="A115">
        <v>5104020</v>
      </c>
      <c r="B115" s="8">
        <v>2016</v>
      </c>
      <c r="C115" s="8" t="s">
        <v>309</v>
      </c>
      <c r="D115" s="8" t="s">
        <v>310</v>
      </c>
      <c r="E115" s="8" t="s">
        <v>311</v>
      </c>
      <c r="F115" t="s">
        <v>276</v>
      </c>
      <c r="G115" t="s">
        <v>294</v>
      </c>
      <c r="H115" s="13">
        <v>9337700</v>
      </c>
      <c r="I115" s="13"/>
      <c r="J115" s="8">
        <f t="shared" si="2"/>
        <v>9337700</v>
      </c>
    </row>
    <row r="116" spans="1:10" x14ac:dyDescent="0.2">
      <c r="A116">
        <v>5104020</v>
      </c>
      <c r="B116" s="8">
        <v>2017</v>
      </c>
      <c r="C116" s="8" t="s">
        <v>309</v>
      </c>
      <c r="D116" s="8" t="s">
        <v>310</v>
      </c>
      <c r="E116" s="8" t="s">
        <v>311</v>
      </c>
      <c r="F116" t="s">
        <v>276</v>
      </c>
      <c r="G116" t="s">
        <v>294</v>
      </c>
      <c r="H116" s="13">
        <v>9826488</v>
      </c>
      <c r="I116" s="13"/>
      <c r="J116" s="8">
        <f t="shared" si="2"/>
        <v>9826488</v>
      </c>
    </row>
    <row r="117" spans="1:10" x14ac:dyDescent="0.2">
      <c r="A117">
        <v>5104020</v>
      </c>
      <c r="B117" s="8">
        <v>2018</v>
      </c>
      <c r="C117" s="8" t="s">
        <v>309</v>
      </c>
      <c r="D117" s="8" t="s">
        <v>310</v>
      </c>
      <c r="E117" s="8" t="s">
        <v>311</v>
      </c>
      <c r="F117" t="s">
        <v>276</v>
      </c>
      <c r="G117" t="s">
        <v>294</v>
      </c>
      <c r="H117" s="13">
        <v>10985768</v>
      </c>
      <c r="I117" s="13"/>
      <c r="J117" s="8">
        <f t="shared" si="2"/>
        <v>10985768</v>
      </c>
    </row>
    <row r="118" spans="1:10" x14ac:dyDescent="0.2">
      <c r="A118">
        <v>5104020</v>
      </c>
      <c r="B118" s="8">
        <v>2019</v>
      </c>
      <c r="C118" s="8" t="s">
        <v>309</v>
      </c>
      <c r="D118" s="8" t="s">
        <v>310</v>
      </c>
      <c r="E118" s="8" t="s">
        <v>311</v>
      </c>
      <c r="F118" t="s">
        <v>276</v>
      </c>
      <c r="G118" t="s">
        <v>294</v>
      </c>
      <c r="H118" s="13">
        <v>11049526</v>
      </c>
      <c r="I118" s="13"/>
      <c r="J118" s="8">
        <f t="shared" si="2"/>
        <v>11049526</v>
      </c>
    </row>
    <row r="119" spans="1:10" x14ac:dyDescent="0.2">
      <c r="A119">
        <v>5104020</v>
      </c>
      <c r="B119" s="8">
        <v>2020</v>
      </c>
      <c r="C119" s="8" t="s">
        <v>309</v>
      </c>
      <c r="D119" s="8" t="s">
        <v>310</v>
      </c>
      <c r="E119" s="8" t="s">
        <v>311</v>
      </c>
      <c r="F119" t="s">
        <v>276</v>
      </c>
      <c r="G119" t="s">
        <v>294</v>
      </c>
      <c r="H119" s="13">
        <v>11398500</v>
      </c>
      <c r="I119" s="13"/>
      <c r="J119" s="8">
        <f t="shared" si="2"/>
        <v>11398500</v>
      </c>
    </row>
    <row r="120" spans="1:10" x14ac:dyDescent="0.2">
      <c r="A120">
        <v>5104020</v>
      </c>
      <c r="B120" s="8">
        <v>2021</v>
      </c>
      <c r="C120" s="8" t="s">
        <v>309</v>
      </c>
      <c r="D120" s="8" t="s">
        <v>310</v>
      </c>
      <c r="E120" s="8" t="s">
        <v>311</v>
      </c>
      <c r="F120" t="s">
        <v>276</v>
      </c>
      <c r="G120" t="s">
        <v>294</v>
      </c>
      <c r="H120" s="13">
        <v>11795631</v>
      </c>
      <c r="I120" s="13">
        <v>511470</v>
      </c>
      <c r="J120" s="8">
        <f t="shared" si="2"/>
        <v>12307101</v>
      </c>
    </row>
    <row r="121" spans="1:10" x14ac:dyDescent="0.2">
      <c r="A121">
        <v>5104020</v>
      </c>
      <c r="B121" s="8">
        <v>2022</v>
      </c>
      <c r="C121" s="8" t="s">
        <v>309</v>
      </c>
      <c r="D121" s="8" t="s">
        <v>310</v>
      </c>
      <c r="E121" s="8" t="s">
        <v>311</v>
      </c>
      <c r="F121" t="s">
        <v>276</v>
      </c>
      <c r="G121" t="s">
        <v>294</v>
      </c>
      <c r="H121" s="13">
        <v>12733640</v>
      </c>
      <c r="I121" s="13">
        <v>3791828</v>
      </c>
      <c r="J121" s="8">
        <f t="shared" si="2"/>
        <v>16525468</v>
      </c>
    </row>
    <row r="122" spans="1:10" x14ac:dyDescent="0.2">
      <c r="A122">
        <v>5104020</v>
      </c>
      <c r="B122" s="8">
        <v>2023</v>
      </c>
      <c r="C122" s="8" t="s">
        <v>309</v>
      </c>
      <c r="D122" s="8" t="s">
        <v>310</v>
      </c>
      <c r="E122" s="8" t="s">
        <v>311</v>
      </c>
      <c r="F122" t="s">
        <v>276</v>
      </c>
      <c r="G122" t="s">
        <v>294</v>
      </c>
      <c r="H122" s="13">
        <v>13438534</v>
      </c>
      <c r="I122" s="13">
        <v>1255331</v>
      </c>
      <c r="J122" s="8">
        <f t="shared" si="2"/>
        <v>14693865</v>
      </c>
    </row>
    <row r="123" spans="1:10" x14ac:dyDescent="0.2">
      <c r="A123">
        <v>5103460</v>
      </c>
      <c r="B123" s="8">
        <v>2015</v>
      </c>
      <c r="C123" s="8" t="s">
        <v>309</v>
      </c>
      <c r="D123" s="8" t="s">
        <v>310</v>
      </c>
      <c r="E123" s="8" t="s">
        <v>311</v>
      </c>
      <c r="F123" t="s">
        <v>261</v>
      </c>
      <c r="G123" t="s">
        <v>228</v>
      </c>
      <c r="H123" s="13">
        <v>3078454</v>
      </c>
      <c r="I123" s="13"/>
      <c r="J123" s="8">
        <f t="shared" si="2"/>
        <v>3078454</v>
      </c>
    </row>
    <row r="124" spans="1:10" x14ac:dyDescent="0.2">
      <c r="A124">
        <v>5103460</v>
      </c>
      <c r="B124" s="8">
        <v>2016</v>
      </c>
      <c r="C124" s="8" t="s">
        <v>309</v>
      </c>
      <c r="D124" s="8" t="s">
        <v>310</v>
      </c>
      <c r="E124" s="8" t="s">
        <v>311</v>
      </c>
      <c r="F124" t="s">
        <v>261</v>
      </c>
      <c r="G124" t="s">
        <v>228</v>
      </c>
      <c r="H124" s="13">
        <v>3004414</v>
      </c>
      <c r="I124" s="13"/>
      <c r="J124" s="8">
        <f t="shared" si="2"/>
        <v>3004414</v>
      </c>
    </row>
    <row r="125" spans="1:10" x14ac:dyDescent="0.2">
      <c r="A125">
        <v>5103460</v>
      </c>
      <c r="B125" s="8">
        <v>2017</v>
      </c>
      <c r="C125" s="8" t="s">
        <v>309</v>
      </c>
      <c r="D125" s="8" t="s">
        <v>310</v>
      </c>
      <c r="E125" s="8" t="s">
        <v>311</v>
      </c>
      <c r="F125" t="s">
        <v>261</v>
      </c>
      <c r="G125" t="s">
        <v>228</v>
      </c>
      <c r="H125" s="13">
        <v>3172295</v>
      </c>
      <c r="I125" s="13"/>
      <c r="J125" s="8">
        <f t="shared" si="2"/>
        <v>3172295</v>
      </c>
    </row>
    <row r="126" spans="1:10" x14ac:dyDescent="0.2">
      <c r="A126">
        <v>5103460</v>
      </c>
      <c r="B126" s="8">
        <v>2018</v>
      </c>
      <c r="C126" s="8" t="s">
        <v>309</v>
      </c>
      <c r="D126" s="8" t="s">
        <v>310</v>
      </c>
      <c r="E126" s="8" t="s">
        <v>311</v>
      </c>
      <c r="F126" t="s">
        <v>261</v>
      </c>
      <c r="G126" t="s">
        <v>228</v>
      </c>
      <c r="H126" s="13">
        <v>3639321</v>
      </c>
      <c r="I126" s="13"/>
      <c r="J126" s="8">
        <f t="shared" si="2"/>
        <v>3639321</v>
      </c>
    </row>
    <row r="127" spans="1:10" x14ac:dyDescent="0.2">
      <c r="A127">
        <v>5103460</v>
      </c>
      <c r="B127" s="8">
        <v>2019</v>
      </c>
      <c r="C127" s="8" t="s">
        <v>309</v>
      </c>
      <c r="D127" s="8" t="s">
        <v>310</v>
      </c>
      <c r="E127" s="8" t="s">
        <v>311</v>
      </c>
      <c r="F127" t="s">
        <v>261</v>
      </c>
      <c r="G127" t="s">
        <v>228</v>
      </c>
      <c r="H127" s="13">
        <v>3538775</v>
      </c>
      <c r="I127" s="13"/>
      <c r="J127" s="8">
        <f t="shared" si="2"/>
        <v>3538775</v>
      </c>
    </row>
    <row r="128" spans="1:10" x14ac:dyDescent="0.2">
      <c r="A128">
        <v>5103460</v>
      </c>
      <c r="B128" s="8">
        <v>2020</v>
      </c>
      <c r="C128" s="8" t="s">
        <v>309</v>
      </c>
      <c r="D128" s="8" t="s">
        <v>310</v>
      </c>
      <c r="E128" s="8" t="s">
        <v>311</v>
      </c>
      <c r="F128" t="s">
        <v>261</v>
      </c>
      <c r="G128" t="s">
        <v>228</v>
      </c>
      <c r="H128" s="13">
        <v>3630503</v>
      </c>
      <c r="I128" s="13"/>
      <c r="J128" s="8">
        <f t="shared" si="2"/>
        <v>3630503</v>
      </c>
    </row>
    <row r="129" spans="1:10" x14ac:dyDescent="0.2">
      <c r="A129">
        <v>5103460</v>
      </c>
      <c r="B129" s="8">
        <v>2021</v>
      </c>
      <c r="C129" s="8" t="s">
        <v>309</v>
      </c>
      <c r="D129" s="8" t="s">
        <v>310</v>
      </c>
      <c r="E129" s="8" t="s">
        <v>311</v>
      </c>
      <c r="F129" t="s">
        <v>261</v>
      </c>
      <c r="G129" t="s">
        <v>228</v>
      </c>
      <c r="H129" s="13">
        <v>3838285</v>
      </c>
      <c r="I129" s="13">
        <v>166433</v>
      </c>
      <c r="J129" s="8">
        <f t="shared" si="2"/>
        <v>4004718</v>
      </c>
    </row>
    <row r="130" spans="1:10" x14ac:dyDescent="0.2">
      <c r="A130">
        <v>5103460</v>
      </c>
      <c r="B130" s="8">
        <v>2022</v>
      </c>
      <c r="C130" s="8" t="s">
        <v>309</v>
      </c>
      <c r="D130" s="8" t="s">
        <v>310</v>
      </c>
      <c r="E130" s="8" t="s">
        <v>311</v>
      </c>
      <c r="F130" t="s">
        <v>261</v>
      </c>
      <c r="G130" t="s">
        <v>228</v>
      </c>
      <c r="H130" s="13">
        <v>4214246</v>
      </c>
      <c r="I130" s="13">
        <v>1254918</v>
      </c>
      <c r="J130" s="8">
        <f t="shared" si="2"/>
        <v>5469164</v>
      </c>
    </row>
    <row r="131" spans="1:10" x14ac:dyDescent="0.2">
      <c r="A131">
        <v>5103460</v>
      </c>
      <c r="B131" s="8">
        <v>2023</v>
      </c>
      <c r="C131" s="8" t="s">
        <v>309</v>
      </c>
      <c r="D131" s="8" t="s">
        <v>310</v>
      </c>
      <c r="E131" s="8" t="s">
        <v>311</v>
      </c>
      <c r="F131" t="s">
        <v>261</v>
      </c>
      <c r="G131" t="s">
        <v>228</v>
      </c>
      <c r="H131" s="13">
        <v>4458974</v>
      </c>
      <c r="I131" s="13">
        <v>416522</v>
      </c>
      <c r="J131" s="8">
        <f t="shared" ref="J131:J194" si="3">SUM(H131:I131)</f>
        <v>4875496</v>
      </c>
    </row>
    <row r="132" spans="1:10" x14ac:dyDescent="0.2">
      <c r="A132">
        <v>5102360</v>
      </c>
      <c r="B132" s="8">
        <v>2015</v>
      </c>
      <c r="C132" s="8" t="s">
        <v>309</v>
      </c>
      <c r="D132" s="8" t="s">
        <v>310</v>
      </c>
      <c r="E132" s="8" t="s">
        <v>311</v>
      </c>
      <c r="F132" t="s">
        <v>260</v>
      </c>
      <c r="G132" t="s">
        <v>227</v>
      </c>
      <c r="H132" s="13">
        <v>7831151</v>
      </c>
      <c r="I132" s="13"/>
      <c r="J132" s="8">
        <f t="shared" si="3"/>
        <v>7831151</v>
      </c>
    </row>
    <row r="133" spans="1:10" x14ac:dyDescent="0.2">
      <c r="A133">
        <v>5102360</v>
      </c>
      <c r="B133" s="8">
        <v>2016</v>
      </c>
      <c r="C133" s="8" t="s">
        <v>309</v>
      </c>
      <c r="D133" s="8" t="s">
        <v>310</v>
      </c>
      <c r="E133" s="8" t="s">
        <v>311</v>
      </c>
      <c r="F133" t="s">
        <v>260</v>
      </c>
      <c r="G133" t="s">
        <v>227</v>
      </c>
      <c r="H133" s="13">
        <v>7709750</v>
      </c>
      <c r="I133" s="13"/>
      <c r="J133" s="8">
        <f t="shared" si="3"/>
        <v>7709750</v>
      </c>
    </row>
    <row r="134" spans="1:10" x14ac:dyDescent="0.2">
      <c r="A134">
        <v>5102360</v>
      </c>
      <c r="B134" s="8">
        <v>2017</v>
      </c>
      <c r="C134" s="8" t="s">
        <v>309</v>
      </c>
      <c r="D134" s="8" t="s">
        <v>310</v>
      </c>
      <c r="E134" s="8" t="s">
        <v>311</v>
      </c>
      <c r="F134" t="s">
        <v>260</v>
      </c>
      <c r="G134" t="s">
        <v>227</v>
      </c>
      <c r="H134" s="13">
        <v>7962614</v>
      </c>
      <c r="I134" s="13"/>
      <c r="J134" s="8">
        <f t="shared" si="3"/>
        <v>7962614</v>
      </c>
    </row>
    <row r="135" spans="1:10" x14ac:dyDescent="0.2">
      <c r="A135">
        <v>5102360</v>
      </c>
      <c r="B135" s="8">
        <v>2018</v>
      </c>
      <c r="C135" s="8" t="s">
        <v>309</v>
      </c>
      <c r="D135" s="8" t="s">
        <v>310</v>
      </c>
      <c r="E135" s="8" t="s">
        <v>311</v>
      </c>
      <c r="F135" t="s">
        <v>260</v>
      </c>
      <c r="G135" t="s">
        <v>227</v>
      </c>
      <c r="H135" s="13">
        <v>8531099</v>
      </c>
      <c r="I135" s="13"/>
      <c r="J135" s="8">
        <f t="shared" si="3"/>
        <v>8531099</v>
      </c>
    </row>
    <row r="136" spans="1:10" x14ac:dyDescent="0.2">
      <c r="A136">
        <v>5102360</v>
      </c>
      <c r="B136" s="8">
        <v>2019</v>
      </c>
      <c r="C136" s="8" t="s">
        <v>309</v>
      </c>
      <c r="D136" s="8" t="s">
        <v>310</v>
      </c>
      <c r="E136" s="8" t="s">
        <v>311</v>
      </c>
      <c r="F136" t="s">
        <v>260</v>
      </c>
      <c r="G136" t="s">
        <v>227</v>
      </c>
      <c r="H136" s="13">
        <v>8668259</v>
      </c>
      <c r="I136" s="13"/>
      <c r="J136" s="8">
        <f t="shared" si="3"/>
        <v>8668259</v>
      </c>
    </row>
    <row r="137" spans="1:10" x14ac:dyDescent="0.2">
      <c r="A137">
        <v>5102360</v>
      </c>
      <c r="B137" s="8">
        <v>2020</v>
      </c>
      <c r="C137" s="8" t="s">
        <v>309</v>
      </c>
      <c r="D137" s="8" t="s">
        <v>310</v>
      </c>
      <c r="E137" s="8" t="s">
        <v>311</v>
      </c>
      <c r="F137" t="s">
        <v>260</v>
      </c>
      <c r="G137" t="s">
        <v>227</v>
      </c>
      <c r="H137" s="13">
        <v>8734182</v>
      </c>
      <c r="I137" s="13"/>
      <c r="J137" s="8">
        <f t="shared" si="3"/>
        <v>8734182</v>
      </c>
    </row>
    <row r="138" spans="1:10" x14ac:dyDescent="0.2">
      <c r="A138">
        <v>5102360</v>
      </c>
      <c r="B138" s="8">
        <v>2021</v>
      </c>
      <c r="C138" s="8" t="s">
        <v>309</v>
      </c>
      <c r="D138" s="8" t="s">
        <v>310</v>
      </c>
      <c r="E138" s="8" t="s">
        <v>311</v>
      </c>
      <c r="F138" t="s">
        <v>260</v>
      </c>
      <c r="G138" t="s">
        <v>227</v>
      </c>
      <c r="H138" s="13">
        <v>9865309</v>
      </c>
      <c r="I138" s="13">
        <v>427772</v>
      </c>
      <c r="J138" s="8">
        <f t="shared" si="3"/>
        <v>10293081</v>
      </c>
    </row>
    <row r="139" spans="1:10" x14ac:dyDescent="0.2">
      <c r="A139">
        <v>5102360</v>
      </c>
      <c r="B139" s="8">
        <v>2022</v>
      </c>
      <c r="C139" s="8" t="s">
        <v>309</v>
      </c>
      <c r="D139" s="8" t="s">
        <v>310</v>
      </c>
      <c r="E139" s="8" t="s">
        <v>311</v>
      </c>
      <c r="F139" t="s">
        <v>260</v>
      </c>
      <c r="G139" t="s">
        <v>227</v>
      </c>
      <c r="H139" s="13">
        <v>10211141</v>
      </c>
      <c r="I139" s="13">
        <v>3040682</v>
      </c>
      <c r="J139" s="8">
        <f t="shared" si="3"/>
        <v>13251823</v>
      </c>
    </row>
    <row r="140" spans="1:10" x14ac:dyDescent="0.2">
      <c r="A140">
        <v>5102360</v>
      </c>
      <c r="B140" s="8">
        <v>2023</v>
      </c>
      <c r="C140" s="8" t="s">
        <v>309</v>
      </c>
      <c r="D140" s="8" t="s">
        <v>310</v>
      </c>
      <c r="E140" s="8" t="s">
        <v>311</v>
      </c>
      <c r="F140" t="s">
        <v>260</v>
      </c>
      <c r="G140" t="s">
        <v>227</v>
      </c>
      <c r="H140" s="13">
        <v>10789175</v>
      </c>
      <c r="I140" s="13">
        <v>1007839</v>
      </c>
      <c r="J140" s="8">
        <f t="shared" si="3"/>
        <v>11797014</v>
      </c>
    </row>
    <row r="141" spans="1:10" x14ac:dyDescent="0.2">
      <c r="A141">
        <v>5102760</v>
      </c>
      <c r="B141" s="8">
        <v>2015</v>
      </c>
      <c r="C141" s="8" t="s">
        <v>309</v>
      </c>
      <c r="D141" s="8" t="s">
        <v>310</v>
      </c>
      <c r="E141" s="8" t="s">
        <v>311</v>
      </c>
      <c r="F141" t="s">
        <v>259</v>
      </c>
      <c r="G141" t="s">
        <v>226</v>
      </c>
      <c r="H141" s="13">
        <v>513697</v>
      </c>
      <c r="I141" s="13"/>
      <c r="J141" s="8">
        <f t="shared" si="3"/>
        <v>513697</v>
      </c>
    </row>
    <row r="142" spans="1:10" x14ac:dyDescent="0.2">
      <c r="A142">
        <v>5102760</v>
      </c>
      <c r="B142" s="8">
        <v>2016</v>
      </c>
      <c r="C142" s="8" t="s">
        <v>309</v>
      </c>
      <c r="D142" s="8" t="s">
        <v>310</v>
      </c>
      <c r="E142" s="8" t="s">
        <v>311</v>
      </c>
      <c r="F142" t="s">
        <v>259</v>
      </c>
      <c r="G142" t="s">
        <v>226</v>
      </c>
      <c r="H142" s="13">
        <v>535798</v>
      </c>
      <c r="I142" s="13"/>
      <c r="J142" s="8">
        <f t="shared" si="3"/>
        <v>535798</v>
      </c>
    </row>
    <row r="143" spans="1:10" x14ac:dyDescent="0.2">
      <c r="A143">
        <v>5102760</v>
      </c>
      <c r="B143" s="8">
        <v>2017</v>
      </c>
      <c r="C143" s="8" t="s">
        <v>309</v>
      </c>
      <c r="D143" s="8" t="s">
        <v>310</v>
      </c>
      <c r="E143" s="8" t="s">
        <v>311</v>
      </c>
      <c r="F143" t="s">
        <v>259</v>
      </c>
      <c r="G143" t="s">
        <v>226</v>
      </c>
      <c r="H143" s="13">
        <v>545299</v>
      </c>
      <c r="I143" s="13"/>
      <c r="J143" s="8">
        <f t="shared" si="3"/>
        <v>545299</v>
      </c>
    </row>
    <row r="144" spans="1:10" x14ac:dyDescent="0.2">
      <c r="A144">
        <v>5102760</v>
      </c>
      <c r="B144" s="8">
        <v>2018</v>
      </c>
      <c r="C144" s="8" t="s">
        <v>309</v>
      </c>
      <c r="D144" s="8" t="s">
        <v>310</v>
      </c>
      <c r="E144" s="8" t="s">
        <v>311</v>
      </c>
      <c r="F144" t="s">
        <v>259</v>
      </c>
      <c r="G144" t="s">
        <v>226</v>
      </c>
      <c r="H144" s="13">
        <v>573813</v>
      </c>
      <c r="I144" s="13"/>
      <c r="J144" s="8">
        <f t="shared" si="3"/>
        <v>573813</v>
      </c>
    </row>
    <row r="145" spans="1:10" x14ac:dyDescent="0.2">
      <c r="A145">
        <v>5102760</v>
      </c>
      <c r="B145" s="8">
        <v>2019</v>
      </c>
      <c r="C145" s="8" t="s">
        <v>309</v>
      </c>
      <c r="D145" s="8" t="s">
        <v>310</v>
      </c>
      <c r="E145" s="8" t="s">
        <v>311</v>
      </c>
      <c r="F145" t="s">
        <v>259</v>
      </c>
      <c r="G145" t="s">
        <v>226</v>
      </c>
      <c r="H145" s="13">
        <v>538692</v>
      </c>
      <c r="I145" s="13"/>
      <c r="J145" s="8">
        <f t="shared" si="3"/>
        <v>538692</v>
      </c>
    </row>
    <row r="146" spans="1:10" x14ac:dyDescent="0.2">
      <c r="A146">
        <v>5102760</v>
      </c>
      <c r="B146" s="8">
        <v>2020</v>
      </c>
      <c r="C146" s="8" t="s">
        <v>309</v>
      </c>
      <c r="D146" s="8" t="s">
        <v>310</v>
      </c>
      <c r="E146" s="8" t="s">
        <v>311</v>
      </c>
      <c r="F146" t="s">
        <v>259</v>
      </c>
      <c r="G146" t="s">
        <v>226</v>
      </c>
      <c r="H146" s="13">
        <v>564006</v>
      </c>
      <c r="I146" s="13"/>
      <c r="J146" s="8">
        <f t="shared" si="3"/>
        <v>564006</v>
      </c>
    </row>
    <row r="147" spans="1:10" x14ac:dyDescent="0.2">
      <c r="A147">
        <v>5102760</v>
      </c>
      <c r="B147" s="8">
        <v>2021</v>
      </c>
      <c r="C147" s="8" t="s">
        <v>309</v>
      </c>
      <c r="D147" s="8" t="s">
        <v>310</v>
      </c>
      <c r="E147" s="8" t="s">
        <v>311</v>
      </c>
      <c r="F147" t="s">
        <v>259</v>
      </c>
      <c r="G147" t="s">
        <v>226</v>
      </c>
      <c r="H147" s="13">
        <v>632702</v>
      </c>
      <c r="I147" s="13">
        <v>27433</v>
      </c>
      <c r="J147" s="8">
        <f t="shared" si="3"/>
        <v>660135</v>
      </c>
    </row>
    <row r="148" spans="1:10" x14ac:dyDescent="0.2">
      <c r="A148">
        <v>5102760</v>
      </c>
      <c r="B148" s="8">
        <v>2022</v>
      </c>
      <c r="C148" s="8" t="s">
        <v>309</v>
      </c>
      <c r="D148" s="8" t="s">
        <v>310</v>
      </c>
      <c r="E148" s="8" t="s">
        <v>311</v>
      </c>
      <c r="F148" t="s">
        <v>259</v>
      </c>
      <c r="G148" t="s">
        <v>226</v>
      </c>
      <c r="H148" s="13">
        <v>731879</v>
      </c>
      <c r="I148" s="13">
        <v>217956</v>
      </c>
      <c r="J148" s="8">
        <f t="shared" si="3"/>
        <v>949835</v>
      </c>
    </row>
    <row r="149" spans="1:10" x14ac:dyDescent="0.2">
      <c r="A149">
        <v>5102760</v>
      </c>
      <c r="B149" s="8">
        <v>2023</v>
      </c>
      <c r="C149" s="8" t="s">
        <v>309</v>
      </c>
      <c r="D149" s="8" t="s">
        <v>310</v>
      </c>
      <c r="E149" s="8" t="s">
        <v>311</v>
      </c>
      <c r="F149" t="s">
        <v>259</v>
      </c>
      <c r="G149" t="s">
        <v>226</v>
      </c>
      <c r="H149" s="13">
        <v>786321</v>
      </c>
      <c r="I149" s="13">
        <v>73448</v>
      </c>
      <c r="J149" s="8">
        <f t="shared" si="3"/>
        <v>859769</v>
      </c>
    </row>
    <row r="150" spans="1:10" x14ac:dyDescent="0.2">
      <c r="A150">
        <v>5101560</v>
      </c>
      <c r="B150" s="8">
        <v>2015</v>
      </c>
      <c r="C150" s="8" t="s">
        <v>309</v>
      </c>
      <c r="D150" s="8" t="s">
        <v>310</v>
      </c>
      <c r="E150" s="8" t="s">
        <v>311</v>
      </c>
      <c r="F150" t="s">
        <v>258</v>
      </c>
      <c r="G150" t="s">
        <v>225</v>
      </c>
      <c r="H150" s="13">
        <v>993787</v>
      </c>
      <c r="I150" s="13"/>
      <c r="J150" s="8">
        <f t="shared" si="3"/>
        <v>993787</v>
      </c>
    </row>
    <row r="151" spans="1:10" x14ac:dyDescent="0.2">
      <c r="A151">
        <v>5101560</v>
      </c>
      <c r="B151" s="8">
        <v>2016</v>
      </c>
      <c r="C151" s="8" t="s">
        <v>309</v>
      </c>
      <c r="D151" s="8" t="s">
        <v>310</v>
      </c>
      <c r="E151" s="8" t="s">
        <v>311</v>
      </c>
      <c r="F151" t="s">
        <v>258</v>
      </c>
      <c r="G151" t="s">
        <v>225</v>
      </c>
      <c r="H151" s="13">
        <v>985087</v>
      </c>
      <c r="I151" s="13"/>
      <c r="J151" s="8">
        <f t="shared" si="3"/>
        <v>985087</v>
      </c>
    </row>
    <row r="152" spans="1:10" x14ac:dyDescent="0.2">
      <c r="A152">
        <v>5101560</v>
      </c>
      <c r="B152" s="8">
        <v>2017</v>
      </c>
      <c r="C152" s="8" t="s">
        <v>309</v>
      </c>
      <c r="D152" s="8" t="s">
        <v>310</v>
      </c>
      <c r="E152" s="8" t="s">
        <v>311</v>
      </c>
      <c r="F152" t="s">
        <v>258</v>
      </c>
      <c r="G152" t="s">
        <v>225</v>
      </c>
      <c r="H152" s="13">
        <v>1029916</v>
      </c>
      <c r="I152" s="13"/>
      <c r="J152" s="8">
        <f t="shared" si="3"/>
        <v>1029916</v>
      </c>
    </row>
    <row r="153" spans="1:10" x14ac:dyDescent="0.2">
      <c r="A153">
        <v>5101560</v>
      </c>
      <c r="B153" s="8">
        <v>2018</v>
      </c>
      <c r="C153" s="8" t="s">
        <v>309</v>
      </c>
      <c r="D153" s="8" t="s">
        <v>310</v>
      </c>
      <c r="E153" s="8" t="s">
        <v>311</v>
      </c>
      <c r="F153" t="s">
        <v>258</v>
      </c>
      <c r="G153" t="s">
        <v>225</v>
      </c>
      <c r="H153" s="13">
        <v>1152904</v>
      </c>
      <c r="I153" s="13"/>
      <c r="J153" s="8">
        <f t="shared" si="3"/>
        <v>1152904</v>
      </c>
    </row>
    <row r="154" spans="1:10" x14ac:dyDescent="0.2">
      <c r="A154">
        <v>5101560</v>
      </c>
      <c r="B154" s="8">
        <v>2019</v>
      </c>
      <c r="C154" s="8" t="s">
        <v>309</v>
      </c>
      <c r="D154" s="8" t="s">
        <v>310</v>
      </c>
      <c r="E154" s="8" t="s">
        <v>311</v>
      </c>
      <c r="F154" t="s">
        <v>258</v>
      </c>
      <c r="G154" t="s">
        <v>225</v>
      </c>
      <c r="H154" s="13">
        <v>1139606</v>
      </c>
      <c r="I154" s="13"/>
      <c r="J154" s="8">
        <f t="shared" si="3"/>
        <v>1139606</v>
      </c>
    </row>
    <row r="155" spans="1:10" x14ac:dyDescent="0.2">
      <c r="A155">
        <v>5101560</v>
      </c>
      <c r="B155" s="8">
        <v>2020</v>
      </c>
      <c r="C155" s="8" t="s">
        <v>309</v>
      </c>
      <c r="D155" s="8" t="s">
        <v>310</v>
      </c>
      <c r="E155" s="8" t="s">
        <v>311</v>
      </c>
      <c r="F155" t="s">
        <v>258</v>
      </c>
      <c r="G155" t="s">
        <v>225</v>
      </c>
      <c r="H155" s="13">
        <v>1136356</v>
      </c>
      <c r="I155" s="13"/>
      <c r="J155" s="8">
        <f t="shared" si="3"/>
        <v>1136356</v>
      </c>
    </row>
    <row r="156" spans="1:10" x14ac:dyDescent="0.2">
      <c r="A156">
        <v>5101560</v>
      </c>
      <c r="B156" s="8">
        <v>2021</v>
      </c>
      <c r="C156" s="8" t="s">
        <v>309</v>
      </c>
      <c r="D156" s="8" t="s">
        <v>310</v>
      </c>
      <c r="E156" s="8" t="s">
        <v>311</v>
      </c>
      <c r="F156" t="s">
        <v>258</v>
      </c>
      <c r="G156" t="s">
        <v>225</v>
      </c>
      <c r="H156" s="13">
        <v>1206423</v>
      </c>
      <c r="I156" s="13">
        <v>52314</v>
      </c>
      <c r="J156" s="8">
        <f t="shared" si="3"/>
        <v>1258737</v>
      </c>
    </row>
    <row r="157" spans="1:10" x14ac:dyDescent="0.2">
      <c r="A157">
        <v>5101560</v>
      </c>
      <c r="B157" s="8">
        <v>2022</v>
      </c>
      <c r="C157" s="8" t="s">
        <v>309</v>
      </c>
      <c r="D157" s="8" t="s">
        <v>310</v>
      </c>
      <c r="E157" s="8" t="s">
        <v>311</v>
      </c>
      <c r="F157" t="s">
        <v>258</v>
      </c>
      <c r="G157" t="s">
        <v>225</v>
      </c>
      <c r="H157" s="13">
        <v>1340591</v>
      </c>
      <c r="I157" s="13">
        <v>399196</v>
      </c>
      <c r="J157" s="8">
        <f t="shared" si="3"/>
        <v>1739787</v>
      </c>
    </row>
    <row r="158" spans="1:10" x14ac:dyDescent="0.2">
      <c r="A158">
        <v>5101560</v>
      </c>
      <c r="B158" s="8">
        <v>2023</v>
      </c>
      <c r="C158" s="8" t="s">
        <v>309</v>
      </c>
      <c r="D158" s="8" t="s">
        <v>310</v>
      </c>
      <c r="E158" s="8" t="s">
        <v>311</v>
      </c>
      <c r="F158" t="s">
        <v>258</v>
      </c>
      <c r="G158" t="s">
        <v>225</v>
      </c>
      <c r="H158" s="13">
        <v>1450822</v>
      </c>
      <c r="I158" s="13">
        <v>135528</v>
      </c>
      <c r="J158" s="8">
        <f t="shared" si="3"/>
        <v>1586350</v>
      </c>
    </row>
    <row r="159" spans="1:10" x14ac:dyDescent="0.2">
      <c r="A159">
        <v>5100930</v>
      </c>
      <c r="B159" s="8">
        <v>2015</v>
      </c>
      <c r="C159" s="8" t="s">
        <v>309</v>
      </c>
      <c r="D159" s="8" t="s">
        <v>310</v>
      </c>
      <c r="E159" s="8" t="s">
        <v>311</v>
      </c>
      <c r="F159" t="s">
        <v>257</v>
      </c>
      <c r="G159" t="s">
        <v>224</v>
      </c>
      <c r="H159" s="13">
        <v>471572</v>
      </c>
      <c r="I159" s="13"/>
      <c r="J159" s="8">
        <f t="shared" si="3"/>
        <v>471572</v>
      </c>
    </row>
    <row r="160" spans="1:10" x14ac:dyDescent="0.2">
      <c r="A160">
        <v>5100930</v>
      </c>
      <c r="B160" s="8">
        <v>2016</v>
      </c>
      <c r="C160" s="8" t="s">
        <v>309</v>
      </c>
      <c r="D160" s="8" t="s">
        <v>310</v>
      </c>
      <c r="E160" s="8" t="s">
        <v>311</v>
      </c>
      <c r="F160" t="s">
        <v>257</v>
      </c>
      <c r="G160" t="s">
        <v>224</v>
      </c>
      <c r="H160" s="13">
        <v>480415</v>
      </c>
      <c r="I160" s="13"/>
      <c r="J160" s="8">
        <f t="shared" si="3"/>
        <v>480415</v>
      </c>
    </row>
    <row r="161" spans="1:10" x14ac:dyDescent="0.2">
      <c r="A161">
        <v>5100930</v>
      </c>
      <c r="B161" s="8">
        <v>2017</v>
      </c>
      <c r="C161" s="8" t="s">
        <v>309</v>
      </c>
      <c r="D161" s="8" t="s">
        <v>310</v>
      </c>
      <c r="E161" s="8" t="s">
        <v>311</v>
      </c>
      <c r="F161" t="s">
        <v>257</v>
      </c>
      <c r="G161" t="s">
        <v>224</v>
      </c>
      <c r="H161" s="13">
        <v>516211</v>
      </c>
      <c r="I161" s="13"/>
      <c r="J161" s="8">
        <f t="shared" si="3"/>
        <v>516211</v>
      </c>
    </row>
    <row r="162" spans="1:10" x14ac:dyDescent="0.2">
      <c r="A162">
        <v>5100930</v>
      </c>
      <c r="B162" s="8">
        <v>2018</v>
      </c>
      <c r="C162" s="8" t="s">
        <v>309</v>
      </c>
      <c r="D162" s="8" t="s">
        <v>310</v>
      </c>
      <c r="E162" s="8" t="s">
        <v>311</v>
      </c>
      <c r="F162" t="s">
        <v>257</v>
      </c>
      <c r="G162" t="s">
        <v>224</v>
      </c>
      <c r="H162" s="13">
        <v>577218</v>
      </c>
      <c r="I162" s="13"/>
      <c r="J162" s="8">
        <f t="shared" si="3"/>
        <v>577218</v>
      </c>
    </row>
    <row r="163" spans="1:10" x14ac:dyDescent="0.2">
      <c r="A163">
        <v>5100930</v>
      </c>
      <c r="B163" s="8">
        <v>2019</v>
      </c>
      <c r="C163" s="8" t="s">
        <v>309</v>
      </c>
      <c r="D163" s="8" t="s">
        <v>310</v>
      </c>
      <c r="E163" s="8" t="s">
        <v>311</v>
      </c>
      <c r="F163" t="s">
        <v>257</v>
      </c>
      <c r="G163" t="s">
        <v>224</v>
      </c>
      <c r="H163" s="13">
        <v>548406</v>
      </c>
      <c r="I163" s="13"/>
      <c r="J163" s="8">
        <f t="shared" si="3"/>
        <v>548406</v>
      </c>
    </row>
    <row r="164" spans="1:10" x14ac:dyDescent="0.2">
      <c r="A164">
        <v>5100930</v>
      </c>
      <c r="B164" s="8">
        <v>2020</v>
      </c>
      <c r="C164" s="8" t="s">
        <v>309</v>
      </c>
      <c r="D164" s="8" t="s">
        <v>310</v>
      </c>
      <c r="E164" s="8" t="s">
        <v>311</v>
      </c>
      <c r="F164" t="s">
        <v>257</v>
      </c>
      <c r="G164" t="s">
        <v>224</v>
      </c>
      <c r="H164" s="13">
        <v>570347</v>
      </c>
      <c r="I164" s="13"/>
      <c r="J164" s="8">
        <f t="shared" si="3"/>
        <v>570347</v>
      </c>
    </row>
    <row r="165" spans="1:10" x14ac:dyDescent="0.2">
      <c r="A165">
        <v>5100930</v>
      </c>
      <c r="B165" s="8">
        <v>2021</v>
      </c>
      <c r="C165" s="8" t="s">
        <v>309</v>
      </c>
      <c r="D165" s="8" t="s">
        <v>310</v>
      </c>
      <c r="E165" s="8" t="s">
        <v>311</v>
      </c>
      <c r="F165" t="s">
        <v>257</v>
      </c>
      <c r="G165" t="s">
        <v>224</v>
      </c>
      <c r="H165" s="13">
        <v>612385</v>
      </c>
      <c r="I165" s="13">
        <v>26556</v>
      </c>
      <c r="J165" s="8">
        <f t="shared" si="3"/>
        <v>638941</v>
      </c>
    </row>
    <row r="166" spans="1:10" x14ac:dyDescent="0.2">
      <c r="A166">
        <v>5100930</v>
      </c>
      <c r="B166" s="8">
        <v>2022</v>
      </c>
      <c r="C166" s="8" t="s">
        <v>309</v>
      </c>
      <c r="D166" s="8" t="s">
        <v>310</v>
      </c>
      <c r="E166" s="8" t="s">
        <v>311</v>
      </c>
      <c r="F166" t="s">
        <v>257</v>
      </c>
      <c r="G166" t="s">
        <v>224</v>
      </c>
      <c r="H166" s="13">
        <v>613396</v>
      </c>
      <c r="I166" s="13">
        <v>182655</v>
      </c>
      <c r="J166" s="8">
        <f t="shared" si="3"/>
        <v>796051</v>
      </c>
    </row>
    <row r="167" spans="1:10" x14ac:dyDescent="0.2">
      <c r="A167">
        <v>5100930</v>
      </c>
      <c r="B167" s="8">
        <v>2023</v>
      </c>
      <c r="C167" s="8" t="s">
        <v>309</v>
      </c>
      <c r="D167" s="8" t="s">
        <v>310</v>
      </c>
      <c r="E167" s="8" t="s">
        <v>311</v>
      </c>
      <c r="F167" t="s">
        <v>257</v>
      </c>
      <c r="G167" t="s">
        <v>224</v>
      </c>
      <c r="H167" s="13">
        <v>756764</v>
      </c>
      <c r="I167" s="13">
        <v>70691</v>
      </c>
      <c r="J167" s="8">
        <f t="shared" si="3"/>
        <v>827455</v>
      </c>
    </row>
    <row r="168" spans="1:10" x14ac:dyDescent="0.2">
      <c r="A168">
        <v>5103930</v>
      </c>
      <c r="B168" s="8">
        <v>2015</v>
      </c>
      <c r="C168" s="8" t="s">
        <v>309</v>
      </c>
      <c r="D168" s="8" t="s">
        <v>310</v>
      </c>
      <c r="E168" s="8" t="s">
        <v>311</v>
      </c>
      <c r="F168" t="s">
        <v>256</v>
      </c>
      <c r="G168" t="s">
        <v>223</v>
      </c>
      <c r="H168" s="13">
        <v>2437834</v>
      </c>
      <c r="I168" s="13"/>
      <c r="J168" s="8">
        <f t="shared" si="3"/>
        <v>2437834</v>
      </c>
    </row>
    <row r="169" spans="1:10" x14ac:dyDescent="0.2">
      <c r="A169">
        <v>5103930</v>
      </c>
      <c r="B169" s="8">
        <v>2016</v>
      </c>
      <c r="C169" s="8" t="s">
        <v>309</v>
      </c>
      <c r="D169" s="8" t="s">
        <v>310</v>
      </c>
      <c r="E169" s="8" t="s">
        <v>311</v>
      </c>
      <c r="F169" t="s">
        <v>256</v>
      </c>
      <c r="G169" t="s">
        <v>223</v>
      </c>
      <c r="H169" s="13">
        <v>2445927</v>
      </c>
      <c r="I169" s="13"/>
      <c r="J169" s="8">
        <f t="shared" si="3"/>
        <v>2445927</v>
      </c>
    </row>
    <row r="170" spans="1:10" x14ac:dyDescent="0.2">
      <c r="A170">
        <v>5103930</v>
      </c>
      <c r="B170" s="8">
        <v>2017</v>
      </c>
      <c r="C170" s="8" t="s">
        <v>309</v>
      </c>
      <c r="D170" s="8" t="s">
        <v>310</v>
      </c>
      <c r="E170" s="8" t="s">
        <v>311</v>
      </c>
      <c r="F170" t="s">
        <v>256</v>
      </c>
      <c r="G170" t="s">
        <v>223</v>
      </c>
      <c r="H170" s="13">
        <v>2598444</v>
      </c>
      <c r="I170" s="13"/>
      <c r="J170" s="8">
        <f t="shared" si="3"/>
        <v>2598444</v>
      </c>
    </row>
    <row r="171" spans="1:10" x14ac:dyDescent="0.2">
      <c r="A171">
        <v>5103930</v>
      </c>
      <c r="B171" s="8">
        <v>2018</v>
      </c>
      <c r="C171" s="8" t="s">
        <v>309</v>
      </c>
      <c r="D171" s="8" t="s">
        <v>310</v>
      </c>
      <c r="E171" s="8" t="s">
        <v>311</v>
      </c>
      <c r="F171" t="s">
        <v>256</v>
      </c>
      <c r="G171" t="s">
        <v>223</v>
      </c>
      <c r="H171" s="13">
        <v>2878665</v>
      </c>
      <c r="I171" s="13"/>
      <c r="J171" s="8">
        <f t="shared" si="3"/>
        <v>2878665</v>
      </c>
    </row>
    <row r="172" spans="1:10" x14ac:dyDescent="0.2">
      <c r="A172">
        <v>5103930</v>
      </c>
      <c r="B172" s="8">
        <v>2019</v>
      </c>
      <c r="C172" s="8" t="s">
        <v>309</v>
      </c>
      <c r="D172" s="8" t="s">
        <v>310</v>
      </c>
      <c r="E172" s="8" t="s">
        <v>311</v>
      </c>
      <c r="F172" t="s">
        <v>256</v>
      </c>
      <c r="G172" t="s">
        <v>223</v>
      </c>
      <c r="H172" s="13">
        <v>2763669</v>
      </c>
      <c r="I172" s="13"/>
      <c r="J172" s="8">
        <f t="shared" si="3"/>
        <v>2763669</v>
      </c>
    </row>
    <row r="173" spans="1:10" x14ac:dyDescent="0.2">
      <c r="A173">
        <v>5103930</v>
      </c>
      <c r="B173" s="8">
        <v>2020</v>
      </c>
      <c r="C173" s="8" t="s">
        <v>309</v>
      </c>
      <c r="D173" s="8" t="s">
        <v>310</v>
      </c>
      <c r="E173" s="8" t="s">
        <v>311</v>
      </c>
      <c r="F173" t="s">
        <v>256</v>
      </c>
      <c r="G173" t="s">
        <v>223</v>
      </c>
      <c r="H173" s="13">
        <v>2776384</v>
      </c>
      <c r="I173" s="13"/>
      <c r="J173" s="8">
        <f t="shared" si="3"/>
        <v>2776384</v>
      </c>
    </row>
    <row r="174" spans="1:10" x14ac:dyDescent="0.2">
      <c r="A174">
        <v>5103930</v>
      </c>
      <c r="B174" s="8">
        <v>2021</v>
      </c>
      <c r="C174" s="8" t="s">
        <v>309</v>
      </c>
      <c r="D174" s="8" t="s">
        <v>310</v>
      </c>
      <c r="E174" s="8" t="s">
        <v>311</v>
      </c>
      <c r="F174" t="s">
        <v>256</v>
      </c>
      <c r="G174" t="s">
        <v>223</v>
      </c>
      <c r="H174" s="13">
        <v>2989586</v>
      </c>
      <c r="I174" s="13">
        <v>129633</v>
      </c>
      <c r="J174" s="8">
        <f t="shared" si="3"/>
        <v>3119219</v>
      </c>
    </row>
    <row r="175" spans="1:10" x14ac:dyDescent="0.2">
      <c r="A175">
        <v>5103930</v>
      </c>
      <c r="B175" s="8">
        <v>2022</v>
      </c>
      <c r="C175" s="8" t="s">
        <v>309</v>
      </c>
      <c r="D175" s="8" t="s">
        <v>310</v>
      </c>
      <c r="E175" s="8" t="s">
        <v>311</v>
      </c>
      <c r="F175" t="s">
        <v>256</v>
      </c>
      <c r="G175" t="s">
        <v>223</v>
      </c>
      <c r="H175" s="13">
        <v>3222747</v>
      </c>
      <c r="I175" s="13">
        <v>959680</v>
      </c>
      <c r="J175" s="8">
        <f t="shared" si="3"/>
        <v>4182427</v>
      </c>
    </row>
    <row r="176" spans="1:10" x14ac:dyDescent="0.2">
      <c r="A176">
        <v>5103930</v>
      </c>
      <c r="B176" s="8">
        <v>2023</v>
      </c>
      <c r="C176" s="8" t="s">
        <v>309</v>
      </c>
      <c r="D176" s="8" t="s">
        <v>310</v>
      </c>
      <c r="E176" s="8" t="s">
        <v>311</v>
      </c>
      <c r="F176" t="s">
        <v>256</v>
      </c>
      <c r="G176" t="s">
        <v>223</v>
      </c>
      <c r="H176" s="13">
        <v>3739394</v>
      </c>
      <c r="I176" s="13">
        <v>349311</v>
      </c>
      <c r="J176" s="8">
        <f t="shared" si="3"/>
        <v>4088705</v>
      </c>
    </row>
    <row r="177" spans="1:10" x14ac:dyDescent="0.2">
      <c r="A177">
        <v>5102220</v>
      </c>
      <c r="B177" s="8">
        <v>2015</v>
      </c>
      <c r="C177" s="8" t="s">
        <v>309</v>
      </c>
      <c r="D177" s="8" t="s">
        <v>310</v>
      </c>
      <c r="E177" s="8" t="s">
        <v>311</v>
      </c>
      <c r="F177" t="s">
        <v>255</v>
      </c>
      <c r="G177" t="s">
        <v>222</v>
      </c>
      <c r="H177" s="13">
        <v>374489</v>
      </c>
      <c r="I177" s="13"/>
      <c r="J177" s="8">
        <f t="shared" si="3"/>
        <v>374489</v>
      </c>
    </row>
    <row r="178" spans="1:10" x14ac:dyDescent="0.2">
      <c r="A178">
        <v>5102220</v>
      </c>
      <c r="B178" s="8">
        <v>2016</v>
      </c>
      <c r="C178" s="8" t="s">
        <v>309</v>
      </c>
      <c r="D178" s="8" t="s">
        <v>310</v>
      </c>
      <c r="E178" s="8" t="s">
        <v>311</v>
      </c>
      <c r="F178" t="s">
        <v>255</v>
      </c>
      <c r="G178" t="s">
        <v>222</v>
      </c>
      <c r="H178" s="13">
        <v>368597</v>
      </c>
      <c r="I178" s="13"/>
      <c r="J178" s="8">
        <f t="shared" si="3"/>
        <v>368597</v>
      </c>
    </row>
    <row r="179" spans="1:10" x14ac:dyDescent="0.2">
      <c r="A179">
        <v>5102220</v>
      </c>
      <c r="B179" s="8">
        <v>2017</v>
      </c>
      <c r="C179" s="8" t="s">
        <v>309</v>
      </c>
      <c r="D179" s="8" t="s">
        <v>310</v>
      </c>
      <c r="E179" s="8" t="s">
        <v>311</v>
      </c>
      <c r="F179" t="s">
        <v>255</v>
      </c>
      <c r="G179" t="s">
        <v>222</v>
      </c>
      <c r="H179" s="13">
        <v>400197</v>
      </c>
      <c r="I179" s="13"/>
      <c r="J179" s="8">
        <f t="shared" si="3"/>
        <v>400197</v>
      </c>
    </row>
    <row r="180" spans="1:10" x14ac:dyDescent="0.2">
      <c r="A180">
        <v>5102220</v>
      </c>
      <c r="B180" s="8">
        <v>2018</v>
      </c>
      <c r="C180" s="8" t="s">
        <v>309</v>
      </c>
      <c r="D180" s="8" t="s">
        <v>310</v>
      </c>
      <c r="E180" s="8" t="s">
        <v>311</v>
      </c>
      <c r="F180" t="s">
        <v>255</v>
      </c>
      <c r="G180" t="s">
        <v>222</v>
      </c>
      <c r="H180" s="13">
        <v>460556</v>
      </c>
      <c r="I180" s="13"/>
      <c r="J180" s="8">
        <f t="shared" si="3"/>
        <v>460556</v>
      </c>
    </row>
    <row r="181" spans="1:10" x14ac:dyDescent="0.2">
      <c r="A181">
        <v>5102220</v>
      </c>
      <c r="B181" s="8">
        <v>2019</v>
      </c>
      <c r="C181" s="8" t="s">
        <v>309</v>
      </c>
      <c r="D181" s="8" t="s">
        <v>310</v>
      </c>
      <c r="E181" s="8" t="s">
        <v>311</v>
      </c>
      <c r="F181" t="s">
        <v>255</v>
      </c>
      <c r="G181" t="s">
        <v>222</v>
      </c>
      <c r="H181" s="13">
        <v>472670</v>
      </c>
      <c r="I181" s="13"/>
      <c r="J181" s="8">
        <f t="shared" si="3"/>
        <v>472670</v>
      </c>
    </row>
    <row r="182" spans="1:10" x14ac:dyDescent="0.2">
      <c r="A182">
        <v>5102220</v>
      </c>
      <c r="B182" s="8">
        <v>2020</v>
      </c>
      <c r="C182" s="8" t="s">
        <v>309</v>
      </c>
      <c r="D182" s="8" t="s">
        <v>310</v>
      </c>
      <c r="E182" s="8" t="s">
        <v>311</v>
      </c>
      <c r="F182" t="s">
        <v>255</v>
      </c>
      <c r="G182" t="s">
        <v>222</v>
      </c>
      <c r="H182" s="13">
        <v>499983</v>
      </c>
      <c r="I182" s="13"/>
      <c r="J182" s="8">
        <f t="shared" si="3"/>
        <v>499983</v>
      </c>
    </row>
    <row r="183" spans="1:10" x14ac:dyDescent="0.2">
      <c r="A183">
        <v>5102220</v>
      </c>
      <c r="B183" s="8">
        <v>2021</v>
      </c>
      <c r="C183" s="8" t="s">
        <v>309</v>
      </c>
      <c r="D183" s="8" t="s">
        <v>310</v>
      </c>
      <c r="E183" s="8" t="s">
        <v>311</v>
      </c>
      <c r="F183" t="s">
        <v>255</v>
      </c>
      <c r="G183" t="s">
        <v>222</v>
      </c>
      <c r="H183" s="13">
        <v>542378</v>
      </c>
      <c r="I183" s="13">
        <v>23519</v>
      </c>
      <c r="J183" s="8">
        <f t="shared" si="3"/>
        <v>565897</v>
      </c>
    </row>
    <row r="184" spans="1:10" x14ac:dyDescent="0.2">
      <c r="A184">
        <v>5102220</v>
      </c>
      <c r="B184" s="8">
        <v>2022</v>
      </c>
      <c r="C184" s="8" t="s">
        <v>309</v>
      </c>
      <c r="D184" s="8" t="s">
        <v>310</v>
      </c>
      <c r="E184" s="8" t="s">
        <v>311</v>
      </c>
      <c r="F184" t="s">
        <v>255</v>
      </c>
      <c r="G184" t="s">
        <v>222</v>
      </c>
      <c r="H184" s="13">
        <v>579109</v>
      </c>
      <c r="I184" s="13">
        <v>172436</v>
      </c>
      <c r="J184" s="8">
        <f t="shared" si="3"/>
        <v>751545</v>
      </c>
    </row>
    <row r="185" spans="1:10" x14ac:dyDescent="0.2">
      <c r="A185">
        <v>5102220</v>
      </c>
      <c r="B185" s="8">
        <v>2023</v>
      </c>
      <c r="C185" s="8" t="s">
        <v>309</v>
      </c>
      <c r="D185" s="8" t="s">
        <v>310</v>
      </c>
      <c r="E185" s="8" t="s">
        <v>311</v>
      </c>
      <c r="F185" t="s">
        <v>255</v>
      </c>
      <c r="G185" t="s">
        <v>222</v>
      </c>
      <c r="H185" s="13">
        <v>600323</v>
      </c>
      <c r="I185" s="13">
        <v>56078</v>
      </c>
      <c r="J185" s="8">
        <f t="shared" si="3"/>
        <v>656401</v>
      </c>
    </row>
    <row r="186" spans="1:10" x14ac:dyDescent="0.2">
      <c r="A186">
        <v>5103950</v>
      </c>
      <c r="B186" s="8">
        <v>2015</v>
      </c>
      <c r="C186" s="8" t="s">
        <v>309</v>
      </c>
      <c r="D186" s="8" t="s">
        <v>310</v>
      </c>
      <c r="E186" s="8" t="s">
        <v>311</v>
      </c>
      <c r="F186" t="s">
        <v>254</v>
      </c>
      <c r="G186" t="s">
        <v>221</v>
      </c>
      <c r="H186" s="13">
        <v>655717</v>
      </c>
      <c r="I186" s="13"/>
      <c r="J186" s="8">
        <f t="shared" si="3"/>
        <v>655717</v>
      </c>
    </row>
    <row r="187" spans="1:10" x14ac:dyDescent="0.2">
      <c r="A187">
        <v>5103950</v>
      </c>
      <c r="B187" s="8">
        <v>2016</v>
      </c>
      <c r="C187" s="8" t="s">
        <v>309</v>
      </c>
      <c r="D187" s="8" t="s">
        <v>310</v>
      </c>
      <c r="E187" s="8" t="s">
        <v>311</v>
      </c>
      <c r="F187" t="s">
        <v>254</v>
      </c>
      <c r="G187" t="s">
        <v>221</v>
      </c>
      <c r="H187" s="13">
        <v>677508</v>
      </c>
      <c r="I187" s="13"/>
      <c r="J187" s="8">
        <f t="shared" si="3"/>
        <v>677508</v>
      </c>
    </row>
    <row r="188" spans="1:10" x14ac:dyDescent="0.2">
      <c r="A188">
        <v>5103950</v>
      </c>
      <c r="B188" s="8">
        <v>2017</v>
      </c>
      <c r="C188" s="8" t="s">
        <v>309</v>
      </c>
      <c r="D188" s="8" t="s">
        <v>310</v>
      </c>
      <c r="E188" s="8" t="s">
        <v>311</v>
      </c>
      <c r="F188" t="s">
        <v>254</v>
      </c>
      <c r="G188" t="s">
        <v>221</v>
      </c>
      <c r="H188" s="13">
        <v>781596</v>
      </c>
      <c r="I188" s="13"/>
      <c r="J188" s="8">
        <f t="shared" si="3"/>
        <v>781596</v>
      </c>
    </row>
    <row r="189" spans="1:10" x14ac:dyDescent="0.2">
      <c r="A189">
        <v>5103950</v>
      </c>
      <c r="B189" s="8">
        <v>2018</v>
      </c>
      <c r="C189" s="8" t="s">
        <v>309</v>
      </c>
      <c r="D189" s="8" t="s">
        <v>310</v>
      </c>
      <c r="E189" s="8" t="s">
        <v>311</v>
      </c>
      <c r="F189" t="s">
        <v>254</v>
      </c>
      <c r="G189" t="s">
        <v>221</v>
      </c>
      <c r="H189" s="13">
        <v>885673</v>
      </c>
      <c r="I189" s="13"/>
      <c r="J189" s="8">
        <f t="shared" si="3"/>
        <v>885673</v>
      </c>
    </row>
    <row r="190" spans="1:10" x14ac:dyDescent="0.2">
      <c r="A190">
        <v>5103950</v>
      </c>
      <c r="B190" s="8">
        <v>2019</v>
      </c>
      <c r="C190" s="8" t="s">
        <v>309</v>
      </c>
      <c r="D190" s="8" t="s">
        <v>310</v>
      </c>
      <c r="E190" s="8" t="s">
        <v>311</v>
      </c>
      <c r="F190" t="s">
        <v>254</v>
      </c>
      <c r="G190" t="s">
        <v>221</v>
      </c>
      <c r="H190" s="13">
        <v>873296</v>
      </c>
      <c r="I190" s="13"/>
      <c r="J190" s="8">
        <f t="shared" si="3"/>
        <v>873296</v>
      </c>
    </row>
    <row r="191" spans="1:10" x14ac:dyDescent="0.2">
      <c r="A191">
        <v>5103950</v>
      </c>
      <c r="B191" s="8">
        <v>2020</v>
      </c>
      <c r="C191" s="8" t="s">
        <v>309</v>
      </c>
      <c r="D191" s="8" t="s">
        <v>310</v>
      </c>
      <c r="E191" s="8" t="s">
        <v>311</v>
      </c>
      <c r="F191" t="s">
        <v>254</v>
      </c>
      <c r="G191" t="s">
        <v>221</v>
      </c>
      <c r="H191" s="13">
        <v>885254</v>
      </c>
      <c r="I191" s="13"/>
      <c r="J191" s="8">
        <f t="shared" si="3"/>
        <v>885254</v>
      </c>
    </row>
    <row r="192" spans="1:10" x14ac:dyDescent="0.2">
      <c r="A192">
        <v>5103950</v>
      </c>
      <c r="B192" s="8">
        <v>2021</v>
      </c>
      <c r="C192" s="8" t="s">
        <v>309</v>
      </c>
      <c r="D192" s="8" t="s">
        <v>310</v>
      </c>
      <c r="E192" s="8" t="s">
        <v>311</v>
      </c>
      <c r="F192" t="s">
        <v>254</v>
      </c>
      <c r="G192" t="s">
        <v>221</v>
      </c>
      <c r="H192" s="13">
        <v>909537</v>
      </c>
      <c r="I192" s="13">
        <v>39438</v>
      </c>
      <c r="J192" s="8">
        <f t="shared" si="3"/>
        <v>948975</v>
      </c>
    </row>
    <row r="193" spans="1:10" x14ac:dyDescent="0.2">
      <c r="A193">
        <v>5103950</v>
      </c>
      <c r="B193" s="8">
        <v>2022</v>
      </c>
      <c r="C193" s="8" t="s">
        <v>309</v>
      </c>
      <c r="D193" s="8" t="s">
        <v>310</v>
      </c>
      <c r="E193" s="8" t="s">
        <v>311</v>
      </c>
      <c r="F193" t="s">
        <v>254</v>
      </c>
      <c r="G193" t="s">
        <v>221</v>
      </c>
      <c r="H193" s="13">
        <v>899047</v>
      </c>
      <c r="I193" s="13">
        <v>267723</v>
      </c>
      <c r="J193" s="8">
        <f t="shared" si="3"/>
        <v>1166770</v>
      </c>
    </row>
    <row r="194" spans="1:10" x14ac:dyDescent="0.2">
      <c r="A194">
        <v>5103950</v>
      </c>
      <c r="B194" s="8">
        <v>2023</v>
      </c>
      <c r="C194" s="8" t="s">
        <v>309</v>
      </c>
      <c r="D194" s="8" t="s">
        <v>310</v>
      </c>
      <c r="E194" s="8" t="s">
        <v>311</v>
      </c>
      <c r="F194" t="s">
        <v>254</v>
      </c>
      <c r="G194" t="s">
        <v>221</v>
      </c>
      <c r="H194" s="13">
        <v>1003532</v>
      </c>
      <c r="I194" s="13">
        <v>93738</v>
      </c>
      <c r="J194" s="8">
        <f t="shared" si="3"/>
        <v>1097270</v>
      </c>
    </row>
    <row r="195" spans="1:10" x14ac:dyDescent="0.2">
      <c r="A195">
        <v>5102390</v>
      </c>
      <c r="B195" s="8">
        <v>2015</v>
      </c>
      <c r="C195" s="8" t="s">
        <v>309</v>
      </c>
      <c r="D195" s="8" t="s">
        <v>310</v>
      </c>
      <c r="E195" s="8" t="s">
        <v>311</v>
      </c>
      <c r="F195" t="s">
        <v>253</v>
      </c>
      <c r="G195" t="s">
        <v>220</v>
      </c>
      <c r="H195" s="13">
        <v>2857611</v>
      </c>
      <c r="I195" s="13"/>
      <c r="J195" s="8">
        <f t="shared" ref="J195:J258" si="4">SUM(H195:I195)</f>
        <v>2857611</v>
      </c>
    </row>
    <row r="196" spans="1:10" x14ac:dyDescent="0.2">
      <c r="A196">
        <v>5102390</v>
      </c>
      <c r="B196" s="8">
        <v>2016</v>
      </c>
      <c r="C196" s="8" t="s">
        <v>309</v>
      </c>
      <c r="D196" s="8" t="s">
        <v>310</v>
      </c>
      <c r="E196" s="8" t="s">
        <v>311</v>
      </c>
      <c r="F196" t="s">
        <v>253</v>
      </c>
      <c r="G196" t="s">
        <v>220</v>
      </c>
      <c r="H196" s="13">
        <v>2986098</v>
      </c>
      <c r="I196" s="13"/>
      <c r="J196" s="8">
        <f t="shared" si="4"/>
        <v>2986098</v>
      </c>
    </row>
    <row r="197" spans="1:10" x14ac:dyDescent="0.2">
      <c r="A197">
        <v>5102390</v>
      </c>
      <c r="B197" s="8">
        <v>2017</v>
      </c>
      <c r="C197" s="8" t="s">
        <v>309</v>
      </c>
      <c r="D197" s="8" t="s">
        <v>310</v>
      </c>
      <c r="E197" s="8" t="s">
        <v>311</v>
      </c>
      <c r="F197" t="s">
        <v>253</v>
      </c>
      <c r="G197" t="s">
        <v>220</v>
      </c>
      <c r="H197" s="13">
        <v>2966471</v>
      </c>
      <c r="I197" s="13"/>
      <c r="J197" s="8">
        <f t="shared" si="4"/>
        <v>2966471</v>
      </c>
    </row>
    <row r="198" spans="1:10" x14ac:dyDescent="0.2">
      <c r="A198">
        <v>5102390</v>
      </c>
      <c r="B198" s="8">
        <v>2018</v>
      </c>
      <c r="C198" s="8" t="s">
        <v>309</v>
      </c>
      <c r="D198" s="8" t="s">
        <v>310</v>
      </c>
      <c r="E198" s="8" t="s">
        <v>311</v>
      </c>
      <c r="F198" t="s">
        <v>253</v>
      </c>
      <c r="G198" t="s">
        <v>220</v>
      </c>
      <c r="H198" s="13">
        <v>3425400</v>
      </c>
      <c r="I198" s="13"/>
      <c r="J198" s="8">
        <f t="shared" si="4"/>
        <v>3425400</v>
      </c>
    </row>
    <row r="199" spans="1:10" x14ac:dyDescent="0.2">
      <c r="A199">
        <v>5102390</v>
      </c>
      <c r="B199" s="8">
        <v>2019</v>
      </c>
      <c r="C199" s="8" t="s">
        <v>309</v>
      </c>
      <c r="D199" s="8" t="s">
        <v>310</v>
      </c>
      <c r="E199" s="8" t="s">
        <v>311</v>
      </c>
      <c r="F199" t="s">
        <v>253</v>
      </c>
      <c r="G199" t="s">
        <v>220</v>
      </c>
      <c r="H199" s="13">
        <v>3355913</v>
      </c>
      <c r="I199" s="13"/>
      <c r="J199" s="8">
        <f t="shared" si="4"/>
        <v>3355913</v>
      </c>
    </row>
    <row r="200" spans="1:10" x14ac:dyDescent="0.2">
      <c r="A200">
        <v>5102390</v>
      </c>
      <c r="B200" s="8">
        <v>2020</v>
      </c>
      <c r="C200" s="8" t="s">
        <v>309</v>
      </c>
      <c r="D200" s="8" t="s">
        <v>310</v>
      </c>
      <c r="E200" s="8" t="s">
        <v>311</v>
      </c>
      <c r="F200" t="s">
        <v>253</v>
      </c>
      <c r="G200" t="s">
        <v>220</v>
      </c>
      <c r="H200" s="13">
        <v>3474004</v>
      </c>
      <c r="I200" s="13"/>
      <c r="J200" s="8">
        <f t="shared" si="4"/>
        <v>3474004</v>
      </c>
    </row>
    <row r="201" spans="1:10" x14ac:dyDescent="0.2">
      <c r="A201">
        <v>5102390</v>
      </c>
      <c r="B201" s="8">
        <v>2021</v>
      </c>
      <c r="C201" s="8" t="s">
        <v>309</v>
      </c>
      <c r="D201" s="8" t="s">
        <v>310</v>
      </c>
      <c r="E201" s="8" t="s">
        <v>311</v>
      </c>
      <c r="F201" t="s">
        <v>253</v>
      </c>
      <c r="G201" t="s">
        <v>220</v>
      </c>
      <c r="H201" s="13">
        <v>3738778</v>
      </c>
      <c r="I201" s="13">
        <v>162121</v>
      </c>
      <c r="J201" s="8">
        <f t="shared" si="4"/>
        <v>3900899</v>
      </c>
    </row>
    <row r="202" spans="1:10" x14ac:dyDescent="0.2">
      <c r="A202">
        <v>5102390</v>
      </c>
      <c r="B202" s="8">
        <v>2022</v>
      </c>
      <c r="C202" s="8" t="s">
        <v>309</v>
      </c>
      <c r="D202" s="8" t="s">
        <v>310</v>
      </c>
      <c r="E202" s="8" t="s">
        <v>311</v>
      </c>
      <c r="F202" t="s">
        <v>253</v>
      </c>
      <c r="G202" t="s">
        <v>220</v>
      </c>
      <c r="H202" s="13">
        <v>3811150</v>
      </c>
      <c r="I202" s="13">
        <v>1134859</v>
      </c>
      <c r="J202" s="8">
        <f t="shared" si="4"/>
        <v>4946009</v>
      </c>
    </row>
    <row r="203" spans="1:10" x14ac:dyDescent="0.2">
      <c r="A203">
        <v>5102390</v>
      </c>
      <c r="B203" s="8">
        <v>2023</v>
      </c>
      <c r="C203" s="8" t="s">
        <v>309</v>
      </c>
      <c r="D203" s="8" t="s">
        <v>310</v>
      </c>
      <c r="E203" s="8" t="s">
        <v>311</v>
      </c>
      <c r="F203" t="s">
        <v>253</v>
      </c>
      <c r="G203" t="s">
        <v>220</v>
      </c>
      <c r="H203" s="13">
        <v>4164116</v>
      </c>
      <c r="I203" s="13">
        <v>388977</v>
      </c>
      <c r="J203" s="8">
        <f t="shared" si="4"/>
        <v>4553093</v>
      </c>
    </row>
    <row r="204" spans="1:10" x14ac:dyDescent="0.2">
      <c r="A204">
        <v>5103840</v>
      </c>
      <c r="B204" s="8">
        <v>2015</v>
      </c>
      <c r="C204" s="8" t="s">
        <v>309</v>
      </c>
      <c r="D204" s="8" t="s">
        <v>310</v>
      </c>
      <c r="E204" s="8" t="s">
        <v>311</v>
      </c>
      <c r="F204" t="s">
        <v>252</v>
      </c>
      <c r="G204" t="s">
        <v>219</v>
      </c>
      <c r="H204" s="13">
        <v>55990860</v>
      </c>
      <c r="I204" s="13"/>
      <c r="J204" s="8">
        <f t="shared" si="4"/>
        <v>55990860</v>
      </c>
    </row>
    <row r="205" spans="1:10" x14ac:dyDescent="0.2">
      <c r="A205">
        <v>5103840</v>
      </c>
      <c r="B205" s="8">
        <v>2016</v>
      </c>
      <c r="C205" s="8" t="s">
        <v>309</v>
      </c>
      <c r="D205" s="8" t="s">
        <v>310</v>
      </c>
      <c r="E205" s="8" t="s">
        <v>311</v>
      </c>
      <c r="F205" t="s">
        <v>252</v>
      </c>
      <c r="G205" t="s">
        <v>219</v>
      </c>
      <c r="H205" s="13">
        <v>54918080</v>
      </c>
      <c r="I205" s="13"/>
      <c r="J205" s="8">
        <f t="shared" si="4"/>
        <v>54918080</v>
      </c>
    </row>
    <row r="206" spans="1:10" x14ac:dyDescent="0.2">
      <c r="A206">
        <v>5103840</v>
      </c>
      <c r="B206" s="8">
        <v>2017</v>
      </c>
      <c r="C206" s="8" t="s">
        <v>309</v>
      </c>
      <c r="D206" s="8" t="s">
        <v>310</v>
      </c>
      <c r="E206" s="8" t="s">
        <v>311</v>
      </c>
      <c r="F206" t="s">
        <v>252</v>
      </c>
      <c r="G206" t="s">
        <v>219</v>
      </c>
      <c r="H206" s="13">
        <v>57883454</v>
      </c>
      <c r="I206" s="13"/>
      <c r="J206" s="8">
        <f t="shared" si="4"/>
        <v>57883454</v>
      </c>
    </row>
    <row r="207" spans="1:10" x14ac:dyDescent="0.2">
      <c r="A207">
        <v>5103840</v>
      </c>
      <c r="B207" s="8">
        <v>2018</v>
      </c>
      <c r="C207" s="8" t="s">
        <v>309</v>
      </c>
      <c r="D207" s="8" t="s">
        <v>310</v>
      </c>
      <c r="E207" s="8" t="s">
        <v>311</v>
      </c>
      <c r="F207" t="s">
        <v>252</v>
      </c>
      <c r="G207" t="s">
        <v>219</v>
      </c>
      <c r="H207" s="13">
        <v>65645528</v>
      </c>
      <c r="I207" s="13"/>
      <c r="J207" s="8">
        <f t="shared" si="4"/>
        <v>65645528</v>
      </c>
    </row>
    <row r="208" spans="1:10" x14ac:dyDescent="0.2">
      <c r="A208">
        <v>5103840</v>
      </c>
      <c r="B208" s="8">
        <v>2019</v>
      </c>
      <c r="C208" s="8" t="s">
        <v>309</v>
      </c>
      <c r="D208" s="8" t="s">
        <v>310</v>
      </c>
      <c r="E208" s="8" t="s">
        <v>311</v>
      </c>
      <c r="F208" t="s">
        <v>252</v>
      </c>
      <c r="G208" t="s">
        <v>219</v>
      </c>
      <c r="H208" s="13">
        <v>64056333</v>
      </c>
      <c r="I208" s="13"/>
      <c r="J208" s="8">
        <f t="shared" si="4"/>
        <v>64056333</v>
      </c>
    </row>
    <row r="209" spans="1:10" x14ac:dyDescent="0.2">
      <c r="A209">
        <v>5103840</v>
      </c>
      <c r="B209" s="8">
        <v>2020</v>
      </c>
      <c r="C209" s="8" t="s">
        <v>309</v>
      </c>
      <c r="D209" s="8" t="s">
        <v>310</v>
      </c>
      <c r="E209" s="8" t="s">
        <v>311</v>
      </c>
      <c r="F209" t="s">
        <v>252</v>
      </c>
      <c r="G209" t="s">
        <v>219</v>
      </c>
      <c r="H209" s="13">
        <v>65262712</v>
      </c>
      <c r="I209" s="13"/>
      <c r="J209" s="8">
        <f t="shared" si="4"/>
        <v>65262712</v>
      </c>
    </row>
    <row r="210" spans="1:10" x14ac:dyDescent="0.2">
      <c r="A210">
        <v>5103840</v>
      </c>
      <c r="B210" s="8">
        <v>2021</v>
      </c>
      <c r="C210" s="8" t="s">
        <v>309</v>
      </c>
      <c r="D210" s="8" t="s">
        <v>310</v>
      </c>
      <c r="E210" s="8" t="s">
        <v>311</v>
      </c>
      <c r="F210" t="s">
        <v>252</v>
      </c>
      <c r="G210" t="s">
        <v>219</v>
      </c>
      <c r="H210" s="13">
        <v>68331757</v>
      </c>
      <c r="I210" s="13">
        <v>2962947</v>
      </c>
      <c r="J210" s="8">
        <f t="shared" si="4"/>
        <v>71294704</v>
      </c>
    </row>
    <row r="211" spans="1:10" x14ac:dyDescent="0.2">
      <c r="A211">
        <v>5103840</v>
      </c>
      <c r="B211" s="8">
        <v>2022</v>
      </c>
      <c r="C211" s="8" t="s">
        <v>309</v>
      </c>
      <c r="D211" s="8" t="s">
        <v>310</v>
      </c>
      <c r="E211" s="8" t="s">
        <v>311</v>
      </c>
      <c r="F211" t="s">
        <v>252</v>
      </c>
      <c r="G211" t="s">
        <v>219</v>
      </c>
      <c r="H211" s="13">
        <v>70643230</v>
      </c>
      <c r="I211" s="13">
        <v>21036072</v>
      </c>
      <c r="J211" s="8">
        <f t="shared" si="4"/>
        <v>91679302</v>
      </c>
    </row>
    <row r="212" spans="1:10" x14ac:dyDescent="0.2">
      <c r="A212">
        <v>5103840</v>
      </c>
      <c r="B212" s="8">
        <v>2023</v>
      </c>
      <c r="C212" s="8" t="s">
        <v>309</v>
      </c>
      <c r="D212" s="8" t="s">
        <v>310</v>
      </c>
      <c r="E212" s="8" t="s">
        <v>311</v>
      </c>
      <c r="F212" t="s">
        <v>252</v>
      </c>
      <c r="G212" t="s">
        <v>219</v>
      </c>
      <c r="H212" s="13">
        <v>73628541</v>
      </c>
      <c r="I212" s="13">
        <v>6877868</v>
      </c>
      <c r="J212" s="8">
        <f t="shared" si="4"/>
        <v>80506409</v>
      </c>
    </row>
    <row r="213" spans="1:10" x14ac:dyDescent="0.2">
      <c r="A213">
        <v>5100810</v>
      </c>
      <c r="B213" s="8">
        <v>2015</v>
      </c>
      <c r="C213" s="8" t="s">
        <v>309</v>
      </c>
      <c r="D213" s="8" t="s">
        <v>310</v>
      </c>
      <c r="E213" s="8" t="s">
        <v>311</v>
      </c>
      <c r="F213" t="s">
        <v>251</v>
      </c>
      <c r="G213" t="s">
        <v>218</v>
      </c>
      <c r="H213" s="13">
        <v>31780455</v>
      </c>
      <c r="I213" s="13"/>
      <c r="J213" s="8">
        <f t="shared" si="4"/>
        <v>31780455</v>
      </c>
    </row>
    <row r="214" spans="1:10" x14ac:dyDescent="0.2">
      <c r="A214">
        <v>5100810</v>
      </c>
      <c r="B214" s="8">
        <v>2016</v>
      </c>
      <c r="C214" s="8" t="s">
        <v>309</v>
      </c>
      <c r="D214" s="8" t="s">
        <v>310</v>
      </c>
      <c r="E214" s="8" t="s">
        <v>311</v>
      </c>
      <c r="F214" t="s">
        <v>251</v>
      </c>
      <c r="G214" t="s">
        <v>218</v>
      </c>
      <c r="H214" s="13">
        <v>30668126</v>
      </c>
      <c r="I214" s="13"/>
      <c r="J214" s="8">
        <f t="shared" si="4"/>
        <v>30668126</v>
      </c>
    </row>
    <row r="215" spans="1:10" x14ac:dyDescent="0.2">
      <c r="A215">
        <v>5100810</v>
      </c>
      <c r="B215" s="8">
        <v>2017</v>
      </c>
      <c r="C215" s="8" t="s">
        <v>309</v>
      </c>
      <c r="D215" s="8" t="s">
        <v>310</v>
      </c>
      <c r="E215" s="8" t="s">
        <v>311</v>
      </c>
      <c r="F215" t="s">
        <v>251</v>
      </c>
      <c r="G215" t="s">
        <v>218</v>
      </c>
      <c r="H215" s="13">
        <v>32755761</v>
      </c>
      <c r="I215" s="13"/>
      <c r="J215" s="8">
        <f t="shared" si="4"/>
        <v>32755761</v>
      </c>
    </row>
    <row r="216" spans="1:10" x14ac:dyDescent="0.2">
      <c r="A216">
        <v>5100810</v>
      </c>
      <c r="B216" s="8">
        <v>2018</v>
      </c>
      <c r="C216" s="8" t="s">
        <v>309</v>
      </c>
      <c r="D216" s="8" t="s">
        <v>310</v>
      </c>
      <c r="E216" s="8" t="s">
        <v>311</v>
      </c>
      <c r="F216" t="s">
        <v>251</v>
      </c>
      <c r="G216" t="s">
        <v>218</v>
      </c>
      <c r="H216" s="13">
        <v>37378505</v>
      </c>
      <c r="I216" s="13"/>
      <c r="J216" s="8">
        <f t="shared" si="4"/>
        <v>37378505</v>
      </c>
    </row>
    <row r="217" spans="1:10" x14ac:dyDescent="0.2">
      <c r="A217">
        <v>5100810</v>
      </c>
      <c r="B217" s="8">
        <v>2019</v>
      </c>
      <c r="C217" s="8" t="s">
        <v>309</v>
      </c>
      <c r="D217" s="8" t="s">
        <v>310</v>
      </c>
      <c r="E217" s="8" t="s">
        <v>311</v>
      </c>
      <c r="F217" t="s">
        <v>251</v>
      </c>
      <c r="G217" t="s">
        <v>218</v>
      </c>
      <c r="H217" s="13">
        <v>36880496</v>
      </c>
      <c r="I217" s="13"/>
      <c r="J217" s="8">
        <f t="shared" si="4"/>
        <v>36880496</v>
      </c>
    </row>
    <row r="218" spans="1:10" x14ac:dyDescent="0.2">
      <c r="A218">
        <v>5100810</v>
      </c>
      <c r="B218" s="8">
        <v>2020</v>
      </c>
      <c r="C218" s="8" t="s">
        <v>309</v>
      </c>
      <c r="D218" s="8" t="s">
        <v>310</v>
      </c>
      <c r="E218" s="8" t="s">
        <v>311</v>
      </c>
      <c r="F218" t="s">
        <v>251</v>
      </c>
      <c r="G218" t="s">
        <v>218</v>
      </c>
      <c r="H218" s="13">
        <v>38740321</v>
      </c>
      <c r="I218" s="13"/>
      <c r="J218" s="8">
        <f t="shared" si="4"/>
        <v>38740321</v>
      </c>
    </row>
    <row r="219" spans="1:10" x14ac:dyDescent="0.2">
      <c r="A219">
        <v>5100810</v>
      </c>
      <c r="B219" s="8">
        <v>2021</v>
      </c>
      <c r="C219" s="8" t="s">
        <v>309</v>
      </c>
      <c r="D219" s="8" t="s">
        <v>310</v>
      </c>
      <c r="E219" s="8" t="s">
        <v>311</v>
      </c>
      <c r="F219" t="s">
        <v>251</v>
      </c>
      <c r="G219" t="s">
        <v>218</v>
      </c>
      <c r="H219" s="13">
        <v>41109001</v>
      </c>
      <c r="I219" s="13">
        <v>1782536</v>
      </c>
      <c r="J219" s="8">
        <f t="shared" si="4"/>
        <v>42891537</v>
      </c>
    </row>
    <row r="220" spans="1:10" x14ac:dyDescent="0.2">
      <c r="A220">
        <v>5100810</v>
      </c>
      <c r="B220" s="8">
        <v>2022</v>
      </c>
      <c r="C220" s="8" t="s">
        <v>309</v>
      </c>
      <c r="D220" s="8" t="s">
        <v>310</v>
      </c>
      <c r="E220" s="8" t="s">
        <v>311</v>
      </c>
      <c r="F220" t="s">
        <v>251</v>
      </c>
      <c r="G220" t="s">
        <v>218</v>
      </c>
      <c r="H220" s="13">
        <v>43464705</v>
      </c>
      <c r="I220" s="13">
        <v>12942849</v>
      </c>
      <c r="J220" s="8">
        <f t="shared" si="4"/>
        <v>56407554</v>
      </c>
    </row>
    <row r="221" spans="1:10" x14ac:dyDescent="0.2">
      <c r="A221">
        <v>5100810</v>
      </c>
      <c r="B221" s="8">
        <v>2023</v>
      </c>
      <c r="C221" s="8" t="s">
        <v>309</v>
      </c>
      <c r="D221" s="8" t="s">
        <v>310</v>
      </c>
      <c r="E221" s="8" t="s">
        <v>311</v>
      </c>
      <c r="F221" t="s">
        <v>251</v>
      </c>
      <c r="G221" t="s">
        <v>218</v>
      </c>
      <c r="H221" s="13">
        <v>47899258</v>
      </c>
      <c r="I221" s="13">
        <v>4474392</v>
      </c>
      <c r="J221" s="8">
        <f t="shared" si="4"/>
        <v>52373650</v>
      </c>
    </row>
    <row r="222" spans="1:10" x14ac:dyDescent="0.2">
      <c r="A222">
        <v>5101410</v>
      </c>
      <c r="B222" s="8">
        <v>2015</v>
      </c>
      <c r="C222" s="8" t="s">
        <v>309</v>
      </c>
      <c r="D222" s="8" t="s">
        <v>310</v>
      </c>
      <c r="E222" s="8" t="s">
        <v>311</v>
      </c>
      <c r="F222" t="s">
        <v>250</v>
      </c>
      <c r="G222" t="s">
        <v>217</v>
      </c>
      <c r="H222" s="13">
        <v>1089233</v>
      </c>
      <c r="I222" s="13"/>
      <c r="J222" s="8">
        <f t="shared" si="4"/>
        <v>1089233</v>
      </c>
    </row>
    <row r="223" spans="1:10" x14ac:dyDescent="0.2">
      <c r="A223">
        <v>5101410</v>
      </c>
      <c r="B223" s="8">
        <v>2016</v>
      </c>
      <c r="C223" s="8" t="s">
        <v>309</v>
      </c>
      <c r="D223" s="8" t="s">
        <v>310</v>
      </c>
      <c r="E223" s="8" t="s">
        <v>311</v>
      </c>
      <c r="F223" t="s">
        <v>250</v>
      </c>
      <c r="G223" t="s">
        <v>217</v>
      </c>
      <c r="H223" s="13">
        <v>1075621</v>
      </c>
      <c r="I223" s="13"/>
      <c r="J223" s="8">
        <f t="shared" si="4"/>
        <v>1075621</v>
      </c>
    </row>
    <row r="224" spans="1:10" x14ac:dyDescent="0.2">
      <c r="A224">
        <v>5101410</v>
      </c>
      <c r="B224" s="8">
        <v>2017</v>
      </c>
      <c r="C224" s="8" t="s">
        <v>309</v>
      </c>
      <c r="D224" s="8" t="s">
        <v>310</v>
      </c>
      <c r="E224" s="8" t="s">
        <v>311</v>
      </c>
      <c r="F224" t="s">
        <v>250</v>
      </c>
      <c r="G224" t="s">
        <v>217</v>
      </c>
      <c r="H224" s="13">
        <v>1093471</v>
      </c>
      <c r="I224" s="13"/>
      <c r="J224" s="8">
        <f t="shared" si="4"/>
        <v>1093471</v>
      </c>
    </row>
    <row r="225" spans="1:10" x14ac:dyDescent="0.2">
      <c r="A225">
        <v>5101410</v>
      </c>
      <c r="B225" s="8">
        <v>2018</v>
      </c>
      <c r="C225" s="8" t="s">
        <v>309</v>
      </c>
      <c r="D225" s="8" t="s">
        <v>310</v>
      </c>
      <c r="E225" s="8" t="s">
        <v>311</v>
      </c>
      <c r="F225" t="s">
        <v>250</v>
      </c>
      <c r="G225" t="s">
        <v>217</v>
      </c>
      <c r="H225" s="13">
        <v>1119367</v>
      </c>
      <c r="I225" s="13"/>
      <c r="J225" s="8">
        <f t="shared" si="4"/>
        <v>1119367</v>
      </c>
    </row>
    <row r="226" spans="1:10" x14ac:dyDescent="0.2">
      <c r="A226">
        <v>5101410</v>
      </c>
      <c r="B226" s="8">
        <v>2019</v>
      </c>
      <c r="C226" s="8" t="s">
        <v>309</v>
      </c>
      <c r="D226" s="8" t="s">
        <v>310</v>
      </c>
      <c r="E226" s="8" t="s">
        <v>311</v>
      </c>
      <c r="F226" t="s">
        <v>250</v>
      </c>
      <c r="G226" t="s">
        <v>217</v>
      </c>
      <c r="H226" s="13">
        <v>1023588</v>
      </c>
      <c r="I226" s="13"/>
      <c r="J226" s="8">
        <f t="shared" si="4"/>
        <v>1023588</v>
      </c>
    </row>
    <row r="227" spans="1:10" x14ac:dyDescent="0.2">
      <c r="A227">
        <v>5101410</v>
      </c>
      <c r="B227" s="8">
        <v>2020</v>
      </c>
      <c r="C227" s="8" t="s">
        <v>309</v>
      </c>
      <c r="D227" s="8" t="s">
        <v>310</v>
      </c>
      <c r="E227" s="8" t="s">
        <v>311</v>
      </c>
      <c r="F227" t="s">
        <v>250</v>
      </c>
      <c r="G227" t="s">
        <v>217</v>
      </c>
      <c r="H227" s="13">
        <v>956731</v>
      </c>
      <c r="I227" s="13"/>
      <c r="J227" s="8">
        <f t="shared" si="4"/>
        <v>956731</v>
      </c>
    </row>
    <row r="228" spans="1:10" x14ac:dyDescent="0.2">
      <c r="A228">
        <v>5101410</v>
      </c>
      <c r="B228" s="8">
        <v>2021</v>
      </c>
      <c r="C228" s="8" t="s">
        <v>309</v>
      </c>
      <c r="D228" s="8" t="s">
        <v>310</v>
      </c>
      <c r="E228" s="8" t="s">
        <v>311</v>
      </c>
      <c r="F228" t="s">
        <v>250</v>
      </c>
      <c r="G228" t="s">
        <v>217</v>
      </c>
      <c r="H228" s="13">
        <v>1086028</v>
      </c>
      <c r="I228" s="13">
        <v>47094</v>
      </c>
      <c r="J228" s="8">
        <f t="shared" si="4"/>
        <v>1133122</v>
      </c>
    </row>
    <row r="229" spans="1:10" x14ac:dyDescent="0.2">
      <c r="A229">
        <v>5101410</v>
      </c>
      <c r="B229" s="8">
        <v>2022</v>
      </c>
      <c r="C229" s="8" t="s">
        <v>309</v>
      </c>
      <c r="D229" s="8" t="s">
        <v>310</v>
      </c>
      <c r="E229" s="8" t="s">
        <v>311</v>
      </c>
      <c r="F229" t="s">
        <v>250</v>
      </c>
      <c r="G229" t="s">
        <v>217</v>
      </c>
      <c r="H229" s="13">
        <v>1097787</v>
      </c>
      <c r="I229" s="13">
        <v>326912</v>
      </c>
      <c r="J229" s="8">
        <f t="shared" si="4"/>
        <v>1424699</v>
      </c>
    </row>
    <row r="230" spans="1:10" x14ac:dyDescent="0.2">
      <c r="A230">
        <v>5101410</v>
      </c>
      <c r="B230" s="8">
        <v>2023</v>
      </c>
      <c r="C230" s="8" t="s">
        <v>309</v>
      </c>
      <c r="D230" s="8" t="s">
        <v>310</v>
      </c>
      <c r="E230" s="8" t="s">
        <v>311</v>
      </c>
      <c r="F230" t="s">
        <v>250</v>
      </c>
      <c r="G230" t="s">
        <v>217</v>
      </c>
      <c r="H230" s="13">
        <v>1275545</v>
      </c>
      <c r="I230" s="13">
        <v>119145</v>
      </c>
      <c r="J230" s="8">
        <f t="shared" si="4"/>
        <v>1394690</v>
      </c>
    </row>
    <row r="231" spans="1:10" x14ac:dyDescent="0.2">
      <c r="A231">
        <v>5101230</v>
      </c>
      <c r="B231" s="8">
        <v>2015</v>
      </c>
      <c r="C231" s="8" t="s">
        <v>309</v>
      </c>
      <c r="D231" s="8" t="s">
        <v>310</v>
      </c>
      <c r="E231" s="8" t="s">
        <v>311</v>
      </c>
      <c r="F231" t="s">
        <v>249</v>
      </c>
      <c r="G231" t="s">
        <v>216</v>
      </c>
      <c r="H231" s="13">
        <v>12404</v>
      </c>
      <c r="I231" s="13"/>
      <c r="J231" s="8">
        <f t="shared" si="4"/>
        <v>12404</v>
      </c>
    </row>
    <row r="232" spans="1:10" x14ac:dyDescent="0.2">
      <c r="A232">
        <v>5101230</v>
      </c>
      <c r="B232" s="8">
        <v>2016</v>
      </c>
      <c r="C232" s="8" t="s">
        <v>309</v>
      </c>
      <c r="D232" s="8" t="s">
        <v>310</v>
      </c>
      <c r="E232" s="8" t="s">
        <v>311</v>
      </c>
      <c r="F232" t="s">
        <v>249</v>
      </c>
      <c r="G232" t="s">
        <v>216</v>
      </c>
      <c r="H232" s="13">
        <v>12573</v>
      </c>
      <c r="I232" s="13"/>
      <c r="J232" s="8">
        <f t="shared" si="4"/>
        <v>12573</v>
      </c>
    </row>
    <row r="233" spans="1:10" x14ac:dyDescent="0.2">
      <c r="A233">
        <v>5101230</v>
      </c>
      <c r="B233" s="8">
        <v>2017</v>
      </c>
      <c r="C233" s="8" t="s">
        <v>309</v>
      </c>
      <c r="D233" s="8" t="s">
        <v>310</v>
      </c>
      <c r="E233" s="8" t="s">
        <v>311</v>
      </c>
      <c r="F233" t="s">
        <v>249</v>
      </c>
      <c r="G233" t="s">
        <v>216</v>
      </c>
      <c r="H233" s="13">
        <v>13674</v>
      </c>
      <c r="I233" s="13"/>
      <c r="J233" s="8">
        <f t="shared" si="4"/>
        <v>13674</v>
      </c>
    </row>
    <row r="234" spans="1:10" x14ac:dyDescent="0.2">
      <c r="A234">
        <v>5101230</v>
      </c>
      <c r="B234" s="8">
        <v>2018</v>
      </c>
      <c r="C234" s="8" t="s">
        <v>309</v>
      </c>
      <c r="D234" s="8" t="s">
        <v>310</v>
      </c>
      <c r="E234" s="8" t="s">
        <v>311</v>
      </c>
      <c r="F234" t="s">
        <v>249</v>
      </c>
      <c r="G234" t="s">
        <v>216</v>
      </c>
      <c r="H234" s="13">
        <v>15527</v>
      </c>
      <c r="I234" s="13"/>
      <c r="J234" s="8">
        <f t="shared" si="4"/>
        <v>15527</v>
      </c>
    </row>
    <row r="235" spans="1:10" x14ac:dyDescent="0.2">
      <c r="A235">
        <v>5101230</v>
      </c>
      <c r="B235" s="8">
        <v>2019</v>
      </c>
      <c r="C235" s="8" t="s">
        <v>309</v>
      </c>
      <c r="D235" s="8" t="s">
        <v>310</v>
      </c>
      <c r="E235" s="8" t="s">
        <v>311</v>
      </c>
      <c r="F235" t="s">
        <v>249</v>
      </c>
      <c r="G235" t="s">
        <v>216</v>
      </c>
      <c r="H235" s="13">
        <v>14918</v>
      </c>
      <c r="I235" s="13"/>
      <c r="J235" s="8">
        <f t="shared" si="4"/>
        <v>14918</v>
      </c>
    </row>
    <row r="236" spans="1:10" x14ac:dyDescent="0.2">
      <c r="A236">
        <v>5101230</v>
      </c>
      <c r="B236" s="8">
        <v>2020</v>
      </c>
      <c r="C236" s="8" t="s">
        <v>309</v>
      </c>
      <c r="D236" s="8" t="s">
        <v>310</v>
      </c>
      <c r="E236" s="8" t="s">
        <v>311</v>
      </c>
      <c r="F236" t="s">
        <v>249</v>
      </c>
      <c r="G236" t="s">
        <v>216</v>
      </c>
      <c r="H236" s="13">
        <v>15306</v>
      </c>
      <c r="I236" s="13"/>
      <c r="J236" s="8">
        <f t="shared" si="4"/>
        <v>15306</v>
      </c>
    </row>
    <row r="237" spans="1:10" x14ac:dyDescent="0.2">
      <c r="A237">
        <v>5101230</v>
      </c>
      <c r="B237" s="8">
        <v>2021</v>
      </c>
      <c r="C237" s="8" t="s">
        <v>309</v>
      </c>
      <c r="D237" s="8" t="s">
        <v>310</v>
      </c>
      <c r="E237" s="8" t="s">
        <v>311</v>
      </c>
      <c r="F237" t="s">
        <v>249</v>
      </c>
      <c r="G237" t="s">
        <v>216</v>
      </c>
      <c r="H237" s="13">
        <v>16224</v>
      </c>
      <c r="I237" s="13">
        <v>705</v>
      </c>
      <c r="J237" s="8">
        <f t="shared" si="4"/>
        <v>16929</v>
      </c>
    </row>
    <row r="238" spans="1:10" x14ac:dyDescent="0.2">
      <c r="A238">
        <v>5101230</v>
      </c>
      <c r="B238" s="8">
        <v>2022</v>
      </c>
      <c r="C238" s="8" t="s">
        <v>309</v>
      </c>
      <c r="D238" s="8" t="s">
        <v>310</v>
      </c>
      <c r="E238" s="8" t="s">
        <v>311</v>
      </c>
      <c r="F238" t="s">
        <v>249</v>
      </c>
      <c r="G238" t="s">
        <v>216</v>
      </c>
      <c r="H238" s="13">
        <v>16224</v>
      </c>
      <c r="I238" s="13">
        <v>4822</v>
      </c>
      <c r="J238" s="8">
        <f t="shared" si="4"/>
        <v>21046</v>
      </c>
    </row>
    <row r="239" spans="1:10" x14ac:dyDescent="0.2">
      <c r="A239">
        <v>5101230</v>
      </c>
      <c r="B239" s="8">
        <v>2023</v>
      </c>
      <c r="C239" s="8" t="s">
        <v>309</v>
      </c>
      <c r="D239" s="8" t="s">
        <v>310</v>
      </c>
      <c r="E239" s="8" t="s">
        <v>311</v>
      </c>
      <c r="F239" t="s">
        <v>249</v>
      </c>
      <c r="G239" t="s">
        <v>216</v>
      </c>
      <c r="H239" s="13">
        <v>16386</v>
      </c>
      <c r="I239" s="13">
        <v>1534</v>
      </c>
      <c r="J239" s="8">
        <f t="shared" si="4"/>
        <v>17920</v>
      </c>
    </row>
    <row r="240" spans="1:10" x14ac:dyDescent="0.2">
      <c r="A240">
        <v>5100990</v>
      </c>
      <c r="B240" s="8">
        <v>2015</v>
      </c>
      <c r="C240" s="8" t="s">
        <v>309</v>
      </c>
      <c r="D240" s="8" t="s">
        <v>310</v>
      </c>
      <c r="E240" s="8" t="s">
        <v>311</v>
      </c>
      <c r="F240" t="s">
        <v>248</v>
      </c>
      <c r="G240" t="s">
        <v>215</v>
      </c>
      <c r="H240" s="13">
        <v>710238</v>
      </c>
      <c r="I240" s="13"/>
      <c r="J240" s="8">
        <f t="shared" si="4"/>
        <v>710238</v>
      </c>
    </row>
    <row r="241" spans="1:10" x14ac:dyDescent="0.2">
      <c r="A241">
        <v>5100990</v>
      </c>
      <c r="B241" s="8">
        <v>2016</v>
      </c>
      <c r="C241" s="8" t="s">
        <v>309</v>
      </c>
      <c r="D241" s="8" t="s">
        <v>310</v>
      </c>
      <c r="E241" s="8" t="s">
        <v>311</v>
      </c>
      <c r="F241" t="s">
        <v>248</v>
      </c>
      <c r="G241" t="s">
        <v>215</v>
      </c>
      <c r="H241" s="13">
        <v>730756</v>
      </c>
      <c r="I241" s="13"/>
      <c r="J241" s="8">
        <f t="shared" si="4"/>
        <v>730756</v>
      </c>
    </row>
    <row r="242" spans="1:10" x14ac:dyDescent="0.2">
      <c r="A242">
        <v>5100990</v>
      </c>
      <c r="B242" s="8">
        <v>2017</v>
      </c>
      <c r="C242" s="8" t="s">
        <v>309</v>
      </c>
      <c r="D242" s="8" t="s">
        <v>310</v>
      </c>
      <c r="E242" s="8" t="s">
        <v>311</v>
      </c>
      <c r="F242" t="s">
        <v>248</v>
      </c>
      <c r="G242" t="s">
        <v>215</v>
      </c>
      <c r="H242" s="13">
        <v>817457</v>
      </c>
      <c r="I242" s="13"/>
      <c r="J242" s="8">
        <f t="shared" si="4"/>
        <v>817457</v>
      </c>
    </row>
    <row r="243" spans="1:10" x14ac:dyDescent="0.2">
      <c r="A243">
        <v>5100990</v>
      </c>
      <c r="B243" s="8">
        <v>2018</v>
      </c>
      <c r="C243" s="8" t="s">
        <v>309</v>
      </c>
      <c r="D243" s="8" t="s">
        <v>310</v>
      </c>
      <c r="E243" s="8" t="s">
        <v>311</v>
      </c>
      <c r="F243" t="s">
        <v>248</v>
      </c>
      <c r="G243" t="s">
        <v>215</v>
      </c>
      <c r="H243" s="13">
        <v>882636</v>
      </c>
      <c r="I243" s="13"/>
      <c r="J243" s="8">
        <f t="shared" si="4"/>
        <v>882636</v>
      </c>
    </row>
    <row r="244" spans="1:10" x14ac:dyDescent="0.2">
      <c r="A244">
        <v>5100990</v>
      </c>
      <c r="B244" s="8">
        <v>2019</v>
      </c>
      <c r="C244" s="8" t="s">
        <v>309</v>
      </c>
      <c r="D244" s="8" t="s">
        <v>310</v>
      </c>
      <c r="E244" s="8" t="s">
        <v>311</v>
      </c>
      <c r="F244" t="s">
        <v>248</v>
      </c>
      <c r="G244" t="s">
        <v>215</v>
      </c>
      <c r="H244" s="13">
        <v>846209</v>
      </c>
      <c r="I244" s="13"/>
      <c r="J244" s="8">
        <f t="shared" si="4"/>
        <v>846209</v>
      </c>
    </row>
    <row r="245" spans="1:10" x14ac:dyDescent="0.2">
      <c r="A245">
        <v>5100990</v>
      </c>
      <c r="B245" s="8">
        <v>2020</v>
      </c>
      <c r="C245" s="8" t="s">
        <v>309</v>
      </c>
      <c r="D245" s="8" t="s">
        <v>310</v>
      </c>
      <c r="E245" s="8" t="s">
        <v>311</v>
      </c>
      <c r="F245" t="s">
        <v>248</v>
      </c>
      <c r="G245" t="s">
        <v>215</v>
      </c>
      <c r="H245" s="13">
        <v>866676</v>
      </c>
      <c r="I245" s="13"/>
      <c r="J245" s="8">
        <f t="shared" si="4"/>
        <v>866676</v>
      </c>
    </row>
    <row r="246" spans="1:10" x14ac:dyDescent="0.2">
      <c r="A246">
        <v>5100990</v>
      </c>
      <c r="B246" s="8">
        <v>2021</v>
      </c>
      <c r="C246" s="8" t="s">
        <v>309</v>
      </c>
      <c r="D246" s="8" t="s">
        <v>310</v>
      </c>
      <c r="E246" s="8" t="s">
        <v>311</v>
      </c>
      <c r="F246" t="s">
        <v>248</v>
      </c>
      <c r="G246" t="s">
        <v>215</v>
      </c>
      <c r="H246" s="13">
        <v>868920</v>
      </c>
      <c r="I246" s="13">
        <v>37678</v>
      </c>
      <c r="J246" s="8">
        <f t="shared" si="4"/>
        <v>906598</v>
      </c>
    </row>
    <row r="247" spans="1:10" x14ac:dyDescent="0.2">
      <c r="A247">
        <v>5100990</v>
      </c>
      <c r="B247" s="8">
        <v>2022</v>
      </c>
      <c r="C247" s="8" t="s">
        <v>309</v>
      </c>
      <c r="D247" s="8" t="s">
        <v>310</v>
      </c>
      <c r="E247" s="8" t="s">
        <v>311</v>
      </c>
      <c r="F247" t="s">
        <v>248</v>
      </c>
      <c r="G247" t="s">
        <v>215</v>
      </c>
      <c r="H247" s="13"/>
      <c r="I247" s="13"/>
      <c r="J247" s="8">
        <f t="shared" si="4"/>
        <v>0</v>
      </c>
    </row>
    <row r="248" spans="1:10" x14ac:dyDescent="0.2">
      <c r="A248">
        <v>5100960</v>
      </c>
      <c r="B248" s="8">
        <v>2015</v>
      </c>
      <c r="C248" s="8" t="s">
        <v>309</v>
      </c>
      <c r="D248" s="8" t="s">
        <v>310</v>
      </c>
      <c r="E248" s="8" t="s">
        <v>311</v>
      </c>
      <c r="F248" t="s">
        <v>247</v>
      </c>
      <c r="G248" t="s">
        <v>214</v>
      </c>
      <c r="H248" s="13">
        <v>2649823</v>
      </c>
      <c r="I248" s="13"/>
      <c r="J248" s="8">
        <f t="shared" si="4"/>
        <v>2649823</v>
      </c>
    </row>
    <row r="249" spans="1:10" x14ac:dyDescent="0.2">
      <c r="A249">
        <v>5100960</v>
      </c>
      <c r="B249" s="8">
        <v>2016</v>
      </c>
      <c r="C249" s="8" t="s">
        <v>309</v>
      </c>
      <c r="D249" s="8" t="s">
        <v>310</v>
      </c>
      <c r="E249" s="8" t="s">
        <v>311</v>
      </c>
      <c r="F249" t="s">
        <v>247</v>
      </c>
      <c r="G249" t="s">
        <v>214</v>
      </c>
      <c r="H249" s="13">
        <v>2575948</v>
      </c>
      <c r="I249" s="13"/>
      <c r="J249" s="8">
        <f t="shared" si="4"/>
        <v>2575948</v>
      </c>
    </row>
    <row r="250" spans="1:10" x14ac:dyDescent="0.2">
      <c r="A250">
        <v>5100960</v>
      </c>
      <c r="B250" s="8">
        <v>2017</v>
      </c>
      <c r="C250" s="8" t="s">
        <v>309</v>
      </c>
      <c r="D250" s="8" t="s">
        <v>310</v>
      </c>
      <c r="E250" s="8" t="s">
        <v>311</v>
      </c>
      <c r="F250" t="s">
        <v>247</v>
      </c>
      <c r="G250" t="s">
        <v>214</v>
      </c>
      <c r="H250" s="13">
        <v>2696034</v>
      </c>
      <c r="I250" s="13"/>
      <c r="J250" s="8">
        <f t="shared" si="4"/>
        <v>2696034</v>
      </c>
    </row>
    <row r="251" spans="1:10" x14ac:dyDescent="0.2">
      <c r="A251">
        <v>5100960</v>
      </c>
      <c r="B251" s="8">
        <v>2018</v>
      </c>
      <c r="C251" s="8" t="s">
        <v>309</v>
      </c>
      <c r="D251" s="8" t="s">
        <v>310</v>
      </c>
      <c r="E251" s="8" t="s">
        <v>311</v>
      </c>
      <c r="F251" t="s">
        <v>247</v>
      </c>
      <c r="G251" t="s">
        <v>214</v>
      </c>
      <c r="H251" s="13">
        <v>3044775</v>
      </c>
      <c r="I251" s="13"/>
      <c r="J251" s="8">
        <f t="shared" si="4"/>
        <v>3044775</v>
      </c>
    </row>
    <row r="252" spans="1:10" x14ac:dyDescent="0.2">
      <c r="A252">
        <v>5100960</v>
      </c>
      <c r="B252" s="8">
        <v>2019</v>
      </c>
      <c r="C252" s="8" t="s">
        <v>309</v>
      </c>
      <c r="D252" s="8" t="s">
        <v>310</v>
      </c>
      <c r="E252" s="8" t="s">
        <v>311</v>
      </c>
      <c r="F252" t="s">
        <v>247</v>
      </c>
      <c r="G252" t="s">
        <v>214</v>
      </c>
      <c r="H252" s="13">
        <v>2989247</v>
      </c>
      <c r="I252" s="13"/>
      <c r="J252" s="8">
        <f t="shared" si="4"/>
        <v>2989247</v>
      </c>
    </row>
    <row r="253" spans="1:10" x14ac:dyDescent="0.2">
      <c r="A253">
        <v>5100960</v>
      </c>
      <c r="B253" s="8">
        <v>2020</v>
      </c>
      <c r="C253" s="8" t="s">
        <v>309</v>
      </c>
      <c r="D253" s="8" t="s">
        <v>310</v>
      </c>
      <c r="E253" s="8" t="s">
        <v>311</v>
      </c>
      <c r="F253" t="s">
        <v>247</v>
      </c>
      <c r="G253" t="s">
        <v>214</v>
      </c>
      <c r="H253" s="13">
        <v>3043014</v>
      </c>
      <c r="I253" s="13"/>
      <c r="J253" s="8">
        <f t="shared" si="4"/>
        <v>3043014</v>
      </c>
    </row>
    <row r="254" spans="1:10" x14ac:dyDescent="0.2">
      <c r="A254">
        <v>5100960</v>
      </c>
      <c r="B254" s="8">
        <v>2021</v>
      </c>
      <c r="C254" s="8" t="s">
        <v>309</v>
      </c>
      <c r="D254" s="8" t="s">
        <v>310</v>
      </c>
      <c r="E254" s="8" t="s">
        <v>311</v>
      </c>
      <c r="F254" t="s">
        <v>247</v>
      </c>
      <c r="G254" t="s">
        <v>214</v>
      </c>
      <c r="H254" s="13">
        <v>3229607</v>
      </c>
      <c r="I254" s="13">
        <v>140037</v>
      </c>
      <c r="J254" s="8">
        <f t="shared" si="4"/>
        <v>3369644</v>
      </c>
    </row>
    <row r="255" spans="1:10" x14ac:dyDescent="0.2">
      <c r="A255">
        <v>5100960</v>
      </c>
      <c r="B255" s="8">
        <v>2022</v>
      </c>
      <c r="C255" s="8" t="s">
        <v>309</v>
      </c>
      <c r="D255" s="8" t="s">
        <v>310</v>
      </c>
      <c r="E255" s="8" t="s">
        <v>311</v>
      </c>
      <c r="F255" t="s">
        <v>247</v>
      </c>
      <c r="G255" t="s">
        <v>214</v>
      </c>
      <c r="H255" s="13">
        <v>3343552</v>
      </c>
      <c r="I255" s="13">
        <v>995645</v>
      </c>
      <c r="J255" s="8">
        <f t="shared" si="4"/>
        <v>4339197</v>
      </c>
    </row>
    <row r="256" spans="1:10" x14ac:dyDescent="0.2">
      <c r="A256">
        <v>5100960</v>
      </c>
      <c r="B256" s="8">
        <v>2023</v>
      </c>
      <c r="C256" s="8" t="s">
        <v>309</v>
      </c>
      <c r="D256" s="8" t="s">
        <v>310</v>
      </c>
      <c r="E256" s="8" t="s">
        <v>311</v>
      </c>
      <c r="F256" t="s">
        <v>247</v>
      </c>
      <c r="G256" t="s">
        <v>214</v>
      </c>
      <c r="H256" s="13">
        <v>3586603</v>
      </c>
      <c r="I256" s="13">
        <v>335037</v>
      </c>
      <c r="J256" s="8">
        <f t="shared" si="4"/>
        <v>3921640</v>
      </c>
    </row>
    <row r="257" spans="1:10" x14ac:dyDescent="0.2">
      <c r="A257">
        <v>5101290</v>
      </c>
      <c r="B257" s="8">
        <v>2015</v>
      </c>
      <c r="C257" s="8" t="s">
        <v>309</v>
      </c>
      <c r="D257" s="8" t="s">
        <v>310</v>
      </c>
      <c r="E257" s="8" t="s">
        <v>311</v>
      </c>
      <c r="F257" t="s">
        <v>246</v>
      </c>
      <c r="G257" t="s">
        <v>213</v>
      </c>
      <c r="H257" s="13">
        <v>3463586</v>
      </c>
      <c r="I257" s="13"/>
      <c r="J257" s="8">
        <f t="shared" si="4"/>
        <v>3463586</v>
      </c>
    </row>
    <row r="258" spans="1:10" x14ac:dyDescent="0.2">
      <c r="A258">
        <v>5101290</v>
      </c>
      <c r="B258" s="8">
        <v>2016</v>
      </c>
      <c r="C258" s="8" t="s">
        <v>309</v>
      </c>
      <c r="D258" s="8" t="s">
        <v>310</v>
      </c>
      <c r="E258" s="8" t="s">
        <v>311</v>
      </c>
      <c r="F258" t="s">
        <v>246</v>
      </c>
      <c r="G258" t="s">
        <v>213</v>
      </c>
      <c r="H258" s="13">
        <v>3479223</v>
      </c>
      <c r="I258" s="13"/>
      <c r="J258" s="8">
        <f t="shared" si="4"/>
        <v>3479223</v>
      </c>
    </row>
    <row r="259" spans="1:10" x14ac:dyDescent="0.2">
      <c r="A259">
        <v>5101290</v>
      </c>
      <c r="B259" s="8">
        <v>2017</v>
      </c>
      <c r="C259" s="8" t="s">
        <v>309</v>
      </c>
      <c r="D259" s="8" t="s">
        <v>310</v>
      </c>
      <c r="E259" s="8" t="s">
        <v>311</v>
      </c>
      <c r="F259" t="s">
        <v>246</v>
      </c>
      <c r="G259" t="s">
        <v>213</v>
      </c>
      <c r="H259" s="13">
        <v>3654087</v>
      </c>
      <c r="I259" s="13"/>
      <c r="J259" s="8">
        <f t="shared" ref="J259:J322" si="5">SUM(H259:I259)</f>
        <v>3654087</v>
      </c>
    </row>
    <row r="260" spans="1:10" x14ac:dyDescent="0.2">
      <c r="A260">
        <v>5101290</v>
      </c>
      <c r="B260" s="8">
        <v>2018</v>
      </c>
      <c r="C260" s="8" t="s">
        <v>309</v>
      </c>
      <c r="D260" s="8" t="s">
        <v>310</v>
      </c>
      <c r="E260" s="8" t="s">
        <v>311</v>
      </c>
      <c r="F260" t="s">
        <v>246</v>
      </c>
      <c r="G260" t="s">
        <v>213</v>
      </c>
      <c r="H260" s="13">
        <v>4094647</v>
      </c>
      <c r="I260" s="13"/>
      <c r="J260" s="8">
        <f t="shared" si="5"/>
        <v>4094647</v>
      </c>
    </row>
    <row r="261" spans="1:10" x14ac:dyDescent="0.2">
      <c r="A261">
        <v>5101290</v>
      </c>
      <c r="B261" s="8">
        <v>2019</v>
      </c>
      <c r="C261" s="8" t="s">
        <v>309</v>
      </c>
      <c r="D261" s="8" t="s">
        <v>310</v>
      </c>
      <c r="E261" s="8" t="s">
        <v>311</v>
      </c>
      <c r="F261" t="s">
        <v>246</v>
      </c>
      <c r="G261" t="s">
        <v>213</v>
      </c>
      <c r="H261" s="13">
        <v>4225485</v>
      </c>
      <c r="I261" s="13"/>
      <c r="J261" s="8">
        <f t="shared" si="5"/>
        <v>4225485</v>
      </c>
    </row>
    <row r="262" spans="1:10" x14ac:dyDescent="0.2">
      <c r="A262">
        <v>5101290</v>
      </c>
      <c r="B262" s="8">
        <v>2020</v>
      </c>
      <c r="C262" s="8" t="s">
        <v>309</v>
      </c>
      <c r="D262" s="8" t="s">
        <v>310</v>
      </c>
      <c r="E262" s="8" t="s">
        <v>311</v>
      </c>
      <c r="F262" t="s">
        <v>246</v>
      </c>
      <c r="G262" t="s">
        <v>213</v>
      </c>
      <c r="H262" s="13">
        <v>4324280</v>
      </c>
      <c r="I262" s="13"/>
      <c r="J262" s="8">
        <f t="shared" si="5"/>
        <v>4324280</v>
      </c>
    </row>
    <row r="263" spans="1:10" x14ac:dyDescent="0.2">
      <c r="A263">
        <v>5101290</v>
      </c>
      <c r="B263" s="8">
        <v>2021</v>
      </c>
      <c r="C263" s="8" t="s">
        <v>309</v>
      </c>
      <c r="D263" s="8" t="s">
        <v>310</v>
      </c>
      <c r="E263" s="8" t="s">
        <v>311</v>
      </c>
      <c r="F263" t="s">
        <v>246</v>
      </c>
      <c r="G263" t="s">
        <v>213</v>
      </c>
      <c r="H263" s="13">
        <v>4412244</v>
      </c>
      <c r="I263" s="13">
        <v>191321</v>
      </c>
      <c r="J263" s="8">
        <f t="shared" si="5"/>
        <v>4603565</v>
      </c>
    </row>
    <row r="264" spans="1:10" x14ac:dyDescent="0.2">
      <c r="A264">
        <v>5101290</v>
      </c>
      <c r="B264" s="8">
        <v>2022</v>
      </c>
      <c r="C264" s="8" t="s">
        <v>309</v>
      </c>
      <c r="D264" s="8" t="s">
        <v>310</v>
      </c>
      <c r="E264" s="8" t="s">
        <v>311</v>
      </c>
      <c r="F264" t="s">
        <v>246</v>
      </c>
      <c r="G264" t="s">
        <v>213</v>
      </c>
      <c r="H264" s="13">
        <v>4594823</v>
      </c>
      <c r="I264" s="13">
        <v>1368254</v>
      </c>
      <c r="J264" s="8">
        <f t="shared" si="5"/>
        <v>5963077</v>
      </c>
    </row>
    <row r="265" spans="1:10" x14ac:dyDescent="0.2">
      <c r="A265">
        <v>5101290</v>
      </c>
      <c r="B265" s="8">
        <v>2023</v>
      </c>
      <c r="C265" s="8" t="s">
        <v>309</v>
      </c>
      <c r="D265" s="8" t="s">
        <v>310</v>
      </c>
      <c r="E265" s="8" t="s">
        <v>311</v>
      </c>
      <c r="F265" t="s">
        <v>246</v>
      </c>
      <c r="G265" t="s">
        <v>213</v>
      </c>
      <c r="H265" s="13">
        <v>5070158</v>
      </c>
      <c r="I265" s="13">
        <v>473617</v>
      </c>
      <c r="J265" s="8">
        <f t="shared" si="5"/>
        <v>5543775</v>
      </c>
    </row>
    <row r="266" spans="1:10" x14ac:dyDescent="0.2">
      <c r="A266">
        <v>5102400</v>
      </c>
      <c r="B266" s="8">
        <v>2015</v>
      </c>
      <c r="C266" s="8" t="s">
        <v>309</v>
      </c>
      <c r="D266" s="8" t="s">
        <v>310</v>
      </c>
      <c r="E266" s="8" t="s">
        <v>311</v>
      </c>
      <c r="F266" t="s">
        <v>245</v>
      </c>
      <c r="G266" t="s">
        <v>212</v>
      </c>
      <c r="H266" s="13">
        <v>1797378</v>
      </c>
      <c r="I266" s="13"/>
      <c r="J266" s="8">
        <f t="shared" si="5"/>
        <v>1797378</v>
      </c>
    </row>
    <row r="267" spans="1:10" x14ac:dyDescent="0.2">
      <c r="A267">
        <v>5102400</v>
      </c>
      <c r="B267" s="8">
        <v>2016</v>
      </c>
      <c r="C267" s="8" t="s">
        <v>309</v>
      </c>
      <c r="D267" s="8" t="s">
        <v>310</v>
      </c>
      <c r="E267" s="8" t="s">
        <v>311</v>
      </c>
      <c r="F267" t="s">
        <v>245</v>
      </c>
      <c r="G267" t="s">
        <v>212</v>
      </c>
      <c r="H267" s="13">
        <v>1631486</v>
      </c>
      <c r="I267" s="13"/>
      <c r="J267" s="8">
        <f t="shared" si="5"/>
        <v>1631486</v>
      </c>
    </row>
    <row r="268" spans="1:10" x14ac:dyDescent="0.2">
      <c r="A268">
        <v>5102400</v>
      </c>
      <c r="B268" s="8">
        <v>2017</v>
      </c>
      <c r="C268" s="8" t="s">
        <v>309</v>
      </c>
      <c r="D268" s="8" t="s">
        <v>310</v>
      </c>
      <c r="E268" s="8" t="s">
        <v>311</v>
      </c>
      <c r="F268" t="s">
        <v>245</v>
      </c>
      <c r="G268" t="s">
        <v>212</v>
      </c>
      <c r="H268" s="13">
        <v>1676401</v>
      </c>
      <c r="I268" s="13"/>
      <c r="J268" s="8">
        <f t="shared" si="5"/>
        <v>1676401</v>
      </c>
    </row>
    <row r="269" spans="1:10" x14ac:dyDescent="0.2">
      <c r="A269">
        <v>5102400</v>
      </c>
      <c r="B269" s="8">
        <v>2018</v>
      </c>
      <c r="C269" s="8" t="s">
        <v>309</v>
      </c>
      <c r="D269" s="8" t="s">
        <v>310</v>
      </c>
      <c r="E269" s="8" t="s">
        <v>311</v>
      </c>
      <c r="F269" t="s">
        <v>245</v>
      </c>
      <c r="G269" t="s">
        <v>212</v>
      </c>
      <c r="H269" s="13">
        <v>1867344</v>
      </c>
      <c r="I269" s="13"/>
      <c r="J269" s="8">
        <f t="shared" si="5"/>
        <v>1867344</v>
      </c>
    </row>
    <row r="270" spans="1:10" x14ac:dyDescent="0.2">
      <c r="A270">
        <v>5102400</v>
      </c>
      <c r="B270" s="8">
        <v>2019</v>
      </c>
      <c r="C270" s="8" t="s">
        <v>309</v>
      </c>
      <c r="D270" s="8" t="s">
        <v>310</v>
      </c>
      <c r="E270" s="8" t="s">
        <v>311</v>
      </c>
      <c r="F270" t="s">
        <v>245</v>
      </c>
      <c r="G270" t="s">
        <v>212</v>
      </c>
      <c r="H270" s="13">
        <v>1840446</v>
      </c>
      <c r="I270" s="13"/>
      <c r="J270" s="8">
        <f t="shared" si="5"/>
        <v>1840446</v>
      </c>
    </row>
    <row r="271" spans="1:10" x14ac:dyDescent="0.2">
      <c r="A271">
        <v>5102400</v>
      </c>
      <c r="B271" s="8">
        <v>2020</v>
      </c>
      <c r="C271" s="8" t="s">
        <v>309</v>
      </c>
      <c r="D271" s="8" t="s">
        <v>310</v>
      </c>
      <c r="E271" s="8" t="s">
        <v>311</v>
      </c>
      <c r="F271" t="s">
        <v>245</v>
      </c>
      <c r="G271" t="s">
        <v>212</v>
      </c>
      <c r="H271" s="13">
        <v>1767607</v>
      </c>
      <c r="I271" s="13"/>
      <c r="J271" s="8">
        <f t="shared" si="5"/>
        <v>1767607</v>
      </c>
    </row>
    <row r="272" spans="1:10" x14ac:dyDescent="0.2">
      <c r="A272">
        <v>5102400</v>
      </c>
      <c r="B272" s="8">
        <v>2021</v>
      </c>
      <c r="C272" s="8" t="s">
        <v>309</v>
      </c>
      <c r="D272" s="8" t="s">
        <v>310</v>
      </c>
      <c r="E272" s="8" t="s">
        <v>311</v>
      </c>
      <c r="F272" t="s">
        <v>245</v>
      </c>
      <c r="G272" t="s">
        <v>212</v>
      </c>
      <c r="H272" s="13">
        <v>1871355</v>
      </c>
      <c r="I272" s="13">
        <v>81146</v>
      </c>
      <c r="J272" s="8">
        <f t="shared" si="5"/>
        <v>1952501</v>
      </c>
    </row>
    <row r="273" spans="1:10" x14ac:dyDescent="0.2">
      <c r="A273">
        <v>5102400</v>
      </c>
      <c r="B273" s="8">
        <v>2022</v>
      </c>
      <c r="C273" s="8" t="s">
        <v>309</v>
      </c>
      <c r="D273" s="8" t="s">
        <v>310</v>
      </c>
      <c r="E273" s="8" t="s">
        <v>311</v>
      </c>
      <c r="F273" t="s">
        <v>245</v>
      </c>
      <c r="G273" t="s">
        <v>212</v>
      </c>
      <c r="H273" s="13">
        <v>1909414</v>
      </c>
      <c r="I273" s="13">
        <v>568580</v>
      </c>
      <c r="J273" s="8">
        <f t="shared" si="5"/>
        <v>2477994</v>
      </c>
    </row>
    <row r="274" spans="1:10" x14ac:dyDescent="0.2">
      <c r="A274">
        <v>5102400</v>
      </c>
      <c r="B274" s="8">
        <v>2023</v>
      </c>
      <c r="C274" s="8" t="s">
        <v>309</v>
      </c>
      <c r="D274" s="8" t="s">
        <v>310</v>
      </c>
      <c r="E274" s="8" t="s">
        <v>311</v>
      </c>
      <c r="F274" t="s">
        <v>245</v>
      </c>
      <c r="G274" t="s">
        <v>212</v>
      </c>
      <c r="H274" s="13">
        <v>1995492</v>
      </c>
      <c r="I274" s="13">
        <v>186400</v>
      </c>
      <c r="J274" s="8">
        <f t="shared" si="5"/>
        <v>2181892</v>
      </c>
    </row>
    <row r="275" spans="1:10" x14ac:dyDescent="0.2">
      <c r="A275">
        <v>5104050</v>
      </c>
      <c r="B275" s="8">
        <v>2015</v>
      </c>
      <c r="C275" s="8" t="s">
        <v>309</v>
      </c>
      <c r="D275" s="8" t="s">
        <v>310</v>
      </c>
      <c r="E275" s="8" t="s">
        <v>311</v>
      </c>
      <c r="F275" t="s">
        <v>244</v>
      </c>
      <c r="G275" t="s">
        <v>211</v>
      </c>
      <c r="H275" s="13">
        <v>4072678</v>
      </c>
      <c r="I275" s="13"/>
      <c r="J275" s="8">
        <f t="shared" si="5"/>
        <v>4072678</v>
      </c>
    </row>
    <row r="276" spans="1:10" x14ac:dyDescent="0.2">
      <c r="A276">
        <v>5104050</v>
      </c>
      <c r="B276" s="8">
        <v>2016</v>
      </c>
      <c r="C276" s="8" t="s">
        <v>309</v>
      </c>
      <c r="D276" s="8" t="s">
        <v>310</v>
      </c>
      <c r="E276" s="8" t="s">
        <v>311</v>
      </c>
      <c r="F276" t="s">
        <v>244</v>
      </c>
      <c r="G276" t="s">
        <v>211</v>
      </c>
      <c r="H276" s="13">
        <v>4055293</v>
      </c>
      <c r="I276" s="13"/>
      <c r="J276" s="8">
        <f t="shared" si="5"/>
        <v>4055293</v>
      </c>
    </row>
    <row r="277" spans="1:10" x14ac:dyDescent="0.2">
      <c r="A277">
        <v>5104050</v>
      </c>
      <c r="B277" s="8">
        <v>2017</v>
      </c>
      <c r="C277" s="8" t="s">
        <v>309</v>
      </c>
      <c r="D277" s="8" t="s">
        <v>310</v>
      </c>
      <c r="E277" s="8" t="s">
        <v>311</v>
      </c>
      <c r="F277" t="s">
        <v>244</v>
      </c>
      <c r="G277" t="s">
        <v>211</v>
      </c>
      <c r="H277" s="13">
        <v>4205358</v>
      </c>
      <c r="I277" s="13"/>
      <c r="J277" s="8">
        <f t="shared" si="5"/>
        <v>4205358</v>
      </c>
    </row>
    <row r="278" spans="1:10" x14ac:dyDescent="0.2">
      <c r="A278">
        <v>5104050</v>
      </c>
      <c r="B278" s="8">
        <v>2018</v>
      </c>
      <c r="C278" s="8" t="s">
        <v>309</v>
      </c>
      <c r="D278" s="8" t="s">
        <v>310</v>
      </c>
      <c r="E278" s="8" t="s">
        <v>311</v>
      </c>
      <c r="F278" t="s">
        <v>244</v>
      </c>
      <c r="G278" t="s">
        <v>211</v>
      </c>
      <c r="H278" s="13">
        <v>4713639</v>
      </c>
      <c r="I278" s="13"/>
      <c r="J278" s="8">
        <f t="shared" si="5"/>
        <v>4713639</v>
      </c>
    </row>
    <row r="279" spans="1:10" x14ac:dyDescent="0.2">
      <c r="A279">
        <v>5104050</v>
      </c>
      <c r="B279" s="8">
        <v>2019</v>
      </c>
      <c r="C279" s="8" t="s">
        <v>309</v>
      </c>
      <c r="D279" s="8" t="s">
        <v>310</v>
      </c>
      <c r="E279" s="8" t="s">
        <v>311</v>
      </c>
      <c r="F279" t="s">
        <v>244</v>
      </c>
      <c r="G279" t="s">
        <v>211</v>
      </c>
      <c r="H279" s="13">
        <v>4524669</v>
      </c>
      <c r="I279" s="13"/>
      <c r="J279" s="8">
        <f t="shared" si="5"/>
        <v>4524669</v>
      </c>
    </row>
    <row r="280" spans="1:10" x14ac:dyDescent="0.2">
      <c r="A280">
        <v>5104050</v>
      </c>
      <c r="B280" s="8">
        <v>2020</v>
      </c>
      <c r="C280" s="8" t="s">
        <v>309</v>
      </c>
      <c r="D280" s="8" t="s">
        <v>310</v>
      </c>
      <c r="E280" s="8" t="s">
        <v>311</v>
      </c>
      <c r="F280" t="s">
        <v>244</v>
      </c>
      <c r="G280" t="s">
        <v>211</v>
      </c>
      <c r="H280" s="13">
        <v>4707596</v>
      </c>
      <c r="I280" s="13"/>
      <c r="J280" s="8">
        <f t="shared" si="5"/>
        <v>4707596</v>
      </c>
    </row>
    <row r="281" spans="1:10" x14ac:dyDescent="0.2">
      <c r="A281">
        <v>5104050</v>
      </c>
      <c r="B281" s="8">
        <v>2021</v>
      </c>
      <c r="C281" s="8" t="s">
        <v>309</v>
      </c>
      <c r="D281" s="8" t="s">
        <v>310</v>
      </c>
      <c r="E281" s="8" t="s">
        <v>311</v>
      </c>
      <c r="F281" t="s">
        <v>244</v>
      </c>
      <c r="G281" t="s">
        <v>211</v>
      </c>
      <c r="H281" s="13">
        <v>4945479</v>
      </c>
      <c r="I281" s="13">
        <v>214441</v>
      </c>
      <c r="J281" s="8">
        <f t="shared" si="5"/>
        <v>5159920</v>
      </c>
    </row>
    <row r="282" spans="1:10" x14ac:dyDescent="0.2">
      <c r="A282">
        <v>5104050</v>
      </c>
      <c r="B282" s="8">
        <v>2022</v>
      </c>
      <c r="C282" s="8" t="s">
        <v>309</v>
      </c>
      <c r="D282" s="8" t="s">
        <v>310</v>
      </c>
      <c r="E282" s="8" t="s">
        <v>311</v>
      </c>
      <c r="F282" t="s">
        <v>244</v>
      </c>
      <c r="G282" t="s">
        <v>211</v>
      </c>
      <c r="H282" s="13">
        <v>5263254</v>
      </c>
      <c r="I282" s="13">
        <v>1567277</v>
      </c>
      <c r="J282" s="8">
        <f t="shared" si="5"/>
        <v>6830531</v>
      </c>
    </row>
    <row r="283" spans="1:10" x14ac:dyDescent="0.2">
      <c r="A283">
        <v>5104050</v>
      </c>
      <c r="B283" s="8">
        <v>2023</v>
      </c>
      <c r="C283" s="8" t="s">
        <v>309</v>
      </c>
      <c r="D283" s="8" t="s">
        <v>310</v>
      </c>
      <c r="E283" s="8" t="s">
        <v>311</v>
      </c>
      <c r="F283" t="s">
        <v>244</v>
      </c>
      <c r="G283" t="s">
        <v>211</v>
      </c>
      <c r="H283" s="13">
        <v>5717792</v>
      </c>
      <c r="I283" s="13">
        <v>534119</v>
      </c>
      <c r="J283" s="8">
        <f t="shared" si="5"/>
        <v>6251911</v>
      </c>
    </row>
    <row r="284" spans="1:10" x14ac:dyDescent="0.2">
      <c r="A284">
        <v>5103710</v>
      </c>
      <c r="B284" s="8">
        <v>2015</v>
      </c>
      <c r="C284" s="8" t="s">
        <v>309</v>
      </c>
      <c r="D284" s="8" t="s">
        <v>310</v>
      </c>
      <c r="E284" s="8" t="s">
        <v>311</v>
      </c>
      <c r="F284" t="s">
        <v>243</v>
      </c>
      <c r="G284" t="s">
        <v>210</v>
      </c>
      <c r="H284" s="13">
        <v>9898173</v>
      </c>
      <c r="I284" s="13"/>
      <c r="J284" s="8">
        <f t="shared" si="5"/>
        <v>9898173</v>
      </c>
    </row>
    <row r="285" spans="1:10" x14ac:dyDescent="0.2">
      <c r="A285">
        <v>5103710</v>
      </c>
      <c r="B285" s="8">
        <v>2016</v>
      </c>
      <c r="C285" s="8" t="s">
        <v>309</v>
      </c>
      <c r="D285" s="8" t="s">
        <v>310</v>
      </c>
      <c r="E285" s="8" t="s">
        <v>311</v>
      </c>
      <c r="F285" t="s">
        <v>243</v>
      </c>
      <c r="G285" t="s">
        <v>210</v>
      </c>
      <c r="H285" s="13">
        <v>10139578</v>
      </c>
      <c r="I285" s="13"/>
      <c r="J285" s="8">
        <f t="shared" si="5"/>
        <v>10139578</v>
      </c>
    </row>
    <row r="286" spans="1:10" x14ac:dyDescent="0.2">
      <c r="A286">
        <v>5103710</v>
      </c>
      <c r="B286" s="8">
        <v>2017</v>
      </c>
      <c r="C286" s="8" t="s">
        <v>309</v>
      </c>
      <c r="D286" s="8" t="s">
        <v>310</v>
      </c>
      <c r="E286" s="8" t="s">
        <v>311</v>
      </c>
      <c r="F286" t="s">
        <v>243</v>
      </c>
      <c r="G286" t="s">
        <v>210</v>
      </c>
      <c r="H286" s="13">
        <v>10645526</v>
      </c>
      <c r="I286" s="13"/>
      <c r="J286" s="8">
        <f t="shared" si="5"/>
        <v>10645526</v>
      </c>
    </row>
    <row r="287" spans="1:10" x14ac:dyDescent="0.2">
      <c r="A287">
        <v>5103710</v>
      </c>
      <c r="B287" s="8">
        <v>2018</v>
      </c>
      <c r="C287" s="8" t="s">
        <v>309</v>
      </c>
      <c r="D287" s="8" t="s">
        <v>310</v>
      </c>
      <c r="E287" s="8" t="s">
        <v>311</v>
      </c>
      <c r="F287" t="s">
        <v>243</v>
      </c>
      <c r="G287" t="s">
        <v>210</v>
      </c>
      <c r="H287" s="13">
        <v>12296612</v>
      </c>
      <c r="I287" s="13"/>
      <c r="J287" s="8">
        <f t="shared" si="5"/>
        <v>12296612</v>
      </c>
    </row>
    <row r="288" spans="1:10" x14ac:dyDescent="0.2">
      <c r="A288">
        <v>5103710</v>
      </c>
      <c r="B288" s="8">
        <v>2019</v>
      </c>
      <c r="C288" s="8" t="s">
        <v>309</v>
      </c>
      <c r="D288" s="8" t="s">
        <v>310</v>
      </c>
      <c r="E288" s="8" t="s">
        <v>311</v>
      </c>
      <c r="F288" t="s">
        <v>243</v>
      </c>
      <c r="G288" t="s">
        <v>210</v>
      </c>
      <c r="H288" s="13">
        <v>12563658</v>
      </c>
      <c r="I288" s="13"/>
      <c r="J288" s="8">
        <f t="shared" si="5"/>
        <v>12563658</v>
      </c>
    </row>
    <row r="289" spans="1:10" x14ac:dyDescent="0.2">
      <c r="A289">
        <v>5103710</v>
      </c>
      <c r="B289" s="8">
        <v>2020</v>
      </c>
      <c r="C289" s="8" t="s">
        <v>309</v>
      </c>
      <c r="D289" s="8" t="s">
        <v>310</v>
      </c>
      <c r="E289" s="8" t="s">
        <v>311</v>
      </c>
      <c r="F289" t="s">
        <v>243</v>
      </c>
      <c r="G289" t="s">
        <v>210</v>
      </c>
      <c r="H289" s="13">
        <v>12596173</v>
      </c>
      <c r="I289" s="13"/>
      <c r="J289" s="8">
        <f t="shared" si="5"/>
        <v>12596173</v>
      </c>
    </row>
    <row r="290" spans="1:10" x14ac:dyDescent="0.2">
      <c r="A290">
        <v>5103710</v>
      </c>
      <c r="B290" s="8">
        <v>2021</v>
      </c>
      <c r="C290" s="8" t="s">
        <v>309</v>
      </c>
      <c r="D290" s="8" t="s">
        <v>310</v>
      </c>
      <c r="E290" s="8" t="s">
        <v>311</v>
      </c>
      <c r="F290" t="s">
        <v>243</v>
      </c>
      <c r="G290" t="s">
        <v>210</v>
      </c>
      <c r="H290" s="13">
        <v>13456527</v>
      </c>
      <c r="I290" s="13">
        <v>583488</v>
      </c>
      <c r="J290" s="8">
        <f t="shared" si="5"/>
        <v>14040015</v>
      </c>
    </row>
    <row r="291" spans="1:10" x14ac:dyDescent="0.2">
      <c r="A291">
        <v>5103710</v>
      </c>
      <c r="B291" s="8">
        <v>2022</v>
      </c>
      <c r="C291" s="8" t="s">
        <v>309</v>
      </c>
      <c r="D291" s="8" t="s">
        <v>310</v>
      </c>
      <c r="E291" s="8" t="s">
        <v>311</v>
      </c>
      <c r="F291" t="s">
        <v>243</v>
      </c>
      <c r="G291" t="s">
        <v>210</v>
      </c>
      <c r="H291" s="13">
        <v>13589839</v>
      </c>
      <c r="I291" s="13">
        <v>4046766</v>
      </c>
      <c r="J291" s="8">
        <f t="shared" si="5"/>
        <v>17636605</v>
      </c>
    </row>
    <row r="292" spans="1:10" x14ac:dyDescent="0.2">
      <c r="A292">
        <v>5103710</v>
      </c>
      <c r="B292" s="8">
        <v>2023</v>
      </c>
      <c r="C292" s="8" t="s">
        <v>309</v>
      </c>
      <c r="D292" s="8" t="s">
        <v>310</v>
      </c>
      <c r="E292" s="8" t="s">
        <v>311</v>
      </c>
      <c r="F292" t="s">
        <v>243</v>
      </c>
      <c r="G292" t="s">
        <v>210</v>
      </c>
      <c r="H292" s="13">
        <v>14648776</v>
      </c>
      <c r="I292" s="13">
        <v>1368372</v>
      </c>
      <c r="J292" s="8">
        <f t="shared" si="5"/>
        <v>16017148</v>
      </c>
    </row>
    <row r="293" spans="1:10" x14ac:dyDescent="0.2">
      <c r="A293">
        <v>5103690</v>
      </c>
      <c r="B293" s="8">
        <v>2015</v>
      </c>
      <c r="C293" s="8" t="s">
        <v>309</v>
      </c>
      <c r="D293" s="8" t="s">
        <v>310</v>
      </c>
      <c r="E293" s="8" t="s">
        <v>311</v>
      </c>
      <c r="F293" t="s">
        <v>242</v>
      </c>
      <c r="G293" t="s">
        <v>209</v>
      </c>
      <c r="H293" s="13">
        <v>2347468</v>
      </c>
      <c r="I293" s="13"/>
      <c r="J293" s="8">
        <f t="shared" si="5"/>
        <v>2347468</v>
      </c>
    </row>
    <row r="294" spans="1:10" x14ac:dyDescent="0.2">
      <c r="A294">
        <v>5103690</v>
      </c>
      <c r="B294" s="8">
        <v>2016</v>
      </c>
      <c r="C294" s="8" t="s">
        <v>309</v>
      </c>
      <c r="D294" s="8" t="s">
        <v>310</v>
      </c>
      <c r="E294" s="8" t="s">
        <v>311</v>
      </c>
      <c r="F294" t="s">
        <v>242</v>
      </c>
      <c r="G294" t="s">
        <v>209</v>
      </c>
      <c r="H294" s="13">
        <v>2363564</v>
      </c>
      <c r="I294" s="13"/>
      <c r="J294" s="8">
        <f t="shared" si="5"/>
        <v>2363564</v>
      </c>
    </row>
    <row r="295" spans="1:10" x14ac:dyDescent="0.2">
      <c r="A295">
        <v>5103690</v>
      </c>
      <c r="B295" s="8">
        <v>2017</v>
      </c>
      <c r="C295" s="8" t="s">
        <v>309</v>
      </c>
      <c r="D295" s="8" t="s">
        <v>310</v>
      </c>
      <c r="E295" s="8" t="s">
        <v>311</v>
      </c>
      <c r="F295" t="s">
        <v>242</v>
      </c>
      <c r="G295" t="s">
        <v>209</v>
      </c>
      <c r="H295" s="13">
        <v>2451620</v>
      </c>
      <c r="I295" s="13"/>
      <c r="J295" s="8">
        <f t="shared" si="5"/>
        <v>2451620</v>
      </c>
    </row>
    <row r="296" spans="1:10" x14ac:dyDescent="0.2">
      <c r="A296">
        <v>5103690</v>
      </c>
      <c r="B296" s="8">
        <v>2018</v>
      </c>
      <c r="C296" s="8" t="s">
        <v>309</v>
      </c>
      <c r="D296" s="8" t="s">
        <v>310</v>
      </c>
      <c r="E296" s="8" t="s">
        <v>311</v>
      </c>
      <c r="F296" t="s">
        <v>242</v>
      </c>
      <c r="G296" t="s">
        <v>209</v>
      </c>
      <c r="H296" s="13">
        <v>2753055</v>
      </c>
      <c r="I296" s="13"/>
      <c r="J296" s="8">
        <f t="shared" si="5"/>
        <v>2753055</v>
      </c>
    </row>
    <row r="297" spans="1:10" x14ac:dyDescent="0.2">
      <c r="A297">
        <v>5103690</v>
      </c>
      <c r="B297" s="8">
        <v>2019</v>
      </c>
      <c r="C297" s="8" t="s">
        <v>309</v>
      </c>
      <c r="D297" s="8" t="s">
        <v>310</v>
      </c>
      <c r="E297" s="8" t="s">
        <v>311</v>
      </c>
      <c r="F297" t="s">
        <v>242</v>
      </c>
      <c r="G297" t="s">
        <v>209</v>
      </c>
      <c r="H297" s="13">
        <v>2651420</v>
      </c>
      <c r="I297" s="13"/>
      <c r="J297" s="8">
        <f t="shared" si="5"/>
        <v>2651420</v>
      </c>
    </row>
    <row r="298" spans="1:10" x14ac:dyDescent="0.2">
      <c r="A298">
        <v>5103690</v>
      </c>
      <c r="B298" s="8">
        <v>2020</v>
      </c>
      <c r="C298" s="8" t="s">
        <v>309</v>
      </c>
      <c r="D298" s="8" t="s">
        <v>310</v>
      </c>
      <c r="E298" s="8" t="s">
        <v>311</v>
      </c>
      <c r="F298" t="s">
        <v>242</v>
      </c>
      <c r="G298" t="s">
        <v>209</v>
      </c>
      <c r="H298" s="13">
        <v>2729652</v>
      </c>
      <c r="I298" s="13"/>
      <c r="J298" s="8">
        <f t="shared" si="5"/>
        <v>2729652</v>
      </c>
    </row>
    <row r="299" spans="1:10" x14ac:dyDescent="0.2">
      <c r="A299">
        <v>5103690</v>
      </c>
      <c r="B299" s="8">
        <v>2021</v>
      </c>
      <c r="C299" s="8" t="s">
        <v>309</v>
      </c>
      <c r="D299" s="8" t="s">
        <v>310</v>
      </c>
      <c r="E299" s="8" t="s">
        <v>311</v>
      </c>
      <c r="F299" t="s">
        <v>242</v>
      </c>
      <c r="G299" t="s">
        <v>209</v>
      </c>
      <c r="H299" s="13">
        <v>2867841</v>
      </c>
      <c r="I299" s="13">
        <v>124351</v>
      </c>
      <c r="J299" s="8">
        <f t="shared" si="5"/>
        <v>2992192</v>
      </c>
    </row>
    <row r="300" spans="1:10" x14ac:dyDescent="0.2">
      <c r="A300">
        <v>5103690</v>
      </c>
      <c r="B300" s="8">
        <v>2022</v>
      </c>
      <c r="C300" s="8" t="s">
        <v>309</v>
      </c>
      <c r="D300" s="8" t="s">
        <v>310</v>
      </c>
      <c r="E300" s="8" t="s">
        <v>311</v>
      </c>
      <c r="F300" t="s">
        <v>242</v>
      </c>
      <c r="G300" t="s">
        <v>209</v>
      </c>
      <c r="H300" s="13">
        <v>3130429</v>
      </c>
      <c r="I300" s="13">
        <v>932164</v>
      </c>
      <c r="J300" s="8">
        <f t="shared" si="5"/>
        <v>4062593</v>
      </c>
    </row>
    <row r="301" spans="1:10" x14ac:dyDescent="0.2">
      <c r="A301">
        <v>5103690</v>
      </c>
      <c r="B301" s="8">
        <v>2023</v>
      </c>
      <c r="C301" s="8" t="s">
        <v>309</v>
      </c>
      <c r="D301" s="8" t="s">
        <v>310</v>
      </c>
      <c r="E301" s="8" t="s">
        <v>311</v>
      </c>
      <c r="F301" t="s">
        <v>242</v>
      </c>
      <c r="G301" t="s">
        <v>209</v>
      </c>
      <c r="H301" s="13">
        <v>3370347</v>
      </c>
      <c r="I301" s="13">
        <v>314836</v>
      </c>
      <c r="J301" s="8">
        <f t="shared" si="5"/>
        <v>3685183</v>
      </c>
    </row>
    <row r="302" spans="1:10" x14ac:dyDescent="0.2">
      <c r="A302">
        <v>5103300</v>
      </c>
      <c r="B302" s="8">
        <v>2015</v>
      </c>
      <c r="C302" s="8" t="s">
        <v>309</v>
      </c>
      <c r="D302" s="8" t="s">
        <v>310</v>
      </c>
      <c r="E302" s="8" t="s">
        <v>311</v>
      </c>
      <c r="F302" t="s">
        <v>241</v>
      </c>
      <c r="G302" t="s">
        <v>208</v>
      </c>
      <c r="H302" s="13">
        <v>10782188</v>
      </c>
      <c r="I302" s="13"/>
      <c r="J302" s="8">
        <f t="shared" si="5"/>
        <v>10782188</v>
      </c>
    </row>
    <row r="303" spans="1:10" x14ac:dyDescent="0.2">
      <c r="A303">
        <v>5103300</v>
      </c>
      <c r="B303" s="8">
        <v>2016</v>
      </c>
      <c r="C303" s="8" t="s">
        <v>309</v>
      </c>
      <c r="D303" s="8" t="s">
        <v>310</v>
      </c>
      <c r="E303" s="8" t="s">
        <v>311</v>
      </c>
      <c r="F303" t="s">
        <v>241</v>
      </c>
      <c r="G303" t="s">
        <v>208</v>
      </c>
      <c r="H303" s="13">
        <v>10810731</v>
      </c>
      <c r="I303" s="13"/>
      <c r="J303" s="8">
        <f t="shared" si="5"/>
        <v>10810731</v>
      </c>
    </row>
    <row r="304" spans="1:10" x14ac:dyDescent="0.2">
      <c r="A304">
        <v>5103300</v>
      </c>
      <c r="B304" s="8">
        <v>2017</v>
      </c>
      <c r="C304" s="8" t="s">
        <v>309</v>
      </c>
      <c r="D304" s="8" t="s">
        <v>310</v>
      </c>
      <c r="E304" s="8" t="s">
        <v>311</v>
      </c>
      <c r="F304" t="s">
        <v>241</v>
      </c>
      <c r="G304" t="s">
        <v>208</v>
      </c>
      <c r="H304" s="13">
        <v>11471964</v>
      </c>
      <c r="I304" s="13"/>
      <c r="J304" s="8">
        <f t="shared" si="5"/>
        <v>11471964</v>
      </c>
    </row>
    <row r="305" spans="1:10" x14ac:dyDescent="0.2">
      <c r="A305">
        <v>5103300</v>
      </c>
      <c r="B305" s="8">
        <v>2018</v>
      </c>
      <c r="C305" s="8" t="s">
        <v>309</v>
      </c>
      <c r="D305" s="8" t="s">
        <v>310</v>
      </c>
      <c r="E305" s="8" t="s">
        <v>311</v>
      </c>
      <c r="F305" t="s">
        <v>241</v>
      </c>
      <c r="G305" t="s">
        <v>208</v>
      </c>
      <c r="H305" s="13">
        <v>12842165</v>
      </c>
      <c r="I305" s="13"/>
      <c r="J305" s="8">
        <f t="shared" si="5"/>
        <v>12842165</v>
      </c>
    </row>
    <row r="306" spans="1:10" x14ac:dyDescent="0.2">
      <c r="A306">
        <v>5103300</v>
      </c>
      <c r="B306" s="8">
        <v>2019</v>
      </c>
      <c r="C306" s="8" t="s">
        <v>309</v>
      </c>
      <c r="D306" s="8" t="s">
        <v>310</v>
      </c>
      <c r="E306" s="8" t="s">
        <v>311</v>
      </c>
      <c r="F306" t="s">
        <v>241</v>
      </c>
      <c r="G306" t="s">
        <v>208</v>
      </c>
      <c r="H306" s="13">
        <v>12653417</v>
      </c>
      <c r="I306" s="13"/>
      <c r="J306" s="8">
        <f t="shared" si="5"/>
        <v>12653417</v>
      </c>
    </row>
    <row r="307" spans="1:10" x14ac:dyDescent="0.2">
      <c r="A307">
        <v>5103300</v>
      </c>
      <c r="B307" s="8">
        <v>2020</v>
      </c>
      <c r="C307" s="8" t="s">
        <v>309</v>
      </c>
      <c r="D307" s="8" t="s">
        <v>310</v>
      </c>
      <c r="E307" s="8" t="s">
        <v>311</v>
      </c>
      <c r="F307" t="s">
        <v>241</v>
      </c>
      <c r="G307" t="s">
        <v>208</v>
      </c>
      <c r="H307" s="13">
        <v>12905042</v>
      </c>
      <c r="I307" s="13"/>
      <c r="J307" s="8">
        <f t="shared" si="5"/>
        <v>12905042</v>
      </c>
    </row>
    <row r="308" spans="1:10" x14ac:dyDescent="0.2">
      <c r="A308">
        <v>5103300</v>
      </c>
      <c r="B308" s="8">
        <v>2021</v>
      </c>
      <c r="C308" s="8" t="s">
        <v>309</v>
      </c>
      <c r="D308" s="8" t="s">
        <v>310</v>
      </c>
      <c r="E308" s="8" t="s">
        <v>311</v>
      </c>
      <c r="F308" t="s">
        <v>241</v>
      </c>
      <c r="G308" t="s">
        <v>208</v>
      </c>
      <c r="H308" s="13">
        <v>13896958</v>
      </c>
      <c r="I308" s="13">
        <v>602591</v>
      </c>
      <c r="J308" s="8">
        <f t="shared" si="5"/>
        <v>14499549</v>
      </c>
    </row>
    <row r="309" spans="1:10" x14ac:dyDescent="0.2">
      <c r="A309">
        <v>5103300</v>
      </c>
      <c r="B309" s="8">
        <v>2022</v>
      </c>
      <c r="C309" s="8" t="s">
        <v>309</v>
      </c>
      <c r="D309" s="8" t="s">
        <v>310</v>
      </c>
      <c r="E309" s="8" t="s">
        <v>311</v>
      </c>
      <c r="F309" t="s">
        <v>241</v>
      </c>
      <c r="G309" t="s">
        <v>208</v>
      </c>
      <c r="H309" s="13">
        <v>14503366</v>
      </c>
      <c r="I309" s="13">
        <v>4318780</v>
      </c>
      <c r="J309" s="8">
        <f t="shared" si="5"/>
        <v>18822146</v>
      </c>
    </row>
    <row r="310" spans="1:10" x14ac:dyDescent="0.2">
      <c r="A310">
        <v>5103300</v>
      </c>
      <c r="B310" s="8">
        <v>2023</v>
      </c>
      <c r="C310" s="8" t="s">
        <v>309</v>
      </c>
      <c r="D310" s="8" t="s">
        <v>310</v>
      </c>
      <c r="E310" s="8" t="s">
        <v>311</v>
      </c>
      <c r="F310" t="s">
        <v>241</v>
      </c>
      <c r="G310" t="s">
        <v>208</v>
      </c>
      <c r="H310" s="13">
        <v>17573361</v>
      </c>
      <c r="I310" s="13">
        <v>1641565</v>
      </c>
      <c r="J310" s="8">
        <f t="shared" si="5"/>
        <v>19214926</v>
      </c>
    </row>
    <row r="311" spans="1:10" x14ac:dyDescent="0.2">
      <c r="A311">
        <v>5103240</v>
      </c>
      <c r="B311" s="8">
        <v>2015</v>
      </c>
      <c r="C311" s="8" t="s">
        <v>309</v>
      </c>
      <c r="D311" s="8" t="s">
        <v>310</v>
      </c>
      <c r="E311" s="8" t="s">
        <v>311</v>
      </c>
      <c r="F311" t="s">
        <v>240</v>
      </c>
      <c r="G311" t="s">
        <v>207</v>
      </c>
      <c r="H311" s="13">
        <v>22529024</v>
      </c>
      <c r="I311" s="13"/>
      <c r="J311" s="8">
        <f t="shared" si="5"/>
        <v>22529024</v>
      </c>
    </row>
    <row r="312" spans="1:10" x14ac:dyDescent="0.2">
      <c r="A312">
        <v>5103240</v>
      </c>
      <c r="B312" s="8">
        <v>2016</v>
      </c>
      <c r="C312" s="8" t="s">
        <v>309</v>
      </c>
      <c r="D312" s="8" t="s">
        <v>310</v>
      </c>
      <c r="E312" s="8" t="s">
        <v>311</v>
      </c>
      <c r="F312" t="s">
        <v>240</v>
      </c>
      <c r="G312" t="s">
        <v>207</v>
      </c>
      <c r="H312" s="13">
        <v>22024113</v>
      </c>
      <c r="I312" s="13"/>
      <c r="J312" s="8">
        <f t="shared" si="5"/>
        <v>22024113</v>
      </c>
    </row>
    <row r="313" spans="1:10" x14ac:dyDescent="0.2">
      <c r="A313">
        <v>5103240</v>
      </c>
      <c r="B313" s="8">
        <v>2017</v>
      </c>
      <c r="C313" s="8" t="s">
        <v>309</v>
      </c>
      <c r="D313" s="8" t="s">
        <v>310</v>
      </c>
      <c r="E313" s="8" t="s">
        <v>311</v>
      </c>
      <c r="F313" t="s">
        <v>240</v>
      </c>
      <c r="G313" t="s">
        <v>207</v>
      </c>
      <c r="H313" s="13">
        <v>22693062</v>
      </c>
      <c r="I313" s="13"/>
      <c r="J313" s="8">
        <f t="shared" si="5"/>
        <v>22693062</v>
      </c>
    </row>
    <row r="314" spans="1:10" x14ac:dyDescent="0.2">
      <c r="A314">
        <v>5103240</v>
      </c>
      <c r="B314" s="8">
        <v>2018</v>
      </c>
      <c r="C314" s="8" t="s">
        <v>309</v>
      </c>
      <c r="D314" s="8" t="s">
        <v>310</v>
      </c>
      <c r="E314" s="8" t="s">
        <v>311</v>
      </c>
      <c r="F314" t="s">
        <v>240</v>
      </c>
      <c r="G314" t="s">
        <v>207</v>
      </c>
      <c r="H314" s="13">
        <v>26434995</v>
      </c>
      <c r="I314" s="13"/>
      <c r="J314" s="8">
        <f t="shared" si="5"/>
        <v>26434995</v>
      </c>
    </row>
    <row r="315" spans="1:10" x14ac:dyDescent="0.2">
      <c r="A315">
        <v>5103240</v>
      </c>
      <c r="B315" s="8">
        <v>2019</v>
      </c>
      <c r="C315" s="8" t="s">
        <v>309</v>
      </c>
      <c r="D315" s="8" t="s">
        <v>310</v>
      </c>
      <c r="E315" s="8" t="s">
        <v>311</v>
      </c>
      <c r="F315" t="s">
        <v>240</v>
      </c>
      <c r="G315" t="s">
        <v>207</v>
      </c>
      <c r="H315" s="13">
        <v>26141439</v>
      </c>
      <c r="I315" s="13"/>
      <c r="J315" s="8">
        <f t="shared" si="5"/>
        <v>26141439</v>
      </c>
    </row>
    <row r="316" spans="1:10" x14ac:dyDescent="0.2">
      <c r="A316">
        <v>5103240</v>
      </c>
      <c r="B316" s="8">
        <v>2020</v>
      </c>
      <c r="C316" s="8" t="s">
        <v>309</v>
      </c>
      <c r="D316" s="8" t="s">
        <v>310</v>
      </c>
      <c r="E316" s="8" t="s">
        <v>311</v>
      </c>
      <c r="F316" t="s">
        <v>240</v>
      </c>
      <c r="G316" t="s">
        <v>207</v>
      </c>
      <c r="H316" s="13">
        <v>24869281</v>
      </c>
      <c r="I316" s="13"/>
      <c r="J316" s="8">
        <f t="shared" si="5"/>
        <v>24869281</v>
      </c>
    </row>
    <row r="317" spans="1:10" x14ac:dyDescent="0.2">
      <c r="A317">
        <v>5103240</v>
      </c>
      <c r="B317" s="8">
        <v>2021</v>
      </c>
      <c r="C317" s="8" t="s">
        <v>309</v>
      </c>
      <c r="D317" s="8" t="s">
        <v>310</v>
      </c>
      <c r="E317" s="8" t="s">
        <v>311</v>
      </c>
      <c r="F317" t="s">
        <v>240</v>
      </c>
      <c r="G317" t="s">
        <v>207</v>
      </c>
      <c r="H317" s="13">
        <v>30707573</v>
      </c>
      <c r="I317" s="13">
        <v>1331520</v>
      </c>
      <c r="J317" s="8">
        <f t="shared" si="5"/>
        <v>32039093</v>
      </c>
    </row>
    <row r="318" spans="1:10" x14ac:dyDescent="0.2">
      <c r="A318">
        <v>5103240</v>
      </c>
      <c r="B318" s="8">
        <v>2022</v>
      </c>
      <c r="C318" s="8" t="s">
        <v>309</v>
      </c>
      <c r="D318" s="8" t="s">
        <v>310</v>
      </c>
      <c r="E318" s="8" t="s">
        <v>311</v>
      </c>
      <c r="F318" t="s">
        <v>240</v>
      </c>
      <c r="G318" t="s">
        <v>207</v>
      </c>
      <c r="H318" s="13">
        <v>32283395</v>
      </c>
      <c r="I318" s="13">
        <v>9613299</v>
      </c>
      <c r="J318" s="8">
        <f t="shared" si="5"/>
        <v>41896694</v>
      </c>
    </row>
    <row r="319" spans="1:10" x14ac:dyDescent="0.2">
      <c r="A319">
        <v>5103240</v>
      </c>
      <c r="B319" s="8">
        <v>2023</v>
      </c>
      <c r="C319" s="8" t="s">
        <v>309</v>
      </c>
      <c r="D319" s="8" t="s">
        <v>310</v>
      </c>
      <c r="E319" s="8" t="s">
        <v>311</v>
      </c>
      <c r="F319" t="s">
        <v>240</v>
      </c>
      <c r="G319" t="s">
        <v>207</v>
      </c>
      <c r="H319" s="13">
        <v>32924146</v>
      </c>
      <c r="I319" s="13">
        <v>3075526</v>
      </c>
      <c r="J319" s="8">
        <f t="shared" si="5"/>
        <v>35999672</v>
      </c>
    </row>
    <row r="320" spans="1:10" x14ac:dyDescent="0.2">
      <c r="A320">
        <v>5103180</v>
      </c>
      <c r="B320" s="8">
        <v>2015</v>
      </c>
      <c r="C320" s="8" t="s">
        <v>309</v>
      </c>
      <c r="D320" s="8" t="s">
        <v>310</v>
      </c>
      <c r="E320" s="8" t="s">
        <v>311</v>
      </c>
      <c r="F320" t="s">
        <v>239</v>
      </c>
      <c r="G320" t="s">
        <v>206</v>
      </c>
      <c r="H320" s="13">
        <v>1176973</v>
      </c>
      <c r="I320" s="13"/>
      <c r="J320" s="8">
        <f t="shared" si="5"/>
        <v>1176973</v>
      </c>
    </row>
    <row r="321" spans="1:10" x14ac:dyDescent="0.2">
      <c r="A321">
        <v>5103180</v>
      </c>
      <c r="B321" s="8">
        <v>2016</v>
      </c>
      <c r="C321" s="8" t="s">
        <v>309</v>
      </c>
      <c r="D321" s="8" t="s">
        <v>310</v>
      </c>
      <c r="E321" s="8" t="s">
        <v>311</v>
      </c>
      <c r="F321" t="s">
        <v>239</v>
      </c>
      <c r="G321" t="s">
        <v>206</v>
      </c>
      <c r="H321" s="13">
        <v>1155087</v>
      </c>
      <c r="I321" s="13"/>
      <c r="J321" s="8">
        <f t="shared" si="5"/>
        <v>1155087</v>
      </c>
    </row>
    <row r="322" spans="1:10" x14ac:dyDescent="0.2">
      <c r="A322">
        <v>5103180</v>
      </c>
      <c r="B322" s="8">
        <v>2017</v>
      </c>
      <c r="C322" s="8" t="s">
        <v>309</v>
      </c>
      <c r="D322" s="8" t="s">
        <v>310</v>
      </c>
      <c r="E322" s="8" t="s">
        <v>311</v>
      </c>
      <c r="F322" t="s">
        <v>239</v>
      </c>
      <c r="G322" t="s">
        <v>206</v>
      </c>
      <c r="H322" s="13">
        <v>1260728</v>
      </c>
      <c r="I322" s="13"/>
      <c r="J322" s="8">
        <f t="shared" si="5"/>
        <v>1260728</v>
      </c>
    </row>
    <row r="323" spans="1:10" x14ac:dyDescent="0.2">
      <c r="A323">
        <v>5103180</v>
      </c>
      <c r="B323" s="8">
        <v>2018</v>
      </c>
      <c r="C323" s="8" t="s">
        <v>309</v>
      </c>
      <c r="D323" s="8" t="s">
        <v>310</v>
      </c>
      <c r="E323" s="8" t="s">
        <v>311</v>
      </c>
      <c r="F323" t="s">
        <v>239</v>
      </c>
      <c r="G323" t="s">
        <v>206</v>
      </c>
      <c r="H323" s="13">
        <v>1404635</v>
      </c>
      <c r="I323" s="13"/>
      <c r="J323" s="8">
        <f t="shared" ref="J323:J386" si="6">SUM(H323:I323)</f>
        <v>1404635</v>
      </c>
    </row>
    <row r="324" spans="1:10" x14ac:dyDescent="0.2">
      <c r="A324">
        <v>5103180</v>
      </c>
      <c r="B324" s="8">
        <v>2019</v>
      </c>
      <c r="C324" s="8" t="s">
        <v>309</v>
      </c>
      <c r="D324" s="8" t="s">
        <v>310</v>
      </c>
      <c r="E324" s="8" t="s">
        <v>311</v>
      </c>
      <c r="F324" t="s">
        <v>239</v>
      </c>
      <c r="G324" t="s">
        <v>206</v>
      </c>
      <c r="H324" s="13">
        <v>1375117</v>
      </c>
      <c r="I324" s="13"/>
      <c r="J324" s="8">
        <f t="shared" si="6"/>
        <v>1375117</v>
      </c>
    </row>
    <row r="325" spans="1:10" x14ac:dyDescent="0.2">
      <c r="A325">
        <v>5103180</v>
      </c>
      <c r="B325" s="8">
        <v>2020</v>
      </c>
      <c r="C325" s="8" t="s">
        <v>309</v>
      </c>
      <c r="D325" s="8" t="s">
        <v>310</v>
      </c>
      <c r="E325" s="8" t="s">
        <v>311</v>
      </c>
      <c r="F325" t="s">
        <v>239</v>
      </c>
      <c r="G325" t="s">
        <v>206</v>
      </c>
      <c r="H325" s="13">
        <v>1397608</v>
      </c>
      <c r="I325" s="13"/>
      <c r="J325" s="8">
        <f t="shared" si="6"/>
        <v>1397608</v>
      </c>
    </row>
    <row r="326" spans="1:10" x14ac:dyDescent="0.2">
      <c r="A326">
        <v>5103180</v>
      </c>
      <c r="B326" s="8">
        <v>2021</v>
      </c>
      <c r="C326" s="8" t="s">
        <v>309</v>
      </c>
      <c r="D326" s="8" t="s">
        <v>310</v>
      </c>
      <c r="E326" s="8" t="s">
        <v>311</v>
      </c>
      <c r="F326" t="s">
        <v>239</v>
      </c>
      <c r="G326" t="s">
        <v>206</v>
      </c>
      <c r="H326" s="13">
        <v>1437015</v>
      </c>
      <c r="I326" s="13">
        <v>62314</v>
      </c>
      <c r="J326" s="8">
        <f t="shared" si="6"/>
        <v>1499329</v>
      </c>
    </row>
    <row r="327" spans="1:10" x14ac:dyDescent="0.2">
      <c r="A327">
        <v>5103180</v>
      </c>
      <c r="B327" s="8">
        <v>2022</v>
      </c>
      <c r="C327" s="8" t="s">
        <v>309</v>
      </c>
      <c r="D327" s="8" t="s">
        <v>310</v>
      </c>
      <c r="E327" s="8" t="s">
        <v>311</v>
      </c>
      <c r="F327" t="s">
        <v>239</v>
      </c>
      <c r="G327" t="s">
        <v>206</v>
      </c>
      <c r="H327" s="13">
        <v>1603386</v>
      </c>
      <c r="I327" s="13">
        <v>477451</v>
      </c>
      <c r="J327" s="8">
        <f t="shared" si="6"/>
        <v>2080837</v>
      </c>
    </row>
    <row r="328" spans="1:10" x14ac:dyDescent="0.2">
      <c r="A328">
        <v>5103180</v>
      </c>
      <c r="B328" s="8">
        <v>2023</v>
      </c>
      <c r="C328" s="8" t="s">
        <v>309</v>
      </c>
      <c r="D328" s="8" t="s">
        <v>310</v>
      </c>
      <c r="E328" s="8" t="s">
        <v>311</v>
      </c>
      <c r="F328" t="s">
        <v>239</v>
      </c>
      <c r="G328" t="s">
        <v>206</v>
      </c>
      <c r="H328" s="13">
        <v>1659471</v>
      </c>
      <c r="I328" s="13">
        <v>155022</v>
      </c>
      <c r="J328" s="8">
        <f t="shared" si="6"/>
        <v>1814493</v>
      </c>
    </row>
    <row r="329" spans="1:10" x14ac:dyDescent="0.2">
      <c r="A329">
        <v>5103000</v>
      </c>
      <c r="B329" s="8">
        <v>2015</v>
      </c>
      <c r="C329" s="8" t="s">
        <v>309</v>
      </c>
      <c r="D329" s="8" t="s">
        <v>310</v>
      </c>
      <c r="E329" s="8" t="s">
        <v>311</v>
      </c>
      <c r="F329" t="s">
        <v>238</v>
      </c>
      <c r="G329" t="s">
        <v>205</v>
      </c>
      <c r="H329" s="13">
        <v>11318574</v>
      </c>
      <c r="I329" s="13"/>
      <c r="J329" s="8">
        <f t="shared" si="6"/>
        <v>11318574</v>
      </c>
    </row>
    <row r="330" spans="1:10" x14ac:dyDescent="0.2">
      <c r="A330">
        <v>5103000</v>
      </c>
      <c r="B330" s="8">
        <v>2016</v>
      </c>
      <c r="C330" s="8" t="s">
        <v>309</v>
      </c>
      <c r="D330" s="8" t="s">
        <v>310</v>
      </c>
      <c r="E330" s="8" t="s">
        <v>311</v>
      </c>
      <c r="F330" t="s">
        <v>238</v>
      </c>
      <c r="G330" t="s">
        <v>205</v>
      </c>
      <c r="H330" s="13">
        <v>11194761</v>
      </c>
      <c r="I330" s="13"/>
      <c r="J330" s="8">
        <f t="shared" si="6"/>
        <v>11194761</v>
      </c>
    </row>
    <row r="331" spans="1:10" x14ac:dyDescent="0.2">
      <c r="A331">
        <v>5103000</v>
      </c>
      <c r="B331" s="8">
        <v>2017</v>
      </c>
      <c r="C331" s="8" t="s">
        <v>309</v>
      </c>
      <c r="D331" s="8" t="s">
        <v>310</v>
      </c>
      <c r="E331" s="8" t="s">
        <v>311</v>
      </c>
      <c r="F331" t="s">
        <v>238</v>
      </c>
      <c r="G331" t="s">
        <v>205</v>
      </c>
      <c r="H331" s="13">
        <v>11424563</v>
      </c>
      <c r="I331" s="13"/>
      <c r="J331" s="8">
        <f t="shared" si="6"/>
        <v>11424563</v>
      </c>
    </row>
    <row r="332" spans="1:10" x14ac:dyDescent="0.2">
      <c r="A332">
        <v>5103000</v>
      </c>
      <c r="B332" s="8">
        <v>2018</v>
      </c>
      <c r="C332" s="8" t="s">
        <v>309</v>
      </c>
      <c r="D332" s="8" t="s">
        <v>310</v>
      </c>
      <c r="E332" s="8" t="s">
        <v>311</v>
      </c>
      <c r="F332" t="s">
        <v>238</v>
      </c>
      <c r="G332" t="s">
        <v>205</v>
      </c>
      <c r="H332" s="13">
        <v>12974638</v>
      </c>
      <c r="I332" s="13"/>
      <c r="J332" s="8">
        <f t="shared" si="6"/>
        <v>12974638</v>
      </c>
    </row>
    <row r="333" spans="1:10" x14ac:dyDescent="0.2">
      <c r="A333">
        <v>5103000</v>
      </c>
      <c r="B333" s="8">
        <v>2019</v>
      </c>
      <c r="C333" s="8" t="s">
        <v>309</v>
      </c>
      <c r="D333" s="8" t="s">
        <v>310</v>
      </c>
      <c r="E333" s="8" t="s">
        <v>311</v>
      </c>
      <c r="F333" t="s">
        <v>238</v>
      </c>
      <c r="G333" t="s">
        <v>205</v>
      </c>
      <c r="H333" s="13">
        <v>12692239</v>
      </c>
      <c r="I333" s="13"/>
      <c r="J333" s="8">
        <f t="shared" si="6"/>
        <v>12692239</v>
      </c>
    </row>
    <row r="334" spans="1:10" x14ac:dyDescent="0.2">
      <c r="A334">
        <v>5103000</v>
      </c>
      <c r="B334" s="8">
        <v>2020</v>
      </c>
      <c r="C334" s="8" t="s">
        <v>309</v>
      </c>
      <c r="D334" s="8" t="s">
        <v>310</v>
      </c>
      <c r="E334" s="8" t="s">
        <v>311</v>
      </c>
      <c r="F334" t="s">
        <v>238</v>
      </c>
      <c r="G334" t="s">
        <v>205</v>
      </c>
      <c r="H334" s="13">
        <v>13052269</v>
      </c>
      <c r="I334" s="13"/>
      <c r="J334" s="8">
        <f t="shared" si="6"/>
        <v>13052269</v>
      </c>
    </row>
    <row r="335" spans="1:10" x14ac:dyDescent="0.2">
      <c r="A335">
        <v>5103000</v>
      </c>
      <c r="B335" s="8">
        <v>2021</v>
      </c>
      <c r="C335" s="8" t="s">
        <v>309</v>
      </c>
      <c r="D335" s="8" t="s">
        <v>310</v>
      </c>
      <c r="E335" s="8" t="s">
        <v>311</v>
      </c>
      <c r="F335" t="s">
        <v>238</v>
      </c>
      <c r="G335" t="s">
        <v>205</v>
      </c>
      <c r="H335" s="13">
        <v>13973262</v>
      </c>
      <c r="I335" s="13">
        <v>605897</v>
      </c>
      <c r="J335" s="8">
        <f t="shared" si="6"/>
        <v>14579159</v>
      </c>
    </row>
    <row r="336" spans="1:10" x14ac:dyDescent="0.2">
      <c r="A336">
        <v>5103000</v>
      </c>
      <c r="B336" s="8">
        <v>2022</v>
      </c>
      <c r="C336" s="8" t="s">
        <v>309</v>
      </c>
      <c r="D336" s="8" t="s">
        <v>310</v>
      </c>
      <c r="E336" s="8" t="s">
        <v>311</v>
      </c>
      <c r="F336" t="s">
        <v>238</v>
      </c>
      <c r="G336" t="s">
        <v>205</v>
      </c>
      <c r="H336" s="13">
        <v>13877556</v>
      </c>
      <c r="I336" s="13">
        <v>4132454</v>
      </c>
      <c r="J336" s="8">
        <f t="shared" si="6"/>
        <v>18010010</v>
      </c>
    </row>
    <row r="337" spans="1:10" x14ac:dyDescent="0.2">
      <c r="A337">
        <v>5103000</v>
      </c>
      <c r="B337" s="8">
        <v>2023</v>
      </c>
      <c r="C337" s="8" t="s">
        <v>309</v>
      </c>
      <c r="D337" s="8" t="s">
        <v>310</v>
      </c>
      <c r="E337" s="8" t="s">
        <v>311</v>
      </c>
      <c r="F337" t="s">
        <v>238</v>
      </c>
      <c r="G337" t="s">
        <v>205</v>
      </c>
      <c r="H337" s="13">
        <v>13762367</v>
      </c>
      <c r="I337" s="13">
        <v>1285575</v>
      </c>
      <c r="J337" s="8">
        <f t="shared" si="6"/>
        <v>15047942</v>
      </c>
    </row>
    <row r="338" spans="1:10" x14ac:dyDescent="0.2">
      <c r="A338">
        <v>5102910</v>
      </c>
      <c r="B338" s="8">
        <v>2015</v>
      </c>
      <c r="C338" s="8" t="s">
        <v>309</v>
      </c>
      <c r="D338" s="8" t="s">
        <v>310</v>
      </c>
      <c r="E338" s="8" t="s">
        <v>311</v>
      </c>
      <c r="F338" t="s">
        <v>237</v>
      </c>
      <c r="G338" t="s">
        <v>204</v>
      </c>
      <c r="H338" s="13">
        <v>3379498</v>
      </c>
      <c r="I338" s="13"/>
      <c r="J338" s="8">
        <f t="shared" si="6"/>
        <v>3379498</v>
      </c>
    </row>
    <row r="339" spans="1:10" x14ac:dyDescent="0.2">
      <c r="A339">
        <v>5102910</v>
      </c>
      <c r="B339" s="8">
        <v>2016</v>
      </c>
      <c r="C339" s="8" t="s">
        <v>309</v>
      </c>
      <c r="D339" s="8" t="s">
        <v>310</v>
      </c>
      <c r="E339" s="8" t="s">
        <v>311</v>
      </c>
      <c r="F339" t="s">
        <v>237</v>
      </c>
      <c r="G339" t="s">
        <v>204</v>
      </c>
      <c r="H339" s="13">
        <v>3322136</v>
      </c>
      <c r="I339" s="13"/>
      <c r="J339" s="8">
        <f t="shared" si="6"/>
        <v>3322136</v>
      </c>
    </row>
    <row r="340" spans="1:10" x14ac:dyDescent="0.2">
      <c r="A340">
        <v>5102910</v>
      </c>
      <c r="B340" s="8">
        <v>2017</v>
      </c>
      <c r="C340" s="8" t="s">
        <v>309</v>
      </c>
      <c r="D340" s="8" t="s">
        <v>310</v>
      </c>
      <c r="E340" s="8" t="s">
        <v>311</v>
      </c>
      <c r="F340" t="s">
        <v>237</v>
      </c>
      <c r="G340" t="s">
        <v>204</v>
      </c>
      <c r="H340" s="13">
        <v>3245040</v>
      </c>
      <c r="I340" s="13"/>
      <c r="J340" s="8">
        <f t="shared" si="6"/>
        <v>3245040</v>
      </c>
    </row>
    <row r="341" spans="1:10" x14ac:dyDescent="0.2">
      <c r="A341">
        <v>5102910</v>
      </c>
      <c r="B341" s="8">
        <v>2018</v>
      </c>
      <c r="C341" s="8" t="s">
        <v>309</v>
      </c>
      <c r="D341" s="8" t="s">
        <v>310</v>
      </c>
      <c r="E341" s="8" t="s">
        <v>311</v>
      </c>
      <c r="F341" t="s">
        <v>237</v>
      </c>
      <c r="G341" t="s">
        <v>204</v>
      </c>
      <c r="H341" s="13">
        <v>3650457</v>
      </c>
      <c r="I341" s="13"/>
      <c r="J341" s="8">
        <f t="shared" si="6"/>
        <v>3650457</v>
      </c>
    </row>
    <row r="342" spans="1:10" x14ac:dyDescent="0.2">
      <c r="A342">
        <v>5102910</v>
      </c>
      <c r="B342" s="8">
        <v>2019</v>
      </c>
      <c r="C342" s="8" t="s">
        <v>309</v>
      </c>
      <c r="D342" s="8" t="s">
        <v>310</v>
      </c>
      <c r="E342" s="8" t="s">
        <v>311</v>
      </c>
      <c r="F342" t="s">
        <v>237</v>
      </c>
      <c r="G342" t="s">
        <v>204</v>
      </c>
      <c r="H342" s="13">
        <v>3640493</v>
      </c>
      <c r="I342" s="13"/>
      <c r="J342" s="8">
        <f t="shared" si="6"/>
        <v>3640493</v>
      </c>
    </row>
    <row r="343" spans="1:10" x14ac:dyDescent="0.2">
      <c r="A343">
        <v>5102910</v>
      </c>
      <c r="B343" s="8">
        <v>2020</v>
      </c>
      <c r="C343" s="8" t="s">
        <v>309</v>
      </c>
      <c r="D343" s="8" t="s">
        <v>310</v>
      </c>
      <c r="E343" s="8" t="s">
        <v>311</v>
      </c>
      <c r="F343" t="s">
        <v>237</v>
      </c>
      <c r="G343" t="s">
        <v>204</v>
      </c>
      <c r="H343" s="13">
        <v>3816873</v>
      </c>
      <c r="I343" s="13"/>
      <c r="J343" s="8">
        <f t="shared" si="6"/>
        <v>3816873</v>
      </c>
    </row>
    <row r="344" spans="1:10" x14ac:dyDescent="0.2">
      <c r="A344">
        <v>5102910</v>
      </c>
      <c r="B344" s="8">
        <v>2021</v>
      </c>
      <c r="C344" s="8" t="s">
        <v>309</v>
      </c>
      <c r="D344" s="8" t="s">
        <v>310</v>
      </c>
      <c r="E344" s="8" t="s">
        <v>311</v>
      </c>
      <c r="F344" t="s">
        <v>237</v>
      </c>
      <c r="G344" t="s">
        <v>204</v>
      </c>
      <c r="H344" s="13">
        <v>4067302</v>
      </c>
      <c r="I344" s="13">
        <v>176365</v>
      </c>
      <c r="J344" s="8">
        <f t="shared" si="6"/>
        <v>4243667</v>
      </c>
    </row>
    <row r="345" spans="1:10" x14ac:dyDescent="0.2">
      <c r="A345">
        <v>5102910</v>
      </c>
      <c r="B345" s="8">
        <v>2022</v>
      </c>
      <c r="C345" s="8" t="s">
        <v>309</v>
      </c>
      <c r="D345" s="8" t="s">
        <v>310</v>
      </c>
      <c r="E345" s="8" t="s">
        <v>311</v>
      </c>
      <c r="F345" t="s">
        <v>237</v>
      </c>
      <c r="G345" t="s">
        <v>204</v>
      </c>
      <c r="H345" s="13">
        <v>4455740</v>
      </c>
      <c r="I345" s="13">
        <v>1326804</v>
      </c>
      <c r="J345" s="8">
        <f t="shared" si="6"/>
        <v>5782544</v>
      </c>
    </row>
    <row r="346" spans="1:10" x14ac:dyDescent="0.2">
      <c r="A346">
        <v>5102910</v>
      </c>
      <c r="B346" s="8">
        <v>2023</v>
      </c>
      <c r="C346" s="8" t="s">
        <v>309</v>
      </c>
      <c r="D346" s="8" t="s">
        <v>310</v>
      </c>
      <c r="E346" s="8" t="s">
        <v>311</v>
      </c>
      <c r="F346" t="s">
        <v>237</v>
      </c>
      <c r="G346" t="s">
        <v>204</v>
      </c>
      <c r="H346" s="13">
        <v>4658921</v>
      </c>
      <c r="I346" s="13">
        <v>435205</v>
      </c>
      <c r="J346" s="8">
        <f t="shared" si="6"/>
        <v>5094126</v>
      </c>
    </row>
    <row r="347" spans="1:10" x14ac:dyDescent="0.2">
      <c r="A347">
        <v>5102670</v>
      </c>
      <c r="B347" s="8">
        <v>2015</v>
      </c>
      <c r="C347" s="8" t="s">
        <v>309</v>
      </c>
      <c r="D347" s="8" t="s">
        <v>310</v>
      </c>
      <c r="E347" s="8" t="s">
        <v>311</v>
      </c>
      <c r="F347" t="s">
        <v>236</v>
      </c>
      <c r="G347" t="s">
        <v>203</v>
      </c>
      <c r="H347" s="13">
        <v>30445793</v>
      </c>
      <c r="I347" s="13"/>
      <c r="J347" s="8">
        <f t="shared" si="6"/>
        <v>30445793</v>
      </c>
    </row>
    <row r="348" spans="1:10" x14ac:dyDescent="0.2">
      <c r="A348">
        <v>5102670</v>
      </c>
      <c r="B348" s="8">
        <v>2016</v>
      </c>
      <c r="C348" s="8" t="s">
        <v>309</v>
      </c>
      <c r="D348" s="8" t="s">
        <v>310</v>
      </c>
      <c r="E348" s="8" t="s">
        <v>311</v>
      </c>
      <c r="F348" t="s">
        <v>236</v>
      </c>
      <c r="G348" t="s">
        <v>203</v>
      </c>
      <c r="H348" s="13">
        <v>30151467</v>
      </c>
      <c r="I348" s="13"/>
      <c r="J348" s="8">
        <f t="shared" si="6"/>
        <v>30151467</v>
      </c>
    </row>
    <row r="349" spans="1:10" x14ac:dyDescent="0.2">
      <c r="A349">
        <v>5102670</v>
      </c>
      <c r="B349" s="8">
        <v>2017</v>
      </c>
      <c r="C349" s="8" t="s">
        <v>309</v>
      </c>
      <c r="D349" s="8" t="s">
        <v>310</v>
      </c>
      <c r="E349" s="8" t="s">
        <v>311</v>
      </c>
      <c r="F349" t="s">
        <v>236</v>
      </c>
      <c r="G349" t="s">
        <v>203</v>
      </c>
      <c r="H349" s="13">
        <v>30730034</v>
      </c>
      <c r="I349" s="13"/>
      <c r="J349" s="8">
        <f t="shared" si="6"/>
        <v>30730034</v>
      </c>
    </row>
    <row r="350" spans="1:10" x14ac:dyDescent="0.2">
      <c r="A350">
        <v>5102670</v>
      </c>
      <c r="B350" s="8">
        <v>2018</v>
      </c>
      <c r="C350" s="8" t="s">
        <v>309</v>
      </c>
      <c r="D350" s="8" t="s">
        <v>310</v>
      </c>
      <c r="E350" s="8" t="s">
        <v>311</v>
      </c>
      <c r="F350" t="s">
        <v>236</v>
      </c>
      <c r="G350" t="s">
        <v>203</v>
      </c>
      <c r="H350" s="13">
        <v>33217791</v>
      </c>
      <c r="I350" s="13"/>
      <c r="J350" s="8">
        <f t="shared" si="6"/>
        <v>33217791</v>
      </c>
    </row>
    <row r="351" spans="1:10" x14ac:dyDescent="0.2">
      <c r="A351">
        <v>5102670</v>
      </c>
      <c r="B351" s="8">
        <v>2019</v>
      </c>
      <c r="C351" s="8" t="s">
        <v>309</v>
      </c>
      <c r="D351" s="8" t="s">
        <v>310</v>
      </c>
      <c r="E351" s="8" t="s">
        <v>311</v>
      </c>
      <c r="F351" t="s">
        <v>236</v>
      </c>
      <c r="G351" t="s">
        <v>203</v>
      </c>
      <c r="H351" s="13">
        <v>32610188</v>
      </c>
      <c r="I351" s="13"/>
      <c r="J351" s="8">
        <f t="shared" si="6"/>
        <v>32610188</v>
      </c>
    </row>
    <row r="352" spans="1:10" x14ac:dyDescent="0.2">
      <c r="A352">
        <v>5102670</v>
      </c>
      <c r="B352" s="8">
        <v>2020</v>
      </c>
      <c r="C352" s="8" t="s">
        <v>309</v>
      </c>
      <c r="D352" s="8" t="s">
        <v>310</v>
      </c>
      <c r="E352" s="8" t="s">
        <v>311</v>
      </c>
      <c r="F352" t="s">
        <v>236</v>
      </c>
      <c r="G352" t="s">
        <v>203</v>
      </c>
      <c r="H352" s="13">
        <v>32572517</v>
      </c>
      <c r="I352" s="13"/>
      <c r="J352" s="8">
        <f t="shared" si="6"/>
        <v>32572517</v>
      </c>
    </row>
    <row r="353" spans="1:10" x14ac:dyDescent="0.2">
      <c r="A353">
        <v>5102670</v>
      </c>
      <c r="B353" s="8">
        <v>2021</v>
      </c>
      <c r="C353" s="8" t="s">
        <v>309</v>
      </c>
      <c r="D353" s="8" t="s">
        <v>310</v>
      </c>
      <c r="E353" s="8" t="s">
        <v>311</v>
      </c>
      <c r="F353" t="s">
        <v>236</v>
      </c>
      <c r="G353" t="s">
        <v>203</v>
      </c>
      <c r="H353" s="13">
        <v>34474548</v>
      </c>
      <c r="I353" s="13">
        <v>1494856</v>
      </c>
      <c r="J353" s="8">
        <f t="shared" si="6"/>
        <v>35969404</v>
      </c>
    </row>
    <row r="354" spans="1:10" x14ac:dyDescent="0.2">
      <c r="A354">
        <v>5102670</v>
      </c>
      <c r="B354" s="8">
        <v>2022</v>
      </c>
      <c r="C354" s="8" t="s">
        <v>309</v>
      </c>
      <c r="D354" s="8" t="s">
        <v>310</v>
      </c>
      <c r="E354" s="8" t="s">
        <v>311</v>
      </c>
      <c r="F354" t="s">
        <v>236</v>
      </c>
      <c r="G354" t="s">
        <v>203</v>
      </c>
      <c r="H354" s="13">
        <v>34848981</v>
      </c>
      <c r="I354" s="13">
        <v>10377274</v>
      </c>
      <c r="J354" s="8">
        <f t="shared" si="6"/>
        <v>45226255</v>
      </c>
    </row>
    <row r="355" spans="1:10" x14ac:dyDescent="0.2">
      <c r="A355">
        <v>5102670</v>
      </c>
      <c r="B355" s="8">
        <v>2023</v>
      </c>
      <c r="C355" s="8" t="s">
        <v>309</v>
      </c>
      <c r="D355" s="8" t="s">
        <v>310</v>
      </c>
      <c r="E355" s="8" t="s">
        <v>311</v>
      </c>
      <c r="F355" t="s">
        <v>236</v>
      </c>
      <c r="G355" t="s">
        <v>203</v>
      </c>
      <c r="H355" s="13">
        <v>35633497</v>
      </c>
      <c r="I355" s="13">
        <v>3328621</v>
      </c>
      <c r="J355" s="8">
        <f t="shared" si="6"/>
        <v>38962118</v>
      </c>
    </row>
    <row r="356" spans="1:10" x14ac:dyDescent="0.2">
      <c r="A356">
        <v>5102640</v>
      </c>
      <c r="B356" s="8">
        <v>2015</v>
      </c>
      <c r="C356" s="8" t="s">
        <v>309</v>
      </c>
      <c r="D356" s="8" t="s">
        <v>310</v>
      </c>
      <c r="E356" s="8" t="s">
        <v>311</v>
      </c>
      <c r="F356" t="s">
        <v>235</v>
      </c>
      <c r="G356" t="s">
        <v>202</v>
      </c>
      <c r="H356" s="13">
        <v>22315989</v>
      </c>
      <c r="I356" s="13"/>
      <c r="J356" s="8">
        <f t="shared" si="6"/>
        <v>22315989</v>
      </c>
    </row>
    <row r="357" spans="1:10" x14ac:dyDescent="0.2">
      <c r="A357">
        <v>5102640</v>
      </c>
      <c r="B357" s="8">
        <v>2016</v>
      </c>
      <c r="C357" s="8" t="s">
        <v>309</v>
      </c>
      <c r="D357" s="8" t="s">
        <v>310</v>
      </c>
      <c r="E357" s="8" t="s">
        <v>311</v>
      </c>
      <c r="F357" t="s">
        <v>235</v>
      </c>
      <c r="G357" t="s">
        <v>202</v>
      </c>
      <c r="H357" s="13">
        <v>21885759</v>
      </c>
      <c r="I357" s="13"/>
      <c r="J357" s="8">
        <f t="shared" si="6"/>
        <v>21885759</v>
      </c>
    </row>
    <row r="358" spans="1:10" x14ac:dyDescent="0.2">
      <c r="A358">
        <v>5102640</v>
      </c>
      <c r="B358" s="8">
        <v>2017</v>
      </c>
      <c r="C358" s="8" t="s">
        <v>309</v>
      </c>
      <c r="D358" s="8" t="s">
        <v>310</v>
      </c>
      <c r="E358" s="8" t="s">
        <v>311</v>
      </c>
      <c r="F358" t="s">
        <v>235</v>
      </c>
      <c r="G358" t="s">
        <v>202</v>
      </c>
      <c r="H358" s="13">
        <v>23034462</v>
      </c>
      <c r="I358" s="13"/>
      <c r="J358" s="8">
        <f t="shared" si="6"/>
        <v>23034462</v>
      </c>
    </row>
    <row r="359" spans="1:10" x14ac:dyDescent="0.2">
      <c r="A359">
        <v>5102640</v>
      </c>
      <c r="B359" s="8">
        <v>2018</v>
      </c>
      <c r="C359" s="8" t="s">
        <v>309</v>
      </c>
      <c r="D359" s="8" t="s">
        <v>310</v>
      </c>
      <c r="E359" s="8" t="s">
        <v>311</v>
      </c>
      <c r="F359" t="s">
        <v>235</v>
      </c>
      <c r="G359" t="s">
        <v>202</v>
      </c>
      <c r="H359" s="13">
        <v>25768859</v>
      </c>
      <c r="I359" s="13"/>
      <c r="J359" s="8">
        <f t="shared" si="6"/>
        <v>25768859</v>
      </c>
    </row>
    <row r="360" spans="1:10" x14ac:dyDescent="0.2">
      <c r="A360">
        <v>5102640</v>
      </c>
      <c r="B360" s="8">
        <v>2019</v>
      </c>
      <c r="C360" s="8" t="s">
        <v>309</v>
      </c>
      <c r="D360" s="8" t="s">
        <v>310</v>
      </c>
      <c r="E360" s="8" t="s">
        <v>311</v>
      </c>
      <c r="F360" t="s">
        <v>235</v>
      </c>
      <c r="G360" t="s">
        <v>202</v>
      </c>
      <c r="H360" s="13">
        <v>25217034</v>
      </c>
      <c r="I360" s="13"/>
      <c r="J360" s="8">
        <f t="shared" si="6"/>
        <v>25217034</v>
      </c>
    </row>
    <row r="361" spans="1:10" x14ac:dyDescent="0.2">
      <c r="A361">
        <v>5102640</v>
      </c>
      <c r="B361" s="8">
        <v>2020</v>
      </c>
      <c r="C361" s="8" t="s">
        <v>309</v>
      </c>
      <c r="D361" s="8" t="s">
        <v>310</v>
      </c>
      <c r="E361" s="8" t="s">
        <v>311</v>
      </c>
      <c r="F361" t="s">
        <v>235</v>
      </c>
      <c r="G361" t="s">
        <v>202</v>
      </c>
      <c r="H361" s="13">
        <v>25379823</v>
      </c>
      <c r="I361" s="13"/>
      <c r="J361" s="8">
        <f t="shared" si="6"/>
        <v>25379823</v>
      </c>
    </row>
    <row r="362" spans="1:10" x14ac:dyDescent="0.2">
      <c r="A362">
        <v>5102640</v>
      </c>
      <c r="B362" s="8">
        <v>2021</v>
      </c>
      <c r="C362" s="8" t="s">
        <v>309</v>
      </c>
      <c r="D362" s="8" t="s">
        <v>310</v>
      </c>
      <c r="E362" s="8" t="s">
        <v>311</v>
      </c>
      <c r="F362" t="s">
        <v>235</v>
      </c>
      <c r="G362" t="s">
        <v>202</v>
      </c>
      <c r="H362" s="13">
        <v>26976920</v>
      </c>
      <c r="I362" s="13">
        <v>1169749</v>
      </c>
      <c r="J362" s="8">
        <f t="shared" si="6"/>
        <v>28146669</v>
      </c>
    </row>
    <row r="363" spans="1:10" x14ac:dyDescent="0.2">
      <c r="A363">
        <v>5102640</v>
      </c>
      <c r="B363" s="8">
        <v>2022</v>
      </c>
      <c r="C363" s="8" t="s">
        <v>309</v>
      </c>
      <c r="D363" s="8" t="s">
        <v>310</v>
      </c>
      <c r="E363" s="8" t="s">
        <v>311</v>
      </c>
      <c r="F363" t="s">
        <v>235</v>
      </c>
      <c r="G363" t="s">
        <v>202</v>
      </c>
      <c r="H363" s="13">
        <v>27883305</v>
      </c>
      <c r="I363" s="13">
        <v>8303040</v>
      </c>
      <c r="J363" s="8">
        <f t="shared" si="6"/>
        <v>36186345</v>
      </c>
    </row>
    <row r="364" spans="1:10" x14ac:dyDescent="0.2">
      <c r="A364">
        <v>5102640</v>
      </c>
      <c r="B364" s="8">
        <v>2023</v>
      </c>
      <c r="C364" s="8" t="s">
        <v>309</v>
      </c>
      <c r="D364" s="8" t="s">
        <v>310</v>
      </c>
      <c r="E364" s="8" t="s">
        <v>311</v>
      </c>
      <c r="F364" t="s">
        <v>235</v>
      </c>
      <c r="G364" t="s">
        <v>202</v>
      </c>
      <c r="H364" s="13">
        <v>29654303</v>
      </c>
      <c r="I364" s="13">
        <v>2770084</v>
      </c>
      <c r="J364" s="8">
        <f t="shared" si="6"/>
        <v>32424387</v>
      </c>
    </row>
    <row r="365" spans="1:10" x14ac:dyDescent="0.2">
      <c r="A365">
        <v>5102340</v>
      </c>
      <c r="B365" s="8">
        <v>2015</v>
      </c>
      <c r="C365" s="8" t="s">
        <v>309</v>
      </c>
      <c r="D365" s="8" t="s">
        <v>310</v>
      </c>
      <c r="E365" s="8" t="s">
        <v>311</v>
      </c>
      <c r="F365" t="s">
        <v>234</v>
      </c>
      <c r="G365" t="s">
        <v>201</v>
      </c>
      <c r="H365" s="13">
        <v>7620274</v>
      </c>
      <c r="I365" s="13"/>
      <c r="J365" s="8">
        <f t="shared" si="6"/>
        <v>7620274</v>
      </c>
    </row>
    <row r="366" spans="1:10" x14ac:dyDescent="0.2">
      <c r="A366">
        <v>5102340</v>
      </c>
      <c r="B366" s="8">
        <v>2016</v>
      </c>
      <c r="C366" s="8" t="s">
        <v>309</v>
      </c>
      <c r="D366" s="8" t="s">
        <v>310</v>
      </c>
      <c r="E366" s="8" t="s">
        <v>311</v>
      </c>
      <c r="F366" t="s">
        <v>234</v>
      </c>
      <c r="G366" t="s">
        <v>201</v>
      </c>
      <c r="H366" s="13">
        <v>7810384</v>
      </c>
      <c r="I366" s="13"/>
      <c r="J366" s="8">
        <f t="shared" si="6"/>
        <v>7810384</v>
      </c>
    </row>
    <row r="367" spans="1:10" x14ac:dyDescent="0.2">
      <c r="A367">
        <v>5102340</v>
      </c>
      <c r="B367" s="8">
        <v>2017</v>
      </c>
      <c r="C367" s="8" t="s">
        <v>309</v>
      </c>
      <c r="D367" s="8" t="s">
        <v>310</v>
      </c>
      <c r="E367" s="8" t="s">
        <v>311</v>
      </c>
      <c r="F367" t="s">
        <v>234</v>
      </c>
      <c r="G367" t="s">
        <v>201</v>
      </c>
      <c r="H367" s="13">
        <v>8073021</v>
      </c>
      <c r="I367" s="13"/>
      <c r="J367" s="8">
        <f t="shared" si="6"/>
        <v>8073021</v>
      </c>
    </row>
    <row r="368" spans="1:10" x14ac:dyDescent="0.2">
      <c r="A368">
        <v>5102340</v>
      </c>
      <c r="B368" s="8">
        <v>2018</v>
      </c>
      <c r="C368" s="8" t="s">
        <v>309</v>
      </c>
      <c r="D368" s="8" t="s">
        <v>310</v>
      </c>
      <c r="E368" s="8" t="s">
        <v>311</v>
      </c>
      <c r="F368" t="s">
        <v>234</v>
      </c>
      <c r="G368" t="s">
        <v>201</v>
      </c>
      <c r="H368" s="13">
        <v>8878626</v>
      </c>
      <c r="I368" s="13"/>
      <c r="J368" s="8">
        <f t="shared" si="6"/>
        <v>8878626</v>
      </c>
    </row>
    <row r="369" spans="1:10" x14ac:dyDescent="0.2">
      <c r="A369">
        <v>5102340</v>
      </c>
      <c r="B369" s="8">
        <v>2019</v>
      </c>
      <c r="C369" s="8" t="s">
        <v>309</v>
      </c>
      <c r="D369" s="8" t="s">
        <v>310</v>
      </c>
      <c r="E369" s="8" t="s">
        <v>311</v>
      </c>
      <c r="F369" t="s">
        <v>234</v>
      </c>
      <c r="G369" t="s">
        <v>201</v>
      </c>
      <c r="H369" s="13">
        <v>8323399</v>
      </c>
      <c r="I369" s="13"/>
      <c r="J369" s="8">
        <f t="shared" si="6"/>
        <v>8323399</v>
      </c>
    </row>
    <row r="370" spans="1:10" x14ac:dyDescent="0.2">
      <c r="A370">
        <v>5102340</v>
      </c>
      <c r="B370" s="8">
        <v>2020</v>
      </c>
      <c r="C370" s="8" t="s">
        <v>309</v>
      </c>
      <c r="D370" s="8" t="s">
        <v>310</v>
      </c>
      <c r="E370" s="8" t="s">
        <v>311</v>
      </c>
      <c r="F370" t="s">
        <v>234</v>
      </c>
      <c r="G370" t="s">
        <v>201</v>
      </c>
      <c r="H370" s="13">
        <v>8486555</v>
      </c>
      <c r="I370" s="13"/>
      <c r="J370" s="8">
        <f t="shared" si="6"/>
        <v>8486555</v>
      </c>
    </row>
    <row r="371" spans="1:10" x14ac:dyDescent="0.2">
      <c r="A371">
        <v>5102340</v>
      </c>
      <c r="B371" s="8">
        <v>2021</v>
      </c>
      <c r="C371" s="8" t="s">
        <v>309</v>
      </c>
      <c r="D371" s="8" t="s">
        <v>310</v>
      </c>
      <c r="E371" s="8" t="s">
        <v>311</v>
      </c>
      <c r="F371" t="s">
        <v>234</v>
      </c>
      <c r="G371" t="s">
        <v>201</v>
      </c>
      <c r="H371" s="13">
        <v>8638880</v>
      </c>
      <c r="I371" s="13">
        <v>374593</v>
      </c>
      <c r="J371" s="8">
        <f t="shared" si="6"/>
        <v>9013473</v>
      </c>
    </row>
    <row r="372" spans="1:10" x14ac:dyDescent="0.2">
      <c r="A372">
        <v>5102340</v>
      </c>
      <c r="B372" s="8">
        <v>2022</v>
      </c>
      <c r="C372" s="8" t="s">
        <v>309</v>
      </c>
      <c r="D372" s="8" t="s">
        <v>310</v>
      </c>
      <c r="E372" s="8" t="s">
        <v>311</v>
      </c>
      <c r="F372" t="s">
        <v>234</v>
      </c>
      <c r="G372" t="s">
        <v>201</v>
      </c>
      <c r="H372" s="13">
        <v>9185686</v>
      </c>
      <c r="I372" s="13">
        <v>2735313</v>
      </c>
      <c r="J372" s="8">
        <f t="shared" si="6"/>
        <v>11920999</v>
      </c>
    </row>
    <row r="373" spans="1:10" x14ac:dyDescent="0.2">
      <c r="A373">
        <v>5102340</v>
      </c>
      <c r="B373" s="8">
        <v>2023</v>
      </c>
      <c r="C373" s="8" t="s">
        <v>309</v>
      </c>
      <c r="D373" s="8" t="s">
        <v>310</v>
      </c>
      <c r="E373" s="8" t="s">
        <v>311</v>
      </c>
      <c r="F373" t="s">
        <v>234</v>
      </c>
      <c r="G373" t="s">
        <v>201</v>
      </c>
      <c r="H373" s="13">
        <v>9840281</v>
      </c>
      <c r="I373" s="13">
        <v>919203</v>
      </c>
      <c r="J373" s="8">
        <f t="shared" si="6"/>
        <v>10759484</v>
      </c>
    </row>
    <row r="374" spans="1:10" x14ac:dyDescent="0.2">
      <c r="A374">
        <v>5101980</v>
      </c>
      <c r="B374" s="8">
        <v>2015</v>
      </c>
      <c r="C374" s="8" t="s">
        <v>309</v>
      </c>
      <c r="D374" s="8" t="s">
        <v>310</v>
      </c>
      <c r="E374" s="8" t="s">
        <v>311</v>
      </c>
      <c r="F374" t="s">
        <v>233</v>
      </c>
      <c r="G374" t="s">
        <v>200</v>
      </c>
      <c r="H374" s="13">
        <v>3362153</v>
      </c>
      <c r="I374" s="13"/>
      <c r="J374" s="8">
        <f t="shared" si="6"/>
        <v>3362153</v>
      </c>
    </row>
    <row r="375" spans="1:10" x14ac:dyDescent="0.2">
      <c r="A375">
        <v>5101980</v>
      </c>
      <c r="B375" s="8">
        <v>2016</v>
      </c>
      <c r="C375" s="8" t="s">
        <v>309</v>
      </c>
      <c r="D375" s="8" t="s">
        <v>310</v>
      </c>
      <c r="E375" s="8" t="s">
        <v>311</v>
      </c>
      <c r="F375" t="s">
        <v>233</v>
      </c>
      <c r="G375" t="s">
        <v>200</v>
      </c>
      <c r="H375" s="13">
        <v>3250885</v>
      </c>
      <c r="I375" s="13"/>
      <c r="J375" s="8">
        <f t="shared" si="6"/>
        <v>3250885</v>
      </c>
    </row>
    <row r="376" spans="1:10" x14ac:dyDescent="0.2">
      <c r="A376">
        <v>5101980</v>
      </c>
      <c r="B376" s="8">
        <v>2017</v>
      </c>
      <c r="C376" s="8" t="s">
        <v>309</v>
      </c>
      <c r="D376" s="8" t="s">
        <v>310</v>
      </c>
      <c r="E376" s="8" t="s">
        <v>311</v>
      </c>
      <c r="F376" t="s">
        <v>233</v>
      </c>
      <c r="G376" t="s">
        <v>200</v>
      </c>
      <c r="H376" s="13">
        <v>3552876</v>
      </c>
      <c r="I376" s="13"/>
      <c r="J376" s="8">
        <f t="shared" si="6"/>
        <v>3552876</v>
      </c>
    </row>
    <row r="377" spans="1:10" x14ac:dyDescent="0.2">
      <c r="A377">
        <v>5101980</v>
      </c>
      <c r="B377" s="8">
        <v>2018</v>
      </c>
      <c r="C377" s="8" t="s">
        <v>309</v>
      </c>
      <c r="D377" s="8" t="s">
        <v>310</v>
      </c>
      <c r="E377" s="8" t="s">
        <v>311</v>
      </c>
      <c r="F377" t="s">
        <v>233</v>
      </c>
      <c r="G377" t="s">
        <v>200</v>
      </c>
      <c r="H377" s="13">
        <v>3980495</v>
      </c>
      <c r="I377" s="13"/>
      <c r="J377" s="8">
        <f t="shared" si="6"/>
        <v>3980495</v>
      </c>
    </row>
    <row r="378" spans="1:10" x14ac:dyDescent="0.2">
      <c r="A378">
        <v>5101980</v>
      </c>
      <c r="B378" s="8">
        <v>2019</v>
      </c>
      <c r="C378" s="8" t="s">
        <v>309</v>
      </c>
      <c r="D378" s="8" t="s">
        <v>310</v>
      </c>
      <c r="E378" s="8" t="s">
        <v>311</v>
      </c>
      <c r="F378" t="s">
        <v>233</v>
      </c>
      <c r="G378" t="s">
        <v>200</v>
      </c>
      <c r="H378" s="13">
        <v>3999587</v>
      </c>
      <c r="I378" s="13"/>
      <c r="J378" s="8">
        <f t="shared" si="6"/>
        <v>3999587</v>
      </c>
    </row>
    <row r="379" spans="1:10" x14ac:dyDescent="0.2">
      <c r="A379">
        <v>5101980</v>
      </c>
      <c r="B379" s="8">
        <v>2020</v>
      </c>
      <c r="C379" s="8" t="s">
        <v>309</v>
      </c>
      <c r="D379" s="8" t="s">
        <v>310</v>
      </c>
      <c r="E379" s="8" t="s">
        <v>311</v>
      </c>
      <c r="F379" t="s">
        <v>233</v>
      </c>
      <c r="G379" t="s">
        <v>200</v>
      </c>
      <c r="H379" s="13">
        <v>4097008</v>
      </c>
      <c r="I379" s="13"/>
      <c r="J379" s="8">
        <f t="shared" si="6"/>
        <v>4097008</v>
      </c>
    </row>
    <row r="380" spans="1:10" x14ac:dyDescent="0.2">
      <c r="A380">
        <v>5101980</v>
      </c>
      <c r="B380" s="8">
        <v>2021</v>
      </c>
      <c r="C380" s="8" t="s">
        <v>309</v>
      </c>
      <c r="D380" s="8" t="s">
        <v>310</v>
      </c>
      <c r="E380" s="8" t="s">
        <v>311</v>
      </c>
      <c r="F380" t="s">
        <v>233</v>
      </c>
      <c r="G380" t="s">
        <v>200</v>
      </c>
      <c r="H380" s="13">
        <v>4183345</v>
      </c>
      <c r="I380" s="13">
        <v>181395</v>
      </c>
      <c r="J380" s="8">
        <f t="shared" si="6"/>
        <v>4364740</v>
      </c>
    </row>
    <row r="381" spans="1:10" x14ac:dyDescent="0.2">
      <c r="A381">
        <v>5101980</v>
      </c>
      <c r="B381" s="8">
        <v>2022</v>
      </c>
      <c r="C381" s="8" t="s">
        <v>309</v>
      </c>
      <c r="D381" s="8" t="s">
        <v>310</v>
      </c>
      <c r="E381" s="8" t="s">
        <v>311</v>
      </c>
      <c r="F381" t="s">
        <v>233</v>
      </c>
      <c r="G381" t="s">
        <v>200</v>
      </c>
      <c r="H381" s="13">
        <v>4604173</v>
      </c>
      <c r="I381" s="13">
        <v>1371041</v>
      </c>
      <c r="J381" s="8">
        <f t="shared" si="6"/>
        <v>5975214</v>
      </c>
    </row>
    <row r="382" spans="1:10" x14ac:dyDescent="0.2">
      <c r="A382">
        <v>5101980</v>
      </c>
      <c r="B382" s="8">
        <v>2023</v>
      </c>
      <c r="C382" s="8" t="s">
        <v>309</v>
      </c>
      <c r="D382" s="8" t="s">
        <v>310</v>
      </c>
      <c r="E382" s="8" t="s">
        <v>311</v>
      </c>
      <c r="F382" t="s">
        <v>233</v>
      </c>
      <c r="G382" t="s">
        <v>200</v>
      </c>
      <c r="H382" s="13">
        <v>5031445</v>
      </c>
      <c r="I382" s="13">
        <v>470005</v>
      </c>
      <c r="J382" s="8">
        <f t="shared" si="6"/>
        <v>5501450</v>
      </c>
    </row>
    <row r="383" spans="1:10" x14ac:dyDescent="0.2">
      <c r="A383">
        <v>5101860</v>
      </c>
      <c r="B383" s="8">
        <v>2015</v>
      </c>
      <c r="C383" s="8" t="s">
        <v>309</v>
      </c>
      <c r="D383" s="8" t="s">
        <v>310</v>
      </c>
      <c r="E383" s="8" t="s">
        <v>311</v>
      </c>
      <c r="F383" t="s">
        <v>232</v>
      </c>
      <c r="G383" t="s">
        <v>199</v>
      </c>
      <c r="H383" s="13">
        <v>4804083</v>
      </c>
      <c r="I383" s="13"/>
      <c r="J383" s="8">
        <f t="shared" si="6"/>
        <v>4804083</v>
      </c>
    </row>
    <row r="384" spans="1:10" x14ac:dyDescent="0.2">
      <c r="A384">
        <v>5101860</v>
      </c>
      <c r="B384" s="8">
        <v>2016</v>
      </c>
      <c r="C384" s="8" t="s">
        <v>309</v>
      </c>
      <c r="D384" s="8" t="s">
        <v>310</v>
      </c>
      <c r="E384" s="8" t="s">
        <v>311</v>
      </c>
      <c r="F384" t="s">
        <v>232</v>
      </c>
      <c r="G384" t="s">
        <v>199</v>
      </c>
      <c r="H384" s="13">
        <v>4900590</v>
      </c>
      <c r="I384" s="13"/>
      <c r="J384" s="8">
        <f t="shared" si="6"/>
        <v>4900590</v>
      </c>
    </row>
    <row r="385" spans="1:10" x14ac:dyDescent="0.2">
      <c r="A385">
        <v>5101860</v>
      </c>
      <c r="B385" s="8">
        <v>2017</v>
      </c>
      <c r="C385" s="8" t="s">
        <v>309</v>
      </c>
      <c r="D385" s="8" t="s">
        <v>310</v>
      </c>
      <c r="E385" s="8" t="s">
        <v>311</v>
      </c>
      <c r="F385" t="s">
        <v>232</v>
      </c>
      <c r="G385" t="s">
        <v>199</v>
      </c>
      <c r="H385" s="13">
        <v>5374619</v>
      </c>
      <c r="I385" s="13"/>
      <c r="J385" s="8">
        <f t="shared" si="6"/>
        <v>5374619</v>
      </c>
    </row>
    <row r="386" spans="1:10" x14ac:dyDescent="0.2">
      <c r="A386">
        <v>5101860</v>
      </c>
      <c r="B386" s="8">
        <v>2018</v>
      </c>
      <c r="C386" s="8" t="s">
        <v>309</v>
      </c>
      <c r="D386" s="8" t="s">
        <v>310</v>
      </c>
      <c r="E386" s="8" t="s">
        <v>311</v>
      </c>
      <c r="F386" t="s">
        <v>232</v>
      </c>
      <c r="G386" t="s">
        <v>199</v>
      </c>
      <c r="H386" s="13">
        <v>6323348</v>
      </c>
      <c r="I386" s="13"/>
      <c r="J386" s="8">
        <f t="shared" si="6"/>
        <v>6323348</v>
      </c>
    </row>
    <row r="387" spans="1:10" x14ac:dyDescent="0.2">
      <c r="A387">
        <v>5101860</v>
      </c>
      <c r="B387" s="8">
        <v>2019</v>
      </c>
      <c r="C387" s="8" t="s">
        <v>309</v>
      </c>
      <c r="D387" s="8" t="s">
        <v>310</v>
      </c>
      <c r="E387" s="8" t="s">
        <v>311</v>
      </c>
      <c r="F387" t="s">
        <v>232</v>
      </c>
      <c r="G387" t="s">
        <v>199</v>
      </c>
      <c r="H387" s="13">
        <v>6309660</v>
      </c>
      <c r="I387" s="13"/>
      <c r="J387" s="8">
        <f t="shared" ref="J387:J450" si="7">SUM(H387:I387)</f>
        <v>6309660</v>
      </c>
    </row>
    <row r="388" spans="1:10" x14ac:dyDescent="0.2">
      <c r="A388">
        <v>5101860</v>
      </c>
      <c r="B388" s="8">
        <v>2020</v>
      </c>
      <c r="C388" s="8" t="s">
        <v>309</v>
      </c>
      <c r="D388" s="8" t="s">
        <v>310</v>
      </c>
      <c r="E388" s="8" t="s">
        <v>311</v>
      </c>
      <c r="F388" t="s">
        <v>232</v>
      </c>
      <c r="G388" t="s">
        <v>199</v>
      </c>
      <c r="H388" s="13">
        <v>6629088</v>
      </c>
      <c r="I388" s="13"/>
      <c r="J388" s="8">
        <f t="shared" si="7"/>
        <v>6629088</v>
      </c>
    </row>
    <row r="389" spans="1:10" x14ac:dyDescent="0.2">
      <c r="A389">
        <v>5101860</v>
      </c>
      <c r="B389" s="8">
        <v>2021</v>
      </c>
      <c r="C389" s="8" t="s">
        <v>309</v>
      </c>
      <c r="D389" s="8" t="s">
        <v>310</v>
      </c>
      <c r="E389" s="8" t="s">
        <v>311</v>
      </c>
      <c r="F389" t="s">
        <v>232</v>
      </c>
      <c r="G389" t="s">
        <v>199</v>
      </c>
      <c r="H389" s="13">
        <v>7118376</v>
      </c>
      <c r="I389" s="13">
        <v>308660</v>
      </c>
      <c r="J389" s="8">
        <f t="shared" si="7"/>
        <v>7427036</v>
      </c>
    </row>
    <row r="390" spans="1:10" x14ac:dyDescent="0.2">
      <c r="A390">
        <v>5101860</v>
      </c>
      <c r="B390" s="8">
        <v>2022</v>
      </c>
      <c r="C390" s="8" t="s">
        <v>309</v>
      </c>
      <c r="D390" s="8" t="s">
        <v>310</v>
      </c>
      <c r="E390" s="8" t="s">
        <v>311</v>
      </c>
      <c r="F390" t="s">
        <v>232</v>
      </c>
      <c r="G390" t="s">
        <v>199</v>
      </c>
      <c r="H390" s="13">
        <v>7738631</v>
      </c>
      <c r="I390" s="13">
        <v>2304399</v>
      </c>
      <c r="J390" s="8">
        <f t="shared" si="7"/>
        <v>10043030</v>
      </c>
    </row>
    <row r="391" spans="1:10" x14ac:dyDescent="0.2">
      <c r="A391">
        <v>5101860</v>
      </c>
      <c r="B391" s="8">
        <v>2023</v>
      </c>
      <c r="C391" s="8" t="s">
        <v>309</v>
      </c>
      <c r="D391" s="8" t="s">
        <v>310</v>
      </c>
      <c r="E391" s="8" t="s">
        <v>311</v>
      </c>
      <c r="F391" t="s">
        <v>232</v>
      </c>
      <c r="G391" t="s">
        <v>199</v>
      </c>
      <c r="H391" s="13">
        <v>8418095</v>
      </c>
      <c r="I391" s="13">
        <v>786359</v>
      </c>
      <c r="J391" s="8">
        <f t="shared" si="7"/>
        <v>9204454</v>
      </c>
    </row>
    <row r="392" spans="1:10" x14ac:dyDescent="0.2">
      <c r="A392">
        <v>5101800</v>
      </c>
      <c r="B392" s="8">
        <v>2015</v>
      </c>
      <c r="C392" s="8" t="s">
        <v>309</v>
      </c>
      <c r="D392" s="8" t="s">
        <v>310</v>
      </c>
      <c r="E392" s="8" t="s">
        <v>311</v>
      </c>
      <c r="F392" t="s">
        <v>231</v>
      </c>
      <c r="G392" t="s">
        <v>198</v>
      </c>
      <c r="H392" s="13">
        <v>15425783</v>
      </c>
      <c r="I392" s="13"/>
      <c r="J392" s="8">
        <f t="shared" si="7"/>
        <v>15425783</v>
      </c>
    </row>
    <row r="393" spans="1:10" x14ac:dyDescent="0.2">
      <c r="A393">
        <v>5101800</v>
      </c>
      <c r="B393" s="8">
        <v>2016</v>
      </c>
      <c r="C393" s="8" t="s">
        <v>309</v>
      </c>
      <c r="D393" s="8" t="s">
        <v>310</v>
      </c>
      <c r="E393" s="8" t="s">
        <v>311</v>
      </c>
      <c r="F393" t="s">
        <v>231</v>
      </c>
      <c r="G393" t="s">
        <v>198</v>
      </c>
      <c r="H393" s="13">
        <v>14943178</v>
      </c>
      <c r="I393" s="13"/>
      <c r="J393" s="8">
        <f t="shared" si="7"/>
        <v>14943178</v>
      </c>
    </row>
    <row r="394" spans="1:10" x14ac:dyDescent="0.2">
      <c r="A394">
        <v>5101800</v>
      </c>
      <c r="B394" s="8">
        <v>2017</v>
      </c>
      <c r="C394" s="8" t="s">
        <v>309</v>
      </c>
      <c r="D394" s="8" t="s">
        <v>310</v>
      </c>
      <c r="E394" s="8" t="s">
        <v>311</v>
      </c>
      <c r="F394" t="s">
        <v>231</v>
      </c>
      <c r="G394" t="s">
        <v>198</v>
      </c>
      <c r="H394" s="13">
        <v>15806468</v>
      </c>
      <c r="I394" s="13"/>
      <c r="J394" s="8">
        <f t="shared" si="7"/>
        <v>15806468</v>
      </c>
    </row>
    <row r="395" spans="1:10" x14ac:dyDescent="0.2">
      <c r="A395">
        <v>5101800</v>
      </c>
      <c r="B395" s="8">
        <v>2018</v>
      </c>
      <c r="C395" s="8" t="s">
        <v>309</v>
      </c>
      <c r="D395" s="8" t="s">
        <v>310</v>
      </c>
      <c r="E395" s="8" t="s">
        <v>311</v>
      </c>
      <c r="F395" t="s">
        <v>231</v>
      </c>
      <c r="G395" t="s">
        <v>198</v>
      </c>
      <c r="H395" s="13">
        <v>17587089</v>
      </c>
      <c r="I395" s="13"/>
      <c r="J395" s="8">
        <f t="shared" si="7"/>
        <v>17587089</v>
      </c>
    </row>
    <row r="396" spans="1:10" x14ac:dyDescent="0.2">
      <c r="A396">
        <v>5101800</v>
      </c>
      <c r="B396" s="8">
        <v>2019</v>
      </c>
      <c r="C396" s="8" t="s">
        <v>309</v>
      </c>
      <c r="D396" s="8" t="s">
        <v>310</v>
      </c>
      <c r="E396" s="8" t="s">
        <v>311</v>
      </c>
      <c r="F396" t="s">
        <v>231</v>
      </c>
      <c r="G396" t="s">
        <v>198</v>
      </c>
      <c r="H396" s="13">
        <v>16645974</v>
      </c>
      <c r="I396" s="13"/>
      <c r="J396" s="8">
        <f t="shared" si="7"/>
        <v>16645974</v>
      </c>
    </row>
    <row r="397" spans="1:10" x14ac:dyDescent="0.2">
      <c r="A397">
        <v>5101800</v>
      </c>
      <c r="B397" s="8">
        <v>2020</v>
      </c>
      <c r="C397" s="8" t="s">
        <v>309</v>
      </c>
      <c r="D397" s="8" t="s">
        <v>310</v>
      </c>
      <c r="E397" s="8" t="s">
        <v>311</v>
      </c>
      <c r="F397" t="s">
        <v>231</v>
      </c>
      <c r="G397" t="s">
        <v>198</v>
      </c>
      <c r="H397" s="13">
        <v>17180999</v>
      </c>
      <c r="I397" s="13"/>
      <c r="J397" s="8">
        <f t="shared" si="7"/>
        <v>17180999</v>
      </c>
    </row>
    <row r="398" spans="1:10" x14ac:dyDescent="0.2">
      <c r="A398">
        <v>5101800</v>
      </c>
      <c r="B398" s="8">
        <v>2021</v>
      </c>
      <c r="C398" s="8" t="s">
        <v>309</v>
      </c>
      <c r="D398" s="8" t="s">
        <v>310</v>
      </c>
      <c r="E398" s="8" t="s">
        <v>311</v>
      </c>
      <c r="F398" t="s">
        <v>231</v>
      </c>
      <c r="G398" t="s">
        <v>198</v>
      </c>
      <c r="H398" s="13">
        <v>18419428</v>
      </c>
      <c r="I398" s="13">
        <v>798690</v>
      </c>
      <c r="J398" s="8">
        <f t="shared" si="7"/>
        <v>19218118</v>
      </c>
    </row>
    <row r="399" spans="1:10" x14ac:dyDescent="0.2">
      <c r="A399">
        <v>5101800</v>
      </c>
      <c r="B399" s="8">
        <v>2022</v>
      </c>
      <c r="C399" s="8" t="s">
        <v>309</v>
      </c>
      <c r="D399" s="8" t="s">
        <v>310</v>
      </c>
      <c r="E399" s="8" t="s">
        <v>311</v>
      </c>
      <c r="F399" t="s">
        <v>231</v>
      </c>
      <c r="G399" t="s">
        <v>198</v>
      </c>
      <c r="H399" s="13">
        <v>19594134</v>
      </c>
      <c r="I399" s="13">
        <v>5834698</v>
      </c>
      <c r="J399" s="8">
        <f t="shared" si="7"/>
        <v>25428832</v>
      </c>
    </row>
    <row r="400" spans="1:10" x14ac:dyDescent="0.2">
      <c r="A400">
        <v>5101800</v>
      </c>
      <c r="B400" s="8">
        <v>2023</v>
      </c>
      <c r="C400" s="8" t="s">
        <v>309</v>
      </c>
      <c r="D400" s="8" t="s">
        <v>310</v>
      </c>
      <c r="E400" s="8" t="s">
        <v>311</v>
      </c>
      <c r="F400" t="s">
        <v>231</v>
      </c>
      <c r="G400" t="s">
        <v>198</v>
      </c>
      <c r="H400" s="13">
        <v>20738477</v>
      </c>
      <c r="I400" s="13">
        <v>1937231</v>
      </c>
      <c r="J400" s="8">
        <f t="shared" si="7"/>
        <v>22675708</v>
      </c>
    </row>
    <row r="401" spans="1:10" x14ac:dyDescent="0.2">
      <c r="A401">
        <v>5101510</v>
      </c>
      <c r="B401" s="8">
        <v>2015</v>
      </c>
      <c r="C401" s="8" t="s">
        <v>309</v>
      </c>
      <c r="D401" s="8" t="s">
        <v>310</v>
      </c>
      <c r="E401" s="8" t="s">
        <v>311</v>
      </c>
      <c r="F401" t="s">
        <v>230</v>
      </c>
      <c r="G401" t="s">
        <v>197</v>
      </c>
      <c r="H401" s="13">
        <v>3107898</v>
      </c>
      <c r="I401" s="13"/>
      <c r="J401" s="8">
        <f t="shared" si="7"/>
        <v>3107898</v>
      </c>
    </row>
    <row r="402" spans="1:10" x14ac:dyDescent="0.2">
      <c r="A402">
        <v>5101510</v>
      </c>
      <c r="B402" s="8">
        <v>2016</v>
      </c>
      <c r="C402" s="8" t="s">
        <v>309</v>
      </c>
      <c r="D402" s="8" t="s">
        <v>310</v>
      </c>
      <c r="E402" s="8" t="s">
        <v>311</v>
      </c>
      <c r="F402" t="s">
        <v>230</v>
      </c>
      <c r="G402" t="s">
        <v>197</v>
      </c>
      <c r="H402" s="13">
        <v>3102362</v>
      </c>
      <c r="I402" s="13"/>
      <c r="J402" s="8">
        <f t="shared" si="7"/>
        <v>3102362</v>
      </c>
    </row>
    <row r="403" spans="1:10" x14ac:dyDescent="0.2">
      <c r="A403">
        <v>5101510</v>
      </c>
      <c r="B403" s="8">
        <v>2017</v>
      </c>
      <c r="C403" s="8" t="s">
        <v>309</v>
      </c>
      <c r="D403" s="8" t="s">
        <v>310</v>
      </c>
      <c r="E403" s="8" t="s">
        <v>311</v>
      </c>
      <c r="F403" t="s">
        <v>230</v>
      </c>
      <c r="G403" t="s">
        <v>197</v>
      </c>
      <c r="H403" s="13">
        <v>3284717</v>
      </c>
      <c r="I403" s="13"/>
      <c r="J403" s="8">
        <f t="shared" si="7"/>
        <v>3284717</v>
      </c>
    </row>
    <row r="404" spans="1:10" x14ac:dyDescent="0.2">
      <c r="A404">
        <v>5101510</v>
      </c>
      <c r="B404" s="8">
        <v>2018</v>
      </c>
      <c r="C404" s="8" t="s">
        <v>309</v>
      </c>
      <c r="D404" s="8" t="s">
        <v>310</v>
      </c>
      <c r="E404" s="8" t="s">
        <v>311</v>
      </c>
      <c r="F404" t="s">
        <v>230</v>
      </c>
      <c r="G404" t="s">
        <v>197</v>
      </c>
      <c r="H404" s="13">
        <v>3721253</v>
      </c>
      <c r="I404" s="13"/>
      <c r="J404" s="8">
        <f t="shared" si="7"/>
        <v>3721253</v>
      </c>
    </row>
    <row r="405" spans="1:10" x14ac:dyDescent="0.2">
      <c r="A405">
        <v>5101510</v>
      </c>
      <c r="B405" s="8">
        <v>2019</v>
      </c>
      <c r="C405" s="8" t="s">
        <v>309</v>
      </c>
      <c r="D405" s="8" t="s">
        <v>310</v>
      </c>
      <c r="E405" s="8" t="s">
        <v>311</v>
      </c>
      <c r="F405" t="s">
        <v>230</v>
      </c>
      <c r="G405" t="s">
        <v>197</v>
      </c>
      <c r="H405" s="13">
        <v>3629710</v>
      </c>
      <c r="I405" s="13"/>
      <c r="J405" s="8">
        <f t="shared" si="7"/>
        <v>3629710</v>
      </c>
    </row>
    <row r="406" spans="1:10" x14ac:dyDescent="0.2">
      <c r="A406">
        <v>5101510</v>
      </c>
      <c r="B406" s="8">
        <v>2020</v>
      </c>
      <c r="C406" s="8" t="s">
        <v>309</v>
      </c>
      <c r="D406" s="8" t="s">
        <v>310</v>
      </c>
      <c r="E406" s="8" t="s">
        <v>311</v>
      </c>
      <c r="F406" t="s">
        <v>230</v>
      </c>
      <c r="G406" t="s">
        <v>197</v>
      </c>
      <c r="H406" s="13">
        <v>3713243</v>
      </c>
      <c r="I406" s="13"/>
      <c r="J406" s="8">
        <f t="shared" si="7"/>
        <v>3713243</v>
      </c>
    </row>
    <row r="407" spans="1:10" x14ac:dyDescent="0.2">
      <c r="A407">
        <v>5101510</v>
      </c>
      <c r="B407" s="8">
        <v>2021</v>
      </c>
      <c r="C407" s="8" t="s">
        <v>309</v>
      </c>
      <c r="D407" s="8" t="s">
        <v>310</v>
      </c>
      <c r="E407" s="8" t="s">
        <v>311</v>
      </c>
      <c r="F407" t="s">
        <v>230</v>
      </c>
      <c r="G407" t="s">
        <v>197</v>
      </c>
      <c r="H407" s="13">
        <v>3858174</v>
      </c>
      <c r="I407" s="13">
        <v>167298</v>
      </c>
      <c r="J407" s="8">
        <f t="shared" si="7"/>
        <v>4025472</v>
      </c>
    </row>
    <row r="408" spans="1:10" x14ac:dyDescent="0.2">
      <c r="A408">
        <v>5101510</v>
      </c>
      <c r="B408" s="8">
        <v>2022</v>
      </c>
      <c r="C408" s="8" t="s">
        <v>309</v>
      </c>
      <c r="D408" s="8" t="s">
        <v>310</v>
      </c>
      <c r="E408" s="8" t="s">
        <v>311</v>
      </c>
      <c r="F408" t="s">
        <v>230</v>
      </c>
      <c r="G408" t="s">
        <v>197</v>
      </c>
      <c r="H408" s="13">
        <v>4238212</v>
      </c>
      <c r="I408" s="13">
        <v>1262040</v>
      </c>
      <c r="J408" s="8">
        <f t="shared" si="7"/>
        <v>5500252</v>
      </c>
    </row>
    <row r="409" spans="1:10" x14ac:dyDescent="0.2">
      <c r="A409">
        <v>5101510</v>
      </c>
      <c r="B409" s="8">
        <v>2023</v>
      </c>
      <c r="C409" s="8" t="s">
        <v>309</v>
      </c>
      <c r="D409" s="8" t="s">
        <v>310</v>
      </c>
      <c r="E409" s="8" t="s">
        <v>311</v>
      </c>
      <c r="F409" t="s">
        <v>230</v>
      </c>
      <c r="G409" t="s">
        <v>197</v>
      </c>
      <c r="H409" s="13">
        <v>4621451</v>
      </c>
      <c r="I409" s="13">
        <v>431695</v>
      </c>
      <c r="J409" s="8">
        <f t="shared" si="7"/>
        <v>5053146</v>
      </c>
    </row>
    <row r="410" spans="1:10" x14ac:dyDescent="0.2">
      <c r="A410">
        <v>5101110</v>
      </c>
      <c r="B410" s="8">
        <v>2015</v>
      </c>
      <c r="C410" s="8" t="s">
        <v>309</v>
      </c>
      <c r="D410" s="8" t="s">
        <v>310</v>
      </c>
      <c r="E410" s="8" t="s">
        <v>311</v>
      </c>
      <c r="F410" t="s">
        <v>229</v>
      </c>
      <c r="G410" t="s">
        <v>196</v>
      </c>
      <c r="H410" s="13">
        <v>4596622</v>
      </c>
      <c r="I410" s="13"/>
      <c r="J410" s="8">
        <f t="shared" si="7"/>
        <v>4596622</v>
      </c>
    </row>
    <row r="411" spans="1:10" x14ac:dyDescent="0.2">
      <c r="A411">
        <v>5101110</v>
      </c>
      <c r="B411" s="8">
        <v>2016</v>
      </c>
      <c r="C411" s="8" t="s">
        <v>309</v>
      </c>
      <c r="D411" s="8" t="s">
        <v>310</v>
      </c>
      <c r="E411" s="8" t="s">
        <v>311</v>
      </c>
      <c r="F411" t="s">
        <v>229</v>
      </c>
      <c r="G411" t="s">
        <v>196</v>
      </c>
      <c r="H411" s="13">
        <v>4440646</v>
      </c>
      <c r="I411" s="13"/>
      <c r="J411" s="8">
        <f t="shared" si="7"/>
        <v>4440646</v>
      </c>
    </row>
    <row r="412" spans="1:10" x14ac:dyDescent="0.2">
      <c r="A412">
        <v>5101110</v>
      </c>
      <c r="B412" s="8">
        <v>2017</v>
      </c>
      <c r="C412" s="8" t="s">
        <v>309</v>
      </c>
      <c r="D412" s="8" t="s">
        <v>310</v>
      </c>
      <c r="E412" s="8" t="s">
        <v>311</v>
      </c>
      <c r="F412" t="s">
        <v>229</v>
      </c>
      <c r="G412" t="s">
        <v>196</v>
      </c>
      <c r="H412" s="13">
        <v>4510278</v>
      </c>
      <c r="I412" s="13"/>
      <c r="J412" s="8">
        <f t="shared" si="7"/>
        <v>4510278</v>
      </c>
    </row>
    <row r="413" spans="1:10" x14ac:dyDescent="0.2">
      <c r="A413">
        <v>5101110</v>
      </c>
      <c r="B413" s="8">
        <v>2018</v>
      </c>
      <c r="C413" s="8" t="s">
        <v>309</v>
      </c>
      <c r="D413" s="8" t="s">
        <v>310</v>
      </c>
      <c r="E413" s="8" t="s">
        <v>311</v>
      </c>
      <c r="F413" t="s">
        <v>229</v>
      </c>
      <c r="G413" t="s">
        <v>196</v>
      </c>
      <c r="H413" s="13">
        <v>4988508</v>
      </c>
      <c r="I413" s="13"/>
      <c r="J413" s="8">
        <f t="shared" si="7"/>
        <v>4988508</v>
      </c>
    </row>
    <row r="414" spans="1:10" x14ac:dyDescent="0.2">
      <c r="A414">
        <v>5101110</v>
      </c>
      <c r="B414" s="8">
        <v>2019</v>
      </c>
      <c r="C414" s="8" t="s">
        <v>309</v>
      </c>
      <c r="D414" s="8" t="s">
        <v>310</v>
      </c>
      <c r="E414" s="8" t="s">
        <v>311</v>
      </c>
      <c r="F414" t="s">
        <v>229</v>
      </c>
      <c r="G414" t="s">
        <v>196</v>
      </c>
      <c r="H414" s="13">
        <v>5422500</v>
      </c>
      <c r="I414" s="13"/>
      <c r="J414" s="8">
        <f t="shared" si="7"/>
        <v>5422500</v>
      </c>
    </row>
    <row r="415" spans="1:10" x14ac:dyDescent="0.2">
      <c r="A415">
        <v>5101110</v>
      </c>
      <c r="B415" s="8">
        <v>2020</v>
      </c>
      <c r="C415" s="8" t="s">
        <v>309</v>
      </c>
      <c r="D415" s="8" t="s">
        <v>310</v>
      </c>
      <c r="E415" s="8" t="s">
        <v>311</v>
      </c>
      <c r="F415" t="s">
        <v>229</v>
      </c>
      <c r="G415" t="s">
        <v>196</v>
      </c>
      <c r="H415" s="13">
        <v>5608511</v>
      </c>
      <c r="I415" s="13"/>
      <c r="J415" s="8">
        <f t="shared" si="7"/>
        <v>5608511</v>
      </c>
    </row>
    <row r="416" spans="1:10" x14ac:dyDescent="0.2">
      <c r="A416">
        <v>5101110</v>
      </c>
      <c r="B416" s="8">
        <v>2021</v>
      </c>
      <c r="C416" s="8" t="s">
        <v>309</v>
      </c>
      <c r="D416" s="8" t="s">
        <v>310</v>
      </c>
      <c r="E416" s="8" t="s">
        <v>311</v>
      </c>
      <c r="F416" t="s">
        <v>229</v>
      </c>
      <c r="G416" t="s">
        <v>196</v>
      </c>
      <c r="H416" s="13">
        <v>5851440</v>
      </c>
      <c r="I416" s="13">
        <v>253726</v>
      </c>
      <c r="J416" s="8">
        <f t="shared" si="7"/>
        <v>6105166</v>
      </c>
    </row>
    <row r="417" spans="1:10" x14ac:dyDescent="0.2">
      <c r="A417">
        <v>5101110</v>
      </c>
      <c r="B417" s="8">
        <v>2022</v>
      </c>
      <c r="C417" s="8" t="s">
        <v>309</v>
      </c>
      <c r="D417" s="8" t="s">
        <v>310</v>
      </c>
      <c r="E417" s="8" t="s">
        <v>311</v>
      </c>
      <c r="F417" t="s">
        <v>229</v>
      </c>
      <c r="G417" t="s">
        <v>196</v>
      </c>
      <c r="H417" s="13">
        <v>6268189</v>
      </c>
      <c r="I417" s="13">
        <v>1866541</v>
      </c>
      <c r="J417" s="8">
        <f t="shared" si="7"/>
        <v>8134730</v>
      </c>
    </row>
    <row r="418" spans="1:10" x14ac:dyDescent="0.2">
      <c r="A418">
        <v>5101110</v>
      </c>
      <c r="B418" s="8">
        <v>2023</v>
      </c>
      <c r="C418" s="8" t="s">
        <v>309</v>
      </c>
      <c r="D418" s="8" t="s">
        <v>310</v>
      </c>
      <c r="E418" s="8" t="s">
        <v>311</v>
      </c>
      <c r="F418" t="s">
        <v>229</v>
      </c>
      <c r="G418" t="s">
        <v>196</v>
      </c>
      <c r="H418" s="13">
        <v>6696809</v>
      </c>
      <c r="I418" s="13">
        <v>625572</v>
      </c>
      <c r="J418" s="8">
        <f t="shared" si="7"/>
        <v>7322381</v>
      </c>
    </row>
    <row r="419" spans="1:10" x14ac:dyDescent="0.2">
      <c r="A419">
        <v>5100780</v>
      </c>
      <c r="B419" s="8">
        <v>2015</v>
      </c>
      <c r="C419" s="8" t="s">
        <v>309</v>
      </c>
      <c r="D419" s="8" t="s">
        <v>310</v>
      </c>
      <c r="E419" s="8" t="s">
        <v>311</v>
      </c>
      <c r="F419" t="s">
        <v>195</v>
      </c>
      <c r="G419" t="s">
        <v>162</v>
      </c>
      <c r="H419" s="13">
        <v>5156160</v>
      </c>
      <c r="I419" s="13"/>
      <c r="J419" s="8">
        <f t="shared" si="7"/>
        <v>5156160</v>
      </c>
    </row>
    <row r="420" spans="1:10" x14ac:dyDescent="0.2">
      <c r="A420">
        <v>5100780</v>
      </c>
      <c r="B420" s="8">
        <v>2016</v>
      </c>
      <c r="C420" s="8" t="s">
        <v>309</v>
      </c>
      <c r="D420" s="8" t="s">
        <v>310</v>
      </c>
      <c r="E420" s="8" t="s">
        <v>311</v>
      </c>
      <c r="F420" t="s">
        <v>195</v>
      </c>
      <c r="G420" t="s">
        <v>162</v>
      </c>
      <c r="H420" s="13">
        <v>5166168</v>
      </c>
      <c r="I420" s="13"/>
      <c r="J420" s="8">
        <f t="shared" si="7"/>
        <v>5166168</v>
      </c>
    </row>
    <row r="421" spans="1:10" x14ac:dyDescent="0.2">
      <c r="A421">
        <v>5100780</v>
      </c>
      <c r="B421" s="8">
        <v>2017</v>
      </c>
      <c r="C421" s="8" t="s">
        <v>309</v>
      </c>
      <c r="D421" s="8" t="s">
        <v>310</v>
      </c>
      <c r="E421" s="8" t="s">
        <v>311</v>
      </c>
      <c r="F421" t="s">
        <v>195</v>
      </c>
      <c r="G421" t="s">
        <v>162</v>
      </c>
      <c r="H421" s="13">
        <v>5466667</v>
      </c>
      <c r="I421" s="13"/>
      <c r="J421" s="8">
        <f t="shared" si="7"/>
        <v>5466667</v>
      </c>
    </row>
    <row r="422" spans="1:10" x14ac:dyDescent="0.2">
      <c r="A422">
        <v>5100780</v>
      </c>
      <c r="B422" s="8">
        <v>2018</v>
      </c>
      <c r="C422" s="8" t="s">
        <v>309</v>
      </c>
      <c r="D422" s="8" t="s">
        <v>310</v>
      </c>
      <c r="E422" s="8" t="s">
        <v>311</v>
      </c>
      <c r="F422" t="s">
        <v>195</v>
      </c>
      <c r="G422" t="s">
        <v>162</v>
      </c>
      <c r="H422" s="13">
        <v>6202602</v>
      </c>
      <c r="I422" s="13"/>
      <c r="J422" s="8">
        <f t="shared" si="7"/>
        <v>6202602</v>
      </c>
    </row>
    <row r="423" spans="1:10" x14ac:dyDescent="0.2">
      <c r="A423">
        <v>5100780</v>
      </c>
      <c r="B423" s="8">
        <v>2019</v>
      </c>
      <c r="C423" s="8" t="s">
        <v>309</v>
      </c>
      <c r="D423" s="8" t="s">
        <v>310</v>
      </c>
      <c r="E423" s="8" t="s">
        <v>311</v>
      </c>
      <c r="F423" t="s">
        <v>195</v>
      </c>
      <c r="G423" t="s">
        <v>162</v>
      </c>
      <c r="H423" s="13">
        <v>6165180</v>
      </c>
      <c r="I423" s="13"/>
      <c r="J423" s="8">
        <f t="shared" si="7"/>
        <v>6165180</v>
      </c>
    </row>
    <row r="424" spans="1:10" x14ac:dyDescent="0.2">
      <c r="A424">
        <v>5100780</v>
      </c>
      <c r="B424" s="8">
        <v>2020</v>
      </c>
      <c r="C424" s="8" t="s">
        <v>309</v>
      </c>
      <c r="D424" s="8" t="s">
        <v>310</v>
      </c>
      <c r="E424" s="8" t="s">
        <v>311</v>
      </c>
      <c r="F424" t="s">
        <v>195</v>
      </c>
      <c r="G424" t="s">
        <v>162</v>
      </c>
      <c r="H424" s="13">
        <v>6374602</v>
      </c>
      <c r="I424" s="13"/>
      <c r="J424" s="8">
        <f t="shared" si="7"/>
        <v>6374602</v>
      </c>
    </row>
    <row r="425" spans="1:10" x14ac:dyDescent="0.2">
      <c r="A425">
        <v>5100780</v>
      </c>
      <c r="B425" s="8">
        <v>2021</v>
      </c>
      <c r="C425" s="8" t="s">
        <v>309</v>
      </c>
      <c r="D425" s="8" t="s">
        <v>310</v>
      </c>
      <c r="E425" s="8" t="s">
        <v>311</v>
      </c>
      <c r="F425" t="s">
        <v>195</v>
      </c>
      <c r="G425" t="s">
        <v>162</v>
      </c>
      <c r="H425" s="13">
        <v>6565579</v>
      </c>
      <c r="I425" s="13">
        <v>284693</v>
      </c>
      <c r="J425" s="8">
        <f t="shared" si="7"/>
        <v>6850272</v>
      </c>
    </row>
    <row r="426" spans="1:10" x14ac:dyDescent="0.2">
      <c r="A426">
        <v>5100780</v>
      </c>
      <c r="B426" s="8">
        <v>2022</v>
      </c>
      <c r="C426" s="8" t="s">
        <v>309</v>
      </c>
      <c r="D426" s="8" t="s">
        <v>310</v>
      </c>
      <c r="E426" s="8" t="s">
        <v>311</v>
      </c>
      <c r="F426" t="s">
        <v>195</v>
      </c>
      <c r="G426" t="s">
        <v>162</v>
      </c>
      <c r="H426" s="13">
        <v>6855768</v>
      </c>
      <c r="I426" s="13">
        <v>2041498</v>
      </c>
      <c r="J426" s="8">
        <f t="shared" si="7"/>
        <v>8897266</v>
      </c>
    </row>
    <row r="427" spans="1:10" x14ac:dyDescent="0.2">
      <c r="A427">
        <v>5100780</v>
      </c>
      <c r="B427" s="8">
        <v>2023</v>
      </c>
      <c r="C427" s="8" t="s">
        <v>309</v>
      </c>
      <c r="D427" s="8" t="s">
        <v>310</v>
      </c>
      <c r="E427" s="8" t="s">
        <v>311</v>
      </c>
      <c r="F427" t="s">
        <v>195</v>
      </c>
      <c r="G427" t="s">
        <v>162</v>
      </c>
      <c r="H427" s="13">
        <v>6970463</v>
      </c>
      <c r="I427" s="13">
        <v>651126</v>
      </c>
      <c r="J427" s="8">
        <f t="shared" si="7"/>
        <v>7621589</v>
      </c>
    </row>
    <row r="428" spans="1:10" x14ac:dyDescent="0.2">
      <c r="A428">
        <v>5100560</v>
      </c>
      <c r="B428" s="8">
        <v>2015</v>
      </c>
      <c r="C428" s="8" t="s">
        <v>309</v>
      </c>
      <c r="D428" s="8" t="s">
        <v>310</v>
      </c>
      <c r="E428" s="8" t="s">
        <v>311</v>
      </c>
      <c r="F428" t="s">
        <v>194</v>
      </c>
      <c r="G428" t="s">
        <v>161</v>
      </c>
      <c r="H428" s="13">
        <v>737854</v>
      </c>
      <c r="I428" s="13"/>
      <c r="J428" s="8">
        <f t="shared" si="7"/>
        <v>737854</v>
      </c>
    </row>
    <row r="429" spans="1:10" x14ac:dyDescent="0.2">
      <c r="A429">
        <v>5100560</v>
      </c>
      <c r="B429" s="8">
        <v>2016</v>
      </c>
      <c r="C429" s="8" t="s">
        <v>309</v>
      </c>
      <c r="D429" s="8" t="s">
        <v>310</v>
      </c>
      <c r="E429" s="8" t="s">
        <v>311</v>
      </c>
      <c r="F429" t="s">
        <v>194</v>
      </c>
      <c r="G429" t="s">
        <v>161</v>
      </c>
      <c r="H429" s="13">
        <v>736862</v>
      </c>
      <c r="I429" s="13"/>
      <c r="J429" s="8">
        <f t="shared" si="7"/>
        <v>736862</v>
      </c>
    </row>
    <row r="430" spans="1:10" x14ac:dyDescent="0.2">
      <c r="A430">
        <v>5100560</v>
      </c>
      <c r="B430" s="8">
        <v>2017</v>
      </c>
      <c r="C430" s="8" t="s">
        <v>309</v>
      </c>
      <c r="D430" s="8" t="s">
        <v>310</v>
      </c>
      <c r="E430" s="8" t="s">
        <v>311</v>
      </c>
      <c r="F430" t="s">
        <v>194</v>
      </c>
      <c r="G430" t="s">
        <v>161</v>
      </c>
      <c r="H430" s="13">
        <v>752811</v>
      </c>
      <c r="I430" s="13"/>
      <c r="J430" s="8">
        <f t="shared" si="7"/>
        <v>752811</v>
      </c>
    </row>
    <row r="431" spans="1:10" x14ac:dyDescent="0.2">
      <c r="A431">
        <v>5100560</v>
      </c>
      <c r="B431" s="8">
        <v>2018</v>
      </c>
      <c r="C431" s="8" t="s">
        <v>309</v>
      </c>
      <c r="D431" s="8" t="s">
        <v>310</v>
      </c>
      <c r="E431" s="8" t="s">
        <v>311</v>
      </c>
      <c r="F431" t="s">
        <v>194</v>
      </c>
      <c r="G431" t="s">
        <v>161</v>
      </c>
      <c r="H431" s="13">
        <v>831830</v>
      </c>
      <c r="I431" s="13"/>
      <c r="J431" s="8">
        <f t="shared" si="7"/>
        <v>831830</v>
      </c>
    </row>
    <row r="432" spans="1:10" x14ac:dyDescent="0.2">
      <c r="A432">
        <v>5100560</v>
      </c>
      <c r="B432" s="8">
        <v>2019</v>
      </c>
      <c r="C432" s="8" t="s">
        <v>309</v>
      </c>
      <c r="D432" s="8" t="s">
        <v>310</v>
      </c>
      <c r="E432" s="8" t="s">
        <v>311</v>
      </c>
      <c r="F432" t="s">
        <v>194</v>
      </c>
      <c r="G432" t="s">
        <v>161</v>
      </c>
      <c r="H432" s="13">
        <v>809865</v>
      </c>
      <c r="I432" s="13"/>
      <c r="J432" s="8">
        <f t="shared" si="7"/>
        <v>809865</v>
      </c>
    </row>
    <row r="433" spans="1:10" x14ac:dyDescent="0.2">
      <c r="A433">
        <v>5100560</v>
      </c>
      <c r="B433" s="8">
        <v>2020</v>
      </c>
      <c r="C433" s="8" t="s">
        <v>309</v>
      </c>
      <c r="D433" s="8" t="s">
        <v>310</v>
      </c>
      <c r="E433" s="8" t="s">
        <v>311</v>
      </c>
      <c r="F433" t="s">
        <v>194</v>
      </c>
      <c r="G433" t="s">
        <v>161</v>
      </c>
      <c r="H433" s="13">
        <v>810411</v>
      </c>
      <c r="I433" s="13"/>
      <c r="J433" s="8">
        <f t="shared" si="7"/>
        <v>810411</v>
      </c>
    </row>
    <row r="434" spans="1:10" x14ac:dyDescent="0.2">
      <c r="A434">
        <v>5100560</v>
      </c>
      <c r="B434" s="8">
        <v>2021</v>
      </c>
      <c r="C434" s="8" t="s">
        <v>309</v>
      </c>
      <c r="D434" s="8" t="s">
        <v>310</v>
      </c>
      <c r="E434" s="8" t="s">
        <v>311</v>
      </c>
      <c r="F434" t="s">
        <v>194</v>
      </c>
      <c r="G434" t="s">
        <v>161</v>
      </c>
      <c r="H434" s="13">
        <v>765207</v>
      </c>
      <c r="I434" s="13">
        <v>33181</v>
      </c>
      <c r="J434" s="8">
        <f t="shared" si="7"/>
        <v>798388</v>
      </c>
    </row>
    <row r="435" spans="1:10" x14ac:dyDescent="0.2">
      <c r="A435">
        <v>5100560</v>
      </c>
      <c r="B435" s="8">
        <v>2022</v>
      </c>
      <c r="C435" s="8" t="s">
        <v>309</v>
      </c>
      <c r="D435" s="8" t="s">
        <v>310</v>
      </c>
      <c r="E435" s="8" t="s">
        <v>311</v>
      </c>
      <c r="F435" t="s">
        <v>194</v>
      </c>
      <c r="G435" t="s">
        <v>161</v>
      </c>
      <c r="H435" s="13">
        <v>835504</v>
      </c>
      <c r="I435" s="13">
        <v>248789</v>
      </c>
      <c r="J435" s="8">
        <f t="shared" si="7"/>
        <v>1084293</v>
      </c>
    </row>
    <row r="436" spans="1:10" x14ac:dyDescent="0.2">
      <c r="A436">
        <v>5100560</v>
      </c>
      <c r="B436" s="8">
        <v>2023</v>
      </c>
      <c r="C436" s="8" t="s">
        <v>309</v>
      </c>
      <c r="D436" s="8" t="s">
        <v>310</v>
      </c>
      <c r="E436" s="8" t="s">
        <v>311</v>
      </c>
      <c r="F436" t="s">
        <v>194</v>
      </c>
      <c r="G436" t="s">
        <v>161</v>
      </c>
      <c r="H436" s="13">
        <v>891818</v>
      </c>
      <c r="I436" s="13">
        <v>83313</v>
      </c>
      <c r="J436" s="8">
        <f t="shared" si="7"/>
        <v>975131</v>
      </c>
    </row>
    <row r="437" spans="1:10" x14ac:dyDescent="0.2">
      <c r="A437">
        <v>5100450</v>
      </c>
      <c r="B437" s="8">
        <v>2015</v>
      </c>
      <c r="C437" s="8" t="s">
        <v>309</v>
      </c>
      <c r="D437" s="8" t="s">
        <v>310</v>
      </c>
      <c r="E437" s="8" t="s">
        <v>311</v>
      </c>
      <c r="F437" t="s">
        <v>193</v>
      </c>
      <c r="G437" t="s">
        <v>160</v>
      </c>
      <c r="H437" s="13">
        <v>1756324</v>
      </c>
      <c r="I437" s="13"/>
      <c r="J437" s="8">
        <f t="shared" si="7"/>
        <v>1756324</v>
      </c>
    </row>
    <row r="438" spans="1:10" x14ac:dyDescent="0.2">
      <c r="A438">
        <v>5100450</v>
      </c>
      <c r="B438" s="8">
        <v>2016</v>
      </c>
      <c r="C438" s="8" t="s">
        <v>309</v>
      </c>
      <c r="D438" s="8" t="s">
        <v>310</v>
      </c>
      <c r="E438" s="8" t="s">
        <v>311</v>
      </c>
      <c r="F438" t="s">
        <v>193</v>
      </c>
      <c r="G438" t="s">
        <v>160</v>
      </c>
      <c r="H438" s="13">
        <v>1719657</v>
      </c>
      <c r="I438" s="13"/>
      <c r="J438" s="8">
        <f t="shared" si="7"/>
        <v>1719657</v>
      </c>
    </row>
    <row r="439" spans="1:10" x14ac:dyDescent="0.2">
      <c r="A439">
        <v>5100450</v>
      </c>
      <c r="B439" s="8">
        <v>2017</v>
      </c>
      <c r="C439" s="8" t="s">
        <v>309</v>
      </c>
      <c r="D439" s="8" t="s">
        <v>310</v>
      </c>
      <c r="E439" s="8" t="s">
        <v>311</v>
      </c>
      <c r="F439" t="s">
        <v>193</v>
      </c>
      <c r="G439" t="s">
        <v>160</v>
      </c>
      <c r="H439" s="13">
        <v>1789628</v>
      </c>
      <c r="I439" s="13"/>
      <c r="J439" s="8">
        <f t="shared" si="7"/>
        <v>1789628</v>
      </c>
    </row>
    <row r="440" spans="1:10" x14ac:dyDescent="0.2">
      <c r="A440">
        <v>5100450</v>
      </c>
      <c r="B440" s="8">
        <v>2018</v>
      </c>
      <c r="C440" s="8" t="s">
        <v>309</v>
      </c>
      <c r="D440" s="8" t="s">
        <v>310</v>
      </c>
      <c r="E440" s="8" t="s">
        <v>311</v>
      </c>
      <c r="F440" t="s">
        <v>193</v>
      </c>
      <c r="G440" t="s">
        <v>160</v>
      </c>
      <c r="H440" s="13">
        <v>1951537</v>
      </c>
      <c r="I440" s="13"/>
      <c r="J440" s="8">
        <f t="shared" si="7"/>
        <v>1951537</v>
      </c>
    </row>
    <row r="441" spans="1:10" x14ac:dyDescent="0.2">
      <c r="A441">
        <v>5100450</v>
      </c>
      <c r="B441" s="8">
        <v>2019</v>
      </c>
      <c r="C441" s="8" t="s">
        <v>309</v>
      </c>
      <c r="D441" s="8" t="s">
        <v>310</v>
      </c>
      <c r="E441" s="8" t="s">
        <v>311</v>
      </c>
      <c r="F441" t="s">
        <v>193</v>
      </c>
      <c r="G441" t="s">
        <v>160</v>
      </c>
      <c r="H441" s="13">
        <v>1909912</v>
      </c>
      <c r="I441" s="13"/>
      <c r="J441" s="8">
        <f t="shared" si="7"/>
        <v>1909912</v>
      </c>
    </row>
    <row r="442" spans="1:10" x14ac:dyDescent="0.2">
      <c r="A442">
        <v>5100450</v>
      </c>
      <c r="B442" s="8">
        <v>2020</v>
      </c>
      <c r="C442" s="8" t="s">
        <v>309</v>
      </c>
      <c r="D442" s="8" t="s">
        <v>310</v>
      </c>
      <c r="E442" s="8" t="s">
        <v>311</v>
      </c>
      <c r="F442" t="s">
        <v>193</v>
      </c>
      <c r="G442" t="s">
        <v>160</v>
      </c>
      <c r="H442" s="13">
        <v>2011765</v>
      </c>
      <c r="I442" s="13"/>
      <c r="J442" s="8">
        <f t="shared" si="7"/>
        <v>2011765</v>
      </c>
    </row>
    <row r="443" spans="1:10" x14ac:dyDescent="0.2">
      <c r="A443">
        <v>5100450</v>
      </c>
      <c r="B443" s="8">
        <v>2021</v>
      </c>
      <c r="C443" s="8" t="s">
        <v>309</v>
      </c>
      <c r="D443" s="8" t="s">
        <v>310</v>
      </c>
      <c r="E443" s="8" t="s">
        <v>311</v>
      </c>
      <c r="F443" t="s">
        <v>193</v>
      </c>
      <c r="G443" t="s">
        <v>160</v>
      </c>
      <c r="H443" s="13">
        <v>2221019</v>
      </c>
      <c r="I443" s="13">
        <v>96304</v>
      </c>
      <c r="J443" s="8">
        <f t="shared" si="7"/>
        <v>2317323</v>
      </c>
    </row>
    <row r="444" spans="1:10" x14ac:dyDescent="0.2">
      <c r="A444">
        <v>5100450</v>
      </c>
      <c r="B444" s="8">
        <v>2022</v>
      </c>
      <c r="C444" s="8" t="s">
        <v>309</v>
      </c>
      <c r="D444" s="8" t="s">
        <v>310</v>
      </c>
      <c r="E444" s="8" t="s">
        <v>311</v>
      </c>
      <c r="F444" t="s">
        <v>193</v>
      </c>
      <c r="G444" t="s">
        <v>160</v>
      </c>
      <c r="H444" s="13">
        <v>2233963</v>
      </c>
      <c r="I444" s="13">
        <v>665238</v>
      </c>
      <c r="J444" s="8">
        <f t="shared" si="7"/>
        <v>2899201</v>
      </c>
    </row>
    <row r="445" spans="1:10" x14ac:dyDescent="0.2">
      <c r="A445">
        <v>5100450</v>
      </c>
      <c r="B445" s="8">
        <v>2023</v>
      </c>
      <c r="C445" s="8" t="s">
        <v>309</v>
      </c>
      <c r="D445" s="8" t="s">
        <v>310</v>
      </c>
      <c r="E445" s="8" t="s">
        <v>311</v>
      </c>
      <c r="F445" t="s">
        <v>193</v>
      </c>
      <c r="G445" t="s">
        <v>160</v>
      </c>
      <c r="H445" s="13">
        <v>2413638</v>
      </c>
      <c r="I445" s="13">
        <v>225462</v>
      </c>
      <c r="J445" s="8">
        <f t="shared" si="7"/>
        <v>2639100</v>
      </c>
    </row>
    <row r="446" spans="1:10" x14ac:dyDescent="0.2">
      <c r="A446">
        <v>5100120</v>
      </c>
      <c r="B446" s="8">
        <v>2015</v>
      </c>
      <c r="C446" s="8" t="s">
        <v>309</v>
      </c>
      <c r="D446" s="8" t="s">
        <v>310</v>
      </c>
      <c r="E446" s="8" t="s">
        <v>311</v>
      </c>
      <c r="F446" t="s">
        <v>192</v>
      </c>
      <c r="G446" t="s">
        <v>159</v>
      </c>
      <c r="H446" s="13">
        <v>19421870</v>
      </c>
      <c r="I446" s="13"/>
      <c r="J446" s="8">
        <f t="shared" si="7"/>
        <v>19421870</v>
      </c>
    </row>
    <row r="447" spans="1:10" x14ac:dyDescent="0.2">
      <c r="A447">
        <v>5100120</v>
      </c>
      <c r="B447" s="8">
        <v>2016</v>
      </c>
      <c r="C447" s="8" t="s">
        <v>309</v>
      </c>
      <c r="D447" s="8" t="s">
        <v>310</v>
      </c>
      <c r="E447" s="8" t="s">
        <v>311</v>
      </c>
      <c r="F447" t="s">
        <v>192</v>
      </c>
      <c r="G447" t="s">
        <v>159</v>
      </c>
      <c r="H447" s="13">
        <v>19860570</v>
      </c>
      <c r="I447" s="13"/>
      <c r="J447" s="8">
        <f t="shared" si="7"/>
        <v>19860570</v>
      </c>
    </row>
    <row r="448" spans="1:10" x14ac:dyDescent="0.2">
      <c r="A448">
        <v>5100120</v>
      </c>
      <c r="B448" s="8">
        <v>2017</v>
      </c>
      <c r="C448" s="8" t="s">
        <v>309</v>
      </c>
      <c r="D448" s="8" t="s">
        <v>310</v>
      </c>
      <c r="E448" s="8" t="s">
        <v>311</v>
      </c>
      <c r="F448" t="s">
        <v>192</v>
      </c>
      <c r="G448" t="s">
        <v>159</v>
      </c>
      <c r="H448" s="13">
        <v>21023667</v>
      </c>
      <c r="I448" s="13"/>
      <c r="J448" s="8">
        <f t="shared" si="7"/>
        <v>21023667</v>
      </c>
    </row>
    <row r="449" spans="1:10" x14ac:dyDescent="0.2">
      <c r="A449">
        <v>5100120</v>
      </c>
      <c r="B449" s="8">
        <v>2018</v>
      </c>
      <c r="C449" s="8" t="s">
        <v>309</v>
      </c>
      <c r="D449" s="8" t="s">
        <v>310</v>
      </c>
      <c r="E449" s="8" t="s">
        <v>311</v>
      </c>
      <c r="F449" t="s">
        <v>192</v>
      </c>
      <c r="G449" t="s">
        <v>159</v>
      </c>
      <c r="H449" s="13">
        <v>23743307</v>
      </c>
      <c r="I449" s="13"/>
      <c r="J449" s="8">
        <f t="shared" si="7"/>
        <v>23743307</v>
      </c>
    </row>
    <row r="450" spans="1:10" x14ac:dyDescent="0.2">
      <c r="A450">
        <v>5100120</v>
      </c>
      <c r="B450" s="8">
        <v>2019</v>
      </c>
      <c r="C450" s="8" t="s">
        <v>309</v>
      </c>
      <c r="D450" s="8" t="s">
        <v>310</v>
      </c>
      <c r="E450" s="8" t="s">
        <v>311</v>
      </c>
      <c r="F450" t="s">
        <v>192</v>
      </c>
      <c r="G450" t="s">
        <v>159</v>
      </c>
      <c r="H450" s="13">
        <v>23740092</v>
      </c>
      <c r="I450" s="13"/>
      <c r="J450" s="8">
        <f t="shared" si="7"/>
        <v>23740092</v>
      </c>
    </row>
    <row r="451" spans="1:10" x14ac:dyDescent="0.2">
      <c r="A451">
        <v>5100120</v>
      </c>
      <c r="B451" s="8">
        <v>2020</v>
      </c>
      <c r="C451" s="8" t="s">
        <v>309</v>
      </c>
      <c r="D451" s="8" t="s">
        <v>310</v>
      </c>
      <c r="E451" s="8" t="s">
        <v>311</v>
      </c>
      <c r="F451" t="s">
        <v>192</v>
      </c>
      <c r="G451" t="s">
        <v>159</v>
      </c>
      <c r="H451" s="13">
        <v>24495489</v>
      </c>
      <c r="I451" s="13"/>
      <c r="J451" s="8">
        <f t="shared" ref="J451:J514" si="8">SUM(H451:I451)</f>
        <v>24495489</v>
      </c>
    </row>
    <row r="452" spans="1:10" x14ac:dyDescent="0.2">
      <c r="A452">
        <v>5100120</v>
      </c>
      <c r="B452" s="8">
        <v>2021</v>
      </c>
      <c r="C452" s="8" t="s">
        <v>309</v>
      </c>
      <c r="D452" s="8" t="s">
        <v>310</v>
      </c>
      <c r="E452" s="8" t="s">
        <v>311</v>
      </c>
      <c r="F452" t="s">
        <v>192</v>
      </c>
      <c r="G452" t="s">
        <v>159</v>
      </c>
      <c r="H452" s="13">
        <v>25926505</v>
      </c>
      <c r="I452" s="13">
        <v>1124207</v>
      </c>
      <c r="J452" s="8">
        <f t="shared" si="8"/>
        <v>27050712</v>
      </c>
    </row>
    <row r="453" spans="1:10" x14ac:dyDescent="0.2">
      <c r="A453">
        <v>5100120</v>
      </c>
      <c r="B453" s="8">
        <v>2022</v>
      </c>
      <c r="C453" s="8" t="s">
        <v>309</v>
      </c>
      <c r="D453" s="8" t="s">
        <v>310</v>
      </c>
      <c r="E453" s="8" t="s">
        <v>311</v>
      </c>
      <c r="F453" t="s">
        <v>192</v>
      </c>
      <c r="G453" t="s">
        <v>159</v>
      </c>
      <c r="H453" s="13">
        <v>26639889</v>
      </c>
      <c r="I453" s="13">
        <v>7932775</v>
      </c>
      <c r="J453" s="8">
        <f t="shared" si="8"/>
        <v>34572664</v>
      </c>
    </row>
    <row r="454" spans="1:10" x14ac:dyDescent="0.2">
      <c r="A454">
        <v>5100120</v>
      </c>
      <c r="B454" s="8">
        <v>2023</v>
      </c>
      <c r="C454" s="8" t="s">
        <v>309</v>
      </c>
      <c r="D454" s="8" t="s">
        <v>310</v>
      </c>
      <c r="E454" s="8" t="s">
        <v>311</v>
      </c>
      <c r="F454" t="s">
        <v>192</v>
      </c>
      <c r="G454" t="s">
        <v>159</v>
      </c>
      <c r="H454" s="13">
        <v>27610368</v>
      </c>
      <c r="I454" s="13">
        <v>2579156</v>
      </c>
      <c r="J454" s="8">
        <f t="shared" si="8"/>
        <v>30189524</v>
      </c>
    </row>
    <row r="455" spans="1:10" x14ac:dyDescent="0.2">
      <c r="A455">
        <v>5104150</v>
      </c>
      <c r="B455" s="8">
        <v>2015</v>
      </c>
      <c r="C455" s="8" t="s">
        <v>309</v>
      </c>
      <c r="D455" s="8" t="s">
        <v>310</v>
      </c>
      <c r="E455" s="8" t="s">
        <v>311</v>
      </c>
      <c r="F455" t="s">
        <v>191</v>
      </c>
      <c r="G455" t="s">
        <v>158</v>
      </c>
      <c r="H455" s="13">
        <v>9217885</v>
      </c>
      <c r="I455" s="13"/>
      <c r="J455" s="8">
        <f t="shared" si="8"/>
        <v>9217885</v>
      </c>
    </row>
    <row r="456" spans="1:10" x14ac:dyDescent="0.2">
      <c r="A456">
        <v>5104150</v>
      </c>
      <c r="B456" s="8">
        <v>2016</v>
      </c>
      <c r="C456" s="8" t="s">
        <v>309</v>
      </c>
      <c r="D456" s="8" t="s">
        <v>310</v>
      </c>
      <c r="E456" s="8" t="s">
        <v>311</v>
      </c>
      <c r="F456" t="s">
        <v>191</v>
      </c>
      <c r="G456" t="s">
        <v>158</v>
      </c>
      <c r="H456" s="13">
        <v>9329138</v>
      </c>
      <c r="I456" s="13"/>
      <c r="J456" s="8">
        <f t="shared" si="8"/>
        <v>9329138</v>
      </c>
    </row>
    <row r="457" spans="1:10" x14ac:dyDescent="0.2">
      <c r="A457">
        <v>5104150</v>
      </c>
      <c r="B457" s="8">
        <v>2017</v>
      </c>
      <c r="C457" s="8" t="s">
        <v>309</v>
      </c>
      <c r="D457" s="8" t="s">
        <v>310</v>
      </c>
      <c r="E457" s="8" t="s">
        <v>311</v>
      </c>
      <c r="F457" t="s">
        <v>191</v>
      </c>
      <c r="G457" t="s">
        <v>158</v>
      </c>
      <c r="H457" s="13">
        <v>9689007</v>
      </c>
      <c r="I457" s="13"/>
      <c r="J457" s="8">
        <f t="shared" si="8"/>
        <v>9689007</v>
      </c>
    </row>
    <row r="458" spans="1:10" x14ac:dyDescent="0.2">
      <c r="A458">
        <v>5104150</v>
      </c>
      <c r="B458" s="8">
        <v>2018</v>
      </c>
      <c r="C458" s="8" t="s">
        <v>309</v>
      </c>
      <c r="D458" s="8" t="s">
        <v>310</v>
      </c>
      <c r="E458" s="8" t="s">
        <v>311</v>
      </c>
      <c r="F458" t="s">
        <v>191</v>
      </c>
      <c r="G458" t="s">
        <v>158</v>
      </c>
      <c r="H458" s="13">
        <v>10870429</v>
      </c>
      <c r="I458" s="13"/>
      <c r="J458" s="8">
        <f t="shared" si="8"/>
        <v>10870429</v>
      </c>
    </row>
    <row r="459" spans="1:10" x14ac:dyDescent="0.2">
      <c r="A459">
        <v>5104150</v>
      </c>
      <c r="B459" s="8">
        <v>2019</v>
      </c>
      <c r="C459" s="8" t="s">
        <v>309</v>
      </c>
      <c r="D459" s="8" t="s">
        <v>310</v>
      </c>
      <c r="E459" s="8" t="s">
        <v>311</v>
      </c>
      <c r="F459" t="s">
        <v>191</v>
      </c>
      <c r="G459" t="s">
        <v>158</v>
      </c>
      <c r="H459" s="13">
        <v>10915745</v>
      </c>
      <c r="I459" s="13"/>
      <c r="J459" s="8">
        <f t="shared" si="8"/>
        <v>10915745</v>
      </c>
    </row>
    <row r="460" spans="1:10" x14ac:dyDescent="0.2">
      <c r="A460">
        <v>5104150</v>
      </c>
      <c r="B460" s="8">
        <v>2020</v>
      </c>
      <c r="C460" s="8" t="s">
        <v>309</v>
      </c>
      <c r="D460" s="8" t="s">
        <v>310</v>
      </c>
      <c r="E460" s="8" t="s">
        <v>311</v>
      </c>
      <c r="F460" t="s">
        <v>191</v>
      </c>
      <c r="G460" t="s">
        <v>158</v>
      </c>
      <c r="H460" s="13">
        <v>11391016</v>
      </c>
      <c r="I460" s="13"/>
      <c r="J460" s="8">
        <f t="shared" si="8"/>
        <v>11391016</v>
      </c>
    </row>
    <row r="461" spans="1:10" x14ac:dyDescent="0.2">
      <c r="A461">
        <v>5104150</v>
      </c>
      <c r="B461" s="8">
        <v>2021</v>
      </c>
      <c r="C461" s="8" t="s">
        <v>309</v>
      </c>
      <c r="D461" s="8" t="s">
        <v>310</v>
      </c>
      <c r="E461" s="8" t="s">
        <v>311</v>
      </c>
      <c r="F461" t="s">
        <v>191</v>
      </c>
      <c r="G461" t="s">
        <v>158</v>
      </c>
      <c r="H461" s="13">
        <v>11887231</v>
      </c>
      <c r="I461" s="13">
        <v>515445</v>
      </c>
      <c r="J461" s="8">
        <f t="shared" si="8"/>
        <v>12402676</v>
      </c>
    </row>
    <row r="462" spans="1:10" x14ac:dyDescent="0.2">
      <c r="A462">
        <v>5104150</v>
      </c>
      <c r="B462" s="8">
        <v>2022</v>
      </c>
      <c r="C462" s="8" t="s">
        <v>309</v>
      </c>
      <c r="D462" s="8" t="s">
        <v>310</v>
      </c>
      <c r="E462" s="8" t="s">
        <v>311</v>
      </c>
      <c r="F462" t="s">
        <v>191</v>
      </c>
      <c r="G462" t="s">
        <v>158</v>
      </c>
      <c r="H462" s="13">
        <v>12164958</v>
      </c>
      <c r="I462" s="13">
        <v>3622488</v>
      </c>
      <c r="J462" s="8">
        <f t="shared" si="8"/>
        <v>15787446</v>
      </c>
    </row>
    <row r="463" spans="1:10" x14ac:dyDescent="0.2">
      <c r="A463">
        <v>5104150</v>
      </c>
      <c r="B463" s="8">
        <v>2023</v>
      </c>
      <c r="C463" s="8" t="s">
        <v>309</v>
      </c>
      <c r="D463" s="8" t="s">
        <v>310</v>
      </c>
      <c r="E463" s="8" t="s">
        <v>311</v>
      </c>
      <c r="F463" t="s">
        <v>191</v>
      </c>
      <c r="G463" t="s">
        <v>158</v>
      </c>
      <c r="H463" s="13">
        <v>12958461</v>
      </c>
      <c r="I463" s="13">
        <v>1210489</v>
      </c>
      <c r="J463" s="8">
        <f t="shared" si="8"/>
        <v>14168950</v>
      </c>
    </row>
    <row r="464" spans="1:10" x14ac:dyDescent="0.2">
      <c r="A464">
        <v>5104110</v>
      </c>
      <c r="B464" s="8">
        <v>2015</v>
      </c>
      <c r="C464" s="8" t="s">
        <v>309</v>
      </c>
      <c r="D464" s="8" t="s">
        <v>310</v>
      </c>
      <c r="E464" s="8" t="s">
        <v>311</v>
      </c>
      <c r="F464" t="s">
        <v>190</v>
      </c>
      <c r="G464" t="s">
        <v>157</v>
      </c>
      <c r="H464" s="13">
        <v>2955064</v>
      </c>
      <c r="I464" s="13"/>
      <c r="J464" s="8">
        <f t="shared" si="8"/>
        <v>2955064</v>
      </c>
    </row>
    <row r="465" spans="1:10" x14ac:dyDescent="0.2">
      <c r="A465">
        <v>5104110</v>
      </c>
      <c r="B465" s="8">
        <v>2016</v>
      </c>
      <c r="C465" s="8" t="s">
        <v>309</v>
      </c>
      <c r="D465" s="8" t="s">
        <v>310</v>
      </c>
      <c r="E465" s="8" t="s">
        <v>311</v>
      </c>
      <c r="F465" t="s">
        <v>190</v>
      </c>
      <c r="G465" t="s">
        <v>157</v>
      </c>
      <c r="H465" s="13">
        <v>2870989</v>
      </c>
      <c r="I465" s="13"/>
      <c r="J465" s="8">
        <f t="shared" si="8"/>
        <v>2870989</v>
      </c>
    </row>
    <row r="466" spans="1:10" x14ac:dyDescent="0.2">
      <c r="A466">
        <v>5104110</v>
      </c>
      <c r="B466" s="8">
        <v>2017</v>
      </c>
      <c r="C466" s="8" t="s">
        <v>309</v>
      </c>
      <c r="D466" s="8" t="s">
        <v>310</v>
      </c>
      <c r="E466" s="8" t="s">
        <v>311</v>
      </c>
      <c r="F466" t="s">
        <v>190</v>
      </c>
      <c r="G466" t="s">
        <v>157</v>
      </c>
      <c r="H466" s="13">
        <v>3017268</v>
      </c>
      <c r="I466" s="13"/>
      <c r="J466" s="8">
        <f t="shared" si="8"/>
        <v>3017268</v>
      </c>
    </row>
    <row r="467" spans="1:10" x14ac:dyDescent="0.2">
      <c r="A467">
        <v>5104110</v>
      </c>
      <c r="B467" s="8">
        <v>2018</v>
      </c>
      <c r="C467" s="8" t="s">
        <v>309</v>
      </c>
      <c r="D467" s="8" t="s">
        <v>310</v>
      </c>
      <c r="E467" s="8" t="s">
        <v>311</v>
      </c>
      <c r="F467" t="s">
        <v>190</v>
      </c>
      <c r="G467" t="s">
        <v>157</v>
      </c>
      <c r="H467" s="13">
        <v>3343697</v>
      </c>
      <c r="I467" s="13"/>
      <c r="J467" s="8">
        <f t="shared" si="8"/>
        <v>3343697</v>
      </c>
    </row>
    <row r="468" spans="1:10" x14ac:dyDescent="0.2">
      <c r="A468">
        <v>5104110</v>
      </c>
      <c r="B468" s="8">
        <v>2019</v>
      </c>
      <c r="C468" s="8" t="s">
        <v>309</v>
      </c>
      <c r="D468" s="8" t="s">
        <v>310</v>
      </c>
      <c r="E468" s="8" t="s">
        <v>311</v>
      </c>
      <c r="F468" t="s">
        <v>190</v>
      </c>
      <c r="G468" t="s">
        <v>157</v>
      </c>
      <c r="H468" s="13">
        <v>3238344</v>
      </c>
      <c r="I468" s="13"/>
      <c r="J468" s="8">
        <f t="shared" si="8"/>
        <v>3238344</v>
      </c>
    </row>
    <row r="469" spans="1:10" x14ac:dyDescent="0.2">
      <c r="A469">
        <v>5104110</v>
      </c>
      <c r="B469" s="8">
        <v>2020</v>
      </c>
      <c r="C469" s="8" t="s">
        <v>309</v>
      </c>
      <c r="D469" s="8" t="s">
        <v>310</v>
      </c>
      <c r="E469" s="8" t="s">
        <v>311</v>
      </c>
      <c r="F469" t="s">
        <v>190</v>
      </c>
      <c r="G469" t="s">
        <v>157</v>
      </c>
      <c r="H469" s="13">
        <v>3301431</v>
      </c>
      <c r="I469" s="13"/>
      <c r="J469" s="8">
        <f t="shared" si="8"/>
        <v>3301431</v>
      </c>
    </row>
    <row r="470" spans="1:10" x14ac:dyDescent="0.2">
      <c r="A470">
        <v>5104110</v>
      </c>
      <c r="B470" s="8">
        <v>2021</v>
      </c>
      <c r="C470" s="8" t="s">
        <v>309</v>
      </c>
      <c r="D470" s="8" t="s">
        <v>310</v>
      </c>
      <c r="E470" s="8" t="s">
        <v>311</v>
      </c>
      <c r="F470" t="s">
        <v>190</v>
      </c>
      <c r="G470" t="s">
        <v>157</v>
      </c>
      <c r="H470" s="13">
        <v>3474217</v>
      </c>
      <c r="I470" s="13">
        <v>150649</v>
      </c>
      <c r="J470" s="8">
        <f t="shared" si="8"/>
        <v>3624866</v>
      </c>
    </row>
    <row r="471" spans="1:10" x14ac:dyDescent="0.2">
      <c r="A471">
        <v>5104110</v>
      </c>
      <c r="B471" s="8">
        <v>2022</v>
      </c>
      <c r="C471" s="8" t="s">
        <v>309</v>
      </c>
      <c r="D471" s="8" t="s">
        <v>310</v>
      </c>
      <c r="E471" s="8" t="s">
        <v>311</v>
      </c>
      <c r="F471" t="s">
        <v>190</v>
      </c>
      <c r="G471" t="s">
        <v>157</v>
      </c>
      <c r="H471" s="13">
        <v>3649243</v>
      </c>
      <c r="I471" s="13">
        <v>1086685</v>
      </c>
      <c r="J471" s="8">
        <f t="shared" si="8"/>
        <v>4735928</v>
      </c>
    </row>
    <row r="472" spans="1:10" x14ac:dyDescent="0.2">
      <c r="A472">
        <v>5104110</v>
      </c>
      <c r="B472" s="8">
        <v>2023</v>
      </c>
      <c r="C472" s="8" t="s">
        <v>309</v>
      </c>
      <c r="D472" s="8" t="s">
        <v>310</v>
      </c>
      <c r="E472" s="8" t="s">
        <v>311</v>
      </c>
      <c r="F472" t="s">
        <v>190</v>
      </c>
      <c r="G472" t="s">
        <v>157</v>
      </c>
      <c r="H472" s="13">
        <v>4007036</v>
      </c>
      <c r="I472" s="13">
        <v>374305</v>
      </c>
      <c r="J472" s="8">
        <f t="shared" si="8"/>
        <v>4381341</v>
      </c>
    </row>
    <row r="473" spans="1:10" x14ac:dyDescent="0.2">
      <c r="A473">
        <v>5104080</v>
      </c>
      <c r="B473" s="8">
        <v>2015</v>
      </c>
      <c r="C473" s="8" t="s">
        <v>309</v>
      </c>
      <c r="D473" s="8" t="s">
        <v>310</v>
      </c>
      <c r="E473" s="8" t="s">
        <v>311</v>
      </c>
      <c r="F473" t="s">
        <v>189</v>
      </c>
      <c r="G473" t="s">
        <v>156</v>
      </c>
      <c r="H473" s="13">
        <v>4145988</v>
      </c>
      <c r="I473" s="13"/>
      <c r="J473" s="8">
        <f t="shared" si="8"/>
        <v>4145988</v>
      </c>
    </row>
    <row r="474" spans="1:10" x14ac:dyDescent="0.2">
      <c r="A474">
        <v>5104080</v>
      </c>
      <c r="B474" s="8">
        <v>2016</v>
      </c>
      <c r="C474" s="8" t="s">
        <v>309</v>
      </c>
      <c r="D474" s="8" t="s">
        <v>310</v>
      </c>
      <c r="E474" s="8" t="s">
        <v>311</v>
      </c>
      <c r="F474" t="s">
        <v>189</v>
      </c>
      <c r="G474" t="s">
        <v>156</v>
      </c>
      <c r="H474" s="13">
        <v>3954441</v>
      </c>
      <c r="I474" s="13"/>
      <c r="J474" s="8">
        <f t="shared" si="8"/>
        <v>3954441</v>
      </c>
    </row>
    <row r="475" spans="1:10" x14ac:dyDescent="0.2">
      <c r="A475">
        <v>5104080</v>
      </c>
      <c r="B475" s="8">
        <v>2017</v>
      </c>
      <c r="C475" s="8" t="s">
        <v>309</v>
      </c>
      <c r="D475" s="8" t="s">
        <v>310</v>
      </c>
      <c r="E475" s="8" t="s">
        <v>311</v>
      </c>
      <c r="F475" t="s">
        <v>189</v>
      </c>
      <c r="G475" t="s">
        <v>156</v>
      </c>
      <c r="H475" s="13">
        <v>3993223</v>
      </c>
      <c r="I475" s="13"/>
      <c r="J475" s="8">
        <f t="shared" si="8"/>
        <v>3993223</v>
      </c>
    </row>
    <row r="476" spans="1:10" x14ac:dyDescent="0.2">
      <c r="A476">
        <v>5104080</v>
      </c>
      <c r="B476" s="8">
        <v>2018</v>
      </c>
      <c r="C476" s="8" t="s">
        <v>309</v>
      </c>
      <c r="D476" s="8" t="s">
        <v>310</v>
      </c>
      <c r="E476" s="8" t="s">
        <v>311</v>
      </c>
      <c r="F476" t="s">
        <v>189</v>
      </c>
      <c r="G476" t="s">
        <v>156</v>
      </c>
      <c r="H476" s="13">
        <v>4203488</v>
      </c>
      <c r="I476" s="13"/>
      <c r="J476" s="8">
        <f t="shared" si="8"/>
        <v>4203488</v>
      </c>
    </row>
    <row r="477" spans="1:10" x14ac:dyDescent="0.2">
      <c r="A477">
        <v>5104080</v>
      </c>
      <c r="B477" s="8">
        <v>2019</v>
      </c>
      <c r="C477" s="8" t="s">
        <v>309</v>
      </c>
      <c r="D477" s="8" t="s">
        <v>310</v>
      </c>
      <c r="E477" s="8" t="s">
        <v>311</v>
      </c>
      <c r="F477" t="s">
        <v>189</v>
      </c>
      <c r="G477" t="s">
        <v>156</v>
      </c>
      <c r="H477" s="13">
        <v>4309336</v>
      </c>
      <c r="I477" s="13"/>
      <c r="J477" s="8">
        <f t="shared" si="8"/>
        <v>4309336</v>
      </c>
    </row>
    <row r="478" spans="1:10" x14ac:dyDescent="0.2">
      <c r="A478">
        <v>5104080</v>
      </c>
      <c r="B478" s="8">
        <v>2020</v>
      </c>
      <c r="C478" s="8" t="s">
        <v>309</v>
      </c>
      <c r="D478" s="8" t="s">
        <v>310</v>
      </c>
      <c r="E478" s="8" t="s">
        <v>311</v>
      </c>
      <c r="F478" t="s">
        <v>189</v>
      </c>
      <c r="G478" t="s">
        <v>156</v>
      </c>
      <c r="H478" s="13">
        <v>4423007</v>
      </c>
      <c r="I478" s="13"/>
      <c r="J478" s="8">
        <f t="shared" si="8"/>
        <v>4423007</v>
      </c>
    </row>
    <row r="479" spans="1:10" x14ac:dyDescent="0.2">
      <c r="A479">
        <v>5104080</v>
      </c>
      <c r="B479" s="8">
        <v>2021</v>
      </c>
      <c r="C479" s="8" t="s">
        <v>309</v>
      </c>
      <c r="D479" s="8" t="s">
        <v>310</v>
      </c>
      <c r="E479" s="8" t="s">
        <v>311</v>
      </c>
      <c r="F479" t="s">
        <v>189</v>
      </c>
      <c r="G479" t="s">
        <v>156</v>
      </c>
      <c r="H479" s="13">
        <v>4984281</v>
      </c>
      <c r="I479" s="13">
        <v>216122</v>
      </c>
      <c r="J479" s="8">
        <f t="shared" si="8"/>
        <v>5200403</v>
      </c>
    </row>
    <row r="480" spans="1:10" x14ac:dyDescent="0.2">
      <c r="A480">
        <v>5104080</v>
      </c>
      <c r="B480" s="8">
        <v>2022</v>
      </c>
      <c r="C480" s="8" t="s">
        <v>309</v>
      </c>
      <c r="D480" s="8" t="s">
        <v>310</v>
      </c>
      <c r="E480" s="8" t="s">
        <v>311</v>
      </c>
      <c r="F480" t="s">
        <v>189</v>
      </c>
      <c r="G480" t="s">
        <v>156</v>
      </c>
      <c r="H480" s="13">
        <v>5363099</v>
      </c>
      <c r="I480" s="13">
        <v>1597004</v>
      </c>
      <c r="J480" s="8">
        <f t="shared" si="8"/>
        <v>6960103</v>
      </c>
    </row>
    <row r="481" spans="1:10" x14ac:dyDescent="0.2">
      <c r="A481">
        <v>5104080</v>
      </c>
      <c r="B481" s="8">
        <v>2023</v>
      </c>
      <c r="C481" s="8" t="s">
        <v>309</v>
      </c>
      <c r="D481" s="8" t="s">
        <v>310</v>
      </c>
      <c r="E481" s="8" t="s">
        <v>311</v>
      </c>
      <c r="F481" t="s">
        <v>189</v>
      </c>
      <c r="G481" t="s">
        <v>156</v>
      </c>
      <c r="H481" s="13">
        <v>5602059</v>
      </c>
      <c r="I481" s="13">
        <v>523296</v>
      </c>
      <c r="J481" s="8">
        <f t="shared" si="8"/>
        <v>6125355</v>
      </c>
    </row>
    <row r="482" spans="1:10" x14ac:dyDescent="0.2">
      <c r="A482">
        <v>5103980</v>
      </c>
      <c r="B482" s="8">
        <v>2015</v>
      </c>
      <c r="C482" s="8" t="s">
        <v>309</v>
      </c>
      <c r="D482" s="8" t="s">
        <v>310</v>
      </c>
      <c r="E482" s="8" t="s">
        <v>311</v>
      </c>
      <c r="F482" t="s">
        <v>188</v>
      </c>
      <c r="G482" t="s">
        <v>155</v>
      </c>
      <c r="H482" s="13">
        <v>1266095</v>
      </c>
      <c r="I482" s="13"/>
      <c r="J482" s="8">
        <f t="shared" si="8"/>
        <v>1266095</v>
      </c>
    </row>
    <row r="483" spans="1:10" x14ac:dyDescent="0.2">
      <c r="A483">
        <v>5103980</v>
      </c>
      <c r="B483" s="8">
        <v>2016</v>
      </c>
      <c r="C483" s="8" t="s">
        <v>309</v>
      </c>
      <c r="D483" s="8" t="s">
        <v>310</v>
      </c>
      <c r="E483" s="8" t="s">
        <v>311</v>
      </c>
      <c r="F483" t="s">
        <v>188</v>
      </c>
      <c r="G483" t="s">
        <v>155</v>
      </c>
      <c r="H483" s="13">
        <v>1228437</v>
      </c>
      <c r="I483" s="13"/>
      <c r="J483" s="8">
        <f t="shared" si="8"/>
        <v>1228437</v>
      </c>
    </row>
    <row r="484" spans="1:10" x14ac:dyDescent="0.2">
      <c r="A484">
        <v>5103980</v>
      </c>
      <c r="B484" s="8">
        <v>2017</v>
      </c>
      <c r="C484" s="8" t="s">
        <v>309</v>
      </c>
      <c r="D484" s="8" t="s">
        <v>310</v>
      </c>
      <c r="E484" s="8" t="s">
        <v>311</v>
      </c>
      <c r="F484" t="s">
        <v>188</v>
      </c>
      <c r="G484" t="s">
        <v>155</v>
      </c>
      <c r="H484" s="13">
        <v>1395922</v>
      </c>
      <c r="I484" s="13"/>
      <c r="J484" s="8">
        <f t="shared" si="8"/>
        <v>1395922</v>
      </c>
    </row>
    <row r="485" spans="1:10" x14ac:dyDescent="0.2">
      <c r="A485">
        <v>5103980</v>
      </c>
      <c r="B485" s="8">
        <v>2018</v>
      </c>
      <c r="C485" s="8" t="s">
        <v>309</v>
      </c>
      <c r="D485" s="8" t="s">
        <v>310</v>
      </c>
      <c r="E485" s="8" t="s">
        <v>311</v>
      </c>
      <c r="F485" t="s">
        <v>188</v>
      </c>
      <c r="G485" t="s">
        <v>155</v>
      </c>
      <c r="H485" s="13">
        <v>1555933</v>
      </c>
      <c r="I485" s="13"/>
      <c r="J485" s="8">
        <f t="shared" si="8"/>
        <v>1555933</v>
      </c>
    </row>
    <row r="486" spans="1:10" x14ac:dyDescent="0.2">
      <c r="A486">
        <v>5103980</v>
      </c>
      <c r="B486" s="8">
        <v>2019</v>
      </c>
      <c r="C486" s="8" t="s">
        <v>309</v>
      </c>
      <c r="D486" s="8" t="s">
        <v>310</v>
      </c>
      <c r="E486" s="8" t="s">
        <v>311</v>
      </c>
      <c r="F486" t="s">
        <v>188</v>
      </c>
      <c r="G486" t="s">
        <v>155</v>
      </c>
      <c r="H486" s="13">
        <v>1449843</v>
      </c>
      <c r="I486" s="13"/>
      <c r="J486" s="8">
        <f t="shared" si="8"/>
        <v>1449843</v>
      </c>
    </row>
    <row r="487" spans="1:10" x14ac:dyDescent="0.2">
      <c r="A487">
        <v>5103980</v>
      </c>
      <c r="B487" s="8">
        <v>2020</v>
      </c>
      <c r="C487" s="8" t="s">
        <v>309</v>
      </c>
      <c r="D487" s="8" t="s">
        <v>310</v>
      </c>
      <c r="E487" s="8" t="s">
        <v>311</v>
      </c>
      <c r="F487" t="s">
        <v>188</v>
      </c>
      <c r="G487" t="s">
        <v>155</v>
      </c>
      <c r="H487" s="13">
        <v>1541868</v>
      </c>
      <c r="I487" s="13"/>
      <c r="J487" s="8">
        <f t="shared" si="8"/>
        <v>1541868</v>
      </c>
    </row>
    <row r="488" spans="1:10" x14ac:dyDescent="0.2">
      <c r="A488">
        <v>5103980</v>
      </c>
      <c r="B488" s="8">
        <v>2021</v>
      </c>
      <c r="C488" s="8" t="s">
        <v>309</v>
      </c>
      <c r="D488" s="8" t="s">
        <v>310</v>
      </c>
      <c r="E488" s="8" t="s">
        <v>311</v>
      </c>
      <c r="F488" t="s">
        <v>188</v>
      </c>
      <c r="G488" t="s">
        <v>155</v>
      </c>
      <c r="H488" s="13">
        <v>1613270</v>
      </c>
      <c r="I488" s="13">
        <v>69951</v>
      </c>
      <c r="J488" s="8">
        <f t="shared" si="8"/>
        <v>1683221</v>
      </c>
    </row>
    <row r="489" spans="1:10" x14ac:dyDescent="0.2">
      <c r="A489">
        <v>5103980</v>
      </c>
      <c r="B489" s="8">
        <v>2022</v>
      </c>
      <c r="C489" s="8" t="s">
        <v>309</v>
      </c>
      <c r="D489" s="8" t="s">
        <v>310</v>
      </c>
      <c r="E489" s="8" t="s">
        <v>311</v>
      </c>
      <c r="F489" t="s">
        <v>188</v>
      </c>
      <c r="G489" t="s">
        <v>155</v>
      </c>
      <c r="H489" s="13">
        <v>1635619</v>
      </c>
      <c r="I489" s="13">
        <v>487051</v>
      </c>
      <c r="J489" s="8">
        <f t="shared" si="8"/>
        <v>2122670</v>
      </c>
    </row>
    <row r="490" spans="1:10" x14ac:dyDescent="0.2">
      <c r="A490">
        <v>5103980</v>
      </c>
      <c r="B490" s="8">
        <v>2023</v>
      </c>
      <c r="C490" s="8" t="s">
        <v>309</v>
      </c>
      <c r="D490" s="8" t="s">
        <v>310</v>
      </c>
      <c r="E490" s="8" t="s">
        <v>311</v>
      </c>
      <c r="F490" t="s">
        <v>188</v>
      </c>
      <c r="G490" t="s">
        <v>155</v>
      </c>
      <c r="H490" s="13">
        <v>1731259</v>
      </c>
      <c r="I490" s="13">
        <v>161716</v>
      </c>
      <c r="J490" s="8">
        <f t="shared" si="8"/>
        <v>1892975</v>
      </c>
    </row>
    <row r="491" spans="1:10" x14ac:dyDescent="0.2">
      <c r="A491">
        <v>5103900</v>
      </c>
      <c r="B491" s="8">
        <v>2015</v>
      </c>
      <c r="C491" s="8" t="s">
        <v>309</v>
      </c>
      <c r="D491" s="8" t="s">
        <v>310</v>
      </c>
      <c r="E491" s="8" t="s">
        <v>311</v>
      </c>
      <c r="F491" t="s">
        <v>187</v>
      </c>
      <c r="G491" t="s">
        <v>154</v>
      </c>
      <c r="H491" s="13">
        <v>4971285</v>
      </c>
      <c r="I491" s="13"/>
      <c r="J491" s="8">
        <f t="shared" si="8"/>
        <v>4971285</v>
      </c>
    </row>
    <row r="492" spans="1:10" x14ac:dyDescent="0.2">
      <c r="A492">
        <v>5103900</v>
      </c>
      <c r="B492" s="8">
        <v>2016</v>
      </c>
      <c r="C492" s="8" t="s">
        <v>309</v>
      </c>
      <c r="D492" s="8" t="s">
        <v>310</v>
      </c>
      <c r="E492" s="8" t="s">
        <v>311</v>
      </c>
      <c r="F492" t="s">
        <v>187</v>
      </c>
      <c r="G492" t="s">
        <v>154</v>
      </c>
      <c r="H492" s="13">
        <v>4881644</v>
      </c>
      <c r="I492" s="13"/>
      <c r="J492" s="8">
        <f t="shared" si="8"/>
        <v>4881644</v>
      </c>
    </row>
    <row r="493" spans="1:10" x14ac:dyDescent="0.2">
      <c r="A493">
        <v>5103900</v>
      </c>
      <c r="B493" s="8">
        <v>2017</v>
      </c>
      <c r="C493" s="8" t="s">
        <v>309</v>
      </c>
      <c r="D493" s="8" t="s">
        <v>310</v>
      </c>
      <c r="E493" s="8" t="s">
        <v>311</v>
      </c>
      <c r="F493" t="s">
        <v>187</v>
      </c>
      <c r="G493" t="s">
        <v>154</v>
      </c>
      <c r="H493" s="13">
        <v>5122939</v>
      </c>
      <c r="I493" s="13"/>
      <c r="J493" s="8">
        <f t="shared" si="8"/>
        <v>5122939</v>
      </c>
    </row>
    <row r="494" spans="1:10" x14ac:dyDescent="0.2">
      <c r="A494">
        <v>5103900</v>
      </c>
      <c r="B494" s="8">
        <v>2018</v>
      </c>
      <c r="C494" s="8" t="s">
        <v>309</v>
      </c>
      <c r="D494" s="8" t="s">
        <v>310</v>
      </c>
      <c r="E494" s="8" t="s">
        <v>311</v>
      </c>
      <c r="F494" t="s">
        <v>187</v>
      </c>
      <c r="G494" t="s">
        <v>154</v>
      </c>
      <c r="H494" s="13">
        <v>5667087</v>
      </c>
      <c r="I494" s="13"/>
      <c r="J494" s="8">
        <f t="shared" si="8"/>
        <v>5667087</v>
      </c>
    </row>
    <row r="495" spans="1:10" x14ac:dyDescent="0.2">
      <c r="A495">
        <v>5103900</v>
      </c>
      <c r="B495" s="8">
        <v>2019</v>
      </c>
      <c r="C495" s="8" t="s">
        <v>309</v>
      </c>
      <c r="D495" s="8" t="s">
        <v>310</v>
      </c>
      <c r="E495" s="8" t="s">
        <v>311</v>
      </c>
      <c r="F495" t="s">
        <v>187</v>
      </c>
      <c r="G495" t="s">
        <v>154</v>
      </c>
      <c r="H495" s="13">
        <v>5469095</v>
      </c>
      <c r="I495" s="13"/>
      <c r="J495" s="8">
        <f t="shared" si="8"/>
        <v>5469095</v>
      </c>
    </row>
    <row r="496" spans="1:10" x14ac:dyDescent="0.2">
      <c r="A496">
        <v>5103900</v>
      </c>
      <c r="B496" s="8">
        <v>2020</v>
      </c>
      <c r="C496" s="8" t="s">
        <v>309</v>
      </c>
      <c r="D496" s="8" t="s">
        <v>310</v>
      </c>
      <c r="E496" s="8" t="s">
        <v>311</v>
      </c>
      <c r="F496" t="s">
        <v>187</v>
      </c>
      <c r="G496" t="s">
        <v>154</v>
      </c>
      <c r="H496" s="13">
        <v>5591377</v>
      </c>
      <c r="I496" s="13"/>
      <c r="J496" s="8">
        <f t="shared" si="8"/>
        <v>5591377</v>
      </c>
    </row>
    <row r="497" spans="1:10" x14ac:dyDescent="0.2">
      <c r="A497">
        <v>5103900</v>
      </c>
      <c r="B497" s="8">
        <v>2021</v>
      </c>
      <c r="C497" s="8" t="s">
        <v>309</v>
      </c>
      <c r="D497" s="8" t="s">
        <v>310</v>
      </c>
      <c r="E497" s="8" t="s">
        <v>311</v>
      </c>
      <c r="F497" t="s">
        <v>187</v>
      </c>
      <c r="G497" t="s">
        <v>154</v>
      </c>
      <c r="H497" s="13">
        <v>5931256</v>
      </c>
      <c r="I497" s="13">
        <v>257186</v>
      </c>
      <c r="J497" s="8">
        <f t="shared" si="8"/>
        <v>6188442</v>
      </c>
    </row>
    <row r="498" spans="1:10" x14ac:dyDescent="0.2">
      <c r="A498">
        <v>5103900</v>
      </c>
      <c r="B498" s="8">
        <v>2022</v>
      </c>
      <c r="C498" s="8" t="s">
        <v>309</v>
      </c>
      <c r="D498" s="8" t="s">
        <v>310</v>
      </c>
      <c r="E498" s="8" t="s">
        <v>311</v>
      </c>
      <c r="F498" t="s">
        <v>187</v>
      </c>
      <c r="G498" t="s">
        <v>154</v>
      </c>
      <c r="H498" s="13">
        <v>6187637</v>
      </c>
      <c r="I498" s="13">
        <v>1842564</v>
      </c>
      <c r="J498" s="8">
        <f t="shared" si="8"/>
        <v>8030201</v>
      </c>
    </row>
    <row r="499" spans="1:10" x14ac:dyDescent="0.2">
      <c r="A499">
        <v>5103900</v>
      </c>
      <c r="B499" s="8">
        <v>2023</v>
      </c>
      <c r="C499" s="8" t="s">
        <v>309</v>
      </c>
      <c r="D499" s="8" t="s">
        <v>310</v>
      </c>
      <c r="E499" s="8" t="s">
        <v>311</v>
      </c>
      <c r="F499" t="s">
        <v>187</v>
      </c>
      <c r="G499" t="s">
        <v>154</v>
      </c>
      <c r="H499" s="13">
        <v>6399314</v>
      </c>
      <c r="I499" s="13">
        <v>597776</v>
      </c>
      <c r="J499" s="8">
        <f t="shared" si="8"/>
        <v>6997090</v>
      </c>
    </row>
    <row r="500" spans="1:10" x14ac:dyDescent="0.2">
      <c r="A500">
        <v>5103870</v>
      </c>
      <c r="B500" s="8">
        <v>2015</v>
      </c>
      <c r="C500" s="8" t="s">
        <v>309</v>
      </c>
      <c r="D500" s="8" t="s">
        <v>310</v>
      </c>
      <c r="E500" s="8" t="s">
        <v>311</v>
      </c>
      <c r="F500" t="s">
        <v>186</v>
      </c>
      <c r="G500" t="s">
        <v>153</v>
      </c>
      <c r="H500" s="13">
        <v>4026370</v>
      </c>
      <c r="I500" s="13"/>
      <c r="J500" s="8">
        <f t="shared" si="8"/>
        <v>4026370</v>
      </c>
    </row>
    <row r="501" spans="1:10" x14ac:dyDescent="0.2">
      <c r="A501">
        <v>5103870</v>
      </c>
      <c r="B501" s="8">
        <v>2016</v>
      </c>
      <c r="C501" s="8" t="s">
        <v>309</v>
      </c>
      <c r="D501" s="8" t="s">
        <v>310</v>
      </c>
      <c r="E501" s="8" t="s">
        <v>311</v>
      </c>
      <c r="F501" t="s">
        <v>186</v>
      </c>
      <c r="G501" t="s">
        <v>153</v>
      </c>
      <c r="H501" s="13">
        <v>3932880</v>
      </c>
      <c r="I501" s="13"/>
      <c r="J501" s="8">
        <f t="shared" si="8"/>
        <v>3932880</v>
      </c>
    </row>
    <row r="502" spans="1:10" x14ac:dyDescent="0.2">
      <c r="A502">
        <v>5103870</v>
      </c>
      <c r="B502" s="8">
        <v>2017</v>
      </c>
      <c r="C502" s="8" t="s">
        <v>309</v>
      </c>
      <c r="D502" s="8" t="s">
        <v>310</v>
      </c>
      <c r="E502" s="8" t="s">
        <v>311</v>
      </c>
      <c r="F502" t="s">
        <v>186</v>
      </c>
      <c r="G502" t="s">
        <v>153</v>
      </c>
      <c r="H502" s="13">
        <v>4174597</v>
      </c>
      <c r="I502" s="13"/>
      <c r="J502" s="8">
        <f t="shared" si="8"/>
        <v>4174597</v>
      </c>
    </row>
    <row r="503" spans="1:10" x14ac:dyDescent="0.2">
      <c r="A503">
        <v>5103870</v>
      </c>
      <c r="B503" s="8">
        <v>2018</v>
      </c>
      <c r="C503" s="8" t="s">
        <v>309</v>
      </c>
      <c r="D503" s="8" t="s">
        <v>310</v>
      </c>
      <c r="E503" s="8" t="s">
        <v>311</v>
      </c>
      <c r="F503" t="s">
        <v>186</v>
      </c>
      <c r="G503" t="s">
        <v>153</v>
      </c>
      <c r="H503" s="13">
        <v>4759140</v>
      </c>
      <c r="I503" s="13"/>
      <c r="J503" s="8">
        <f t="shared" si="8"/>
        <v>4759140</v>
      </c>
    </row>
    <row r="504" spans="1:10" x14ac:dyDescent="0.2">
      <c r="A504">
        <v>5103870</v>
      </c>
      <c r="B504" s="8">
        <v>2019</v>
      </c>
      <c r="C504" s="8" t="s">
        <v>309</v>
      </c>
      <c r="D504" s="8" t="s">
        <v>310</v>
      </c>
      <c r="E504" s="8" t="s">
        <v>311</v>
      </c>
      <c r="F504" t="s">
        <v>186</v>
      </c>
      <c r="G504" t="s">
        <v>153</v>
      </c>
      <c r="H504" s="13">
        <v>4609126</v>
      </c>
      <c r="I504" s="13"/>
      <c r="J504" s="8">
        <f t="shared" si="8"/>
        <v>4609126</v>
      </c>
    </row>
    <row r="505" spans="1:10" x14ac:dyDescent="0.2">
      <c r="A505">
        <v>5103870</v>
      </c>
      <c r="B505" s="8">
        <v>2020</v>
      </c>
      <c r="C505" s="8" t="s">
        <v>309</v>
      </c>
      <c r="D505" s="8" t="s">
        <v>310</v>
      </c>
      <c r="E505" s="8" t="s">
        <v>311</v>
      </c>
      <c r="F505" t="s">
        <v>186</v>
      </c>
      <c r="G505" t="s">
        <v>153</v>
      </c>
      <c r="H505" s="13">
        <v>4770146</v>
      </c>
      <c r="I505" s="13"/>
      <c r="J505" s="8">
        <f t="shared" si="8"/>
        <v>4770146</v>
      </c>
    </row>
    <row r="506" spans="1:10" x14ac:dyDescent="0.2">
      <c r="A506">
        <v>5103870</v>
      </c>
      <c r="B506" s="8">
        <v>2021</v>
      </c>
      <c r="C506" s="8" t="s">
        <v>309</v>
      </c>
      <c r="D506" s="8" t="s">
        <v>310</v>
      </c>
      <c r="E506" s="8" t="s">
        <v>311</v>
      </c>
      <c r="F506" t="s">
        <v>186</v>
      </c>
      <c r="G506" t="s">
        <v>153</v>
      </c>
      <c r="H506" s="13">
        <v>5130430</v>
      </c>
      <c r="I506" s="13">
        <v>222459</v>
      </c>
      <c r="J506" s="8">
        <f t="shared" si="8"/>
        <v>5352889</v>
      </c>
    </row>
    <row r="507" spans="1:10" x14ac:dyDescent="0.2">
      <c r="A507">
        <v>5103870</v>
      </c>
      <c r="B507" s="8">
        <v>2022</v>
      </c>
      <c r="C507" s="8" t="s">
        <v>309</v>
      </c>
      <c r="D507" s="8" t="s">
        <v>310</v>
      </c>
      <c r="E507" s="8" t="s">
        <v>311</v>
      </c>
      <c r="F507" t="s">
        <v>186</v>
      </c>
      <c r="G507" t="s">
        <v>153</v>
      </c>
      <c r="H507" s="13">
        <v>5610796</v>
      </c>
      <c r="I507" s="13">
        <v>1670791</v>
      </c>
      <c r="J507" s="8">
        <f t="shared" si="8"/>
        <v>7281587</v>
      </c>
    </row>
    <row r="508" spans="1:10" x14ac:dyDescent="0.2">
      <c r="A508">
        <v>5103870</v>
      </c>
      <c r="B508" s="8">
        <v>2023</v>
      </c>
      <c r="C508" s="8" t="s">
        <v>309</v>
      </c>
      <c r="D508" s="8" t="s">
        <v>310</v>
      </c>
      <c r="E508" s="8" t="s">
        <v>311</v>
      </c>
      <c r="F508" t="s">
        <v>186</v>
      </c>
      <c r="G508" t="s">
        <v>153</v>
      </c>
      <c r="H508" s="13">
        <v>5827523</v>
      </c>
      <c r="I508" s="13">
        <v>544367</v>
      </c>
      <c r="J508" s="8">
        <f t="shared" si="8"/>
        <v>6371890</v>
      </c>
    </row>
    <row r="509" spans="1:10" x14ac:dyDescent="0.2">
      <c r="A509">
        <v>5103810</v>
      </c>
      <c r="B509" s="8">
        <v>2015</v>
      </c>
      <c r="C509" s="8" t="s">
        <v>309</v>
      </c>
      <c r="D509" s="8" t="s">
        <v>310</v>
      </c>
      <c r="E509" s="8" t="s">
        <v>311</v>
      </c>
      <c r="F509" t="s">
        <v>185</v>
      </c>
      <c r="G509" t="s">
        <v>152</v>
      </c>
      <c r="H509" s="13">
        <v>3853957</v>
      </c>
      <c r="I509" s="13"/>
      <c r="J509" s="8">
        <f t="shared" si="8"/>
        <v>3853957</v>
      </c>
    </row>
    <row r="510" spans="1:10" x14ac:dyDescent="0.2">
      <c r="A510">
        <v>5103810</v>
      </c>
      <c r="B510" s="8">
        <v>2016</v>
      </c>
      <c r="C510" s="8" t="s">
        <v>309</v>
      </c>
      <c r="D510" s="8" t="s">
        <v>310</v>
      </c>
      <c r="E510" s="8" t="s">
        <v>311</v>
      </c>
      <c r="F510" t="s">
        <v>185</v>
      </c>
      <c r="G510" t="s">
        <v>152</v>
      </c>
      <c r="H510" s="13">
        <v>3716257</v>
      </c>
      <c r="I510" s="13"/>
      <c r="J510" s="8">
        <f t="shared" si="8"/>
        <v>3716257</v>
      </c>
    </row>
    <row r="511" spans="1:10" x14ac:dyDescent="0.2">
      <c r="A511">
        <v>5103810</v>
      </c>
      <c r="B511" s="8">
        <v>2017</v>
      </c>
      <c r="C511" s="8" t="s">
        <v>309</v>
      </c>
      <c r="D511" s="8" t="s">
        <v>310</v>
      </c>
      <c r="E511" s="8" t="s">
        <v>311</v>
      </c>
      <c r="F511" t="s">
        <v>185</v>
      </c>
      <c r="G511" t="s">
        <v>152</v>
      </c>
      <c r="H511" s="13">
        <v>3831673</v>
      </c>
      <c r="I511" s="13"/>
      <c r="J511" s="8">
        <f t="shared" si="8"/>
        <v>3831673</v>
      </c>
    </row>
    <row r="512" spans="1:10" x14ac:dyDescent="0.2">
      <c r="A512">
        <v>5103810</v>
      </c>
      <c r="B512" s="8">
        <v>2018</v>
      </c>
      <c r="C512" s="8" t="s">
        <v>309</v>
      </c>
      <c r="D512" s="8" t="s">
        <v>310</v>
      </c>
      <c r="E512" s="8" t="s">
        <v>311</v>
      </c>
      <c r="F512" t="s">
        <v>185</v>
      </c>
      <c r="G512" t="s">
        <v>152</v>
      </c>
      <c r="H512" s="13">
        <v>4140685</v>
      </c>
      <c r="I512" s="13"/>
      <c r="J512" s="8">
        <f t="shared" si="8"/>
        <v>4140685</v>
      </c>
    </row>
    <row r="513" spans="1:10" x14ac:dyDescent="0.2">
      <c r="A513">
        <v>5103810</v>
      </c>
      <c r="B513" s="8">
        <v>2019</v>
      </c>
      <c r="C513" s="8" t="s">
        <v>309</v>
      </c>
      <c r="D513" s="8" t="s">
        <v>310</v>
      </c>
      <c r="E513" s="8" t="s">
        <v>311</v>
      </c>
      <c r="F513" t="s">
        <v>185</v>
      </c>
      <c r="G513" t="s">
        <v>152</v>
      </c>
      <c r="H513" s="13">
        <v>3826971</v>
      </c>
      <c r="I513" s="13"/>
      <c r="J513" s="8">
        <f t="shared" si="8"/>
        <v>3826971</v>
      </c>
    </row>
    <row r="514" spans="1:10" x14ac:dyDescent="0.2">
      <c r="A514">
        <v>5103810</v>
      </c>
      <c r="B514" s="8">
        <v>2020</v>
      </c>
      <c r="C514" s="8" t="s">
        <v>309</v>
      </c>
      <c r="D514" s="8" t="s">
        <v>310</v>
      </c>
      <c r="E514" s="8" t="s">
        <v>311</v>
      </c>
      <c r="F514" t="s">
        <v>185</v>
      </c>
      <c r="G514" t="s">
        <v>152</v>
      </c>
      <c r="H514" s="13">
        <v>3861355</v>
      </c>
      <c r="I514" s="13"/>
      <c r="J514" s="8">
        <f t="shared" si="8"/>
        <v>3861355</v>
      </c>
    </row>
    <row r="515" spans="1:10" x14ac:dyDescent="0.2">
      <c r="A515">
        <v>5103810</v>
      </c>
      <c r="B515" s="8">
        <v>2021</v>
      </c>
      <c r="C515" s="8" t="s">
        <v>309</v>
      </c>
      <c r="D515" s="8" t="s">
        <v>310</v>
      </c>
      <c r="E515" s="8" t="s">
        <v>311</v>
      </c>
      <c r="F515" t="s">
        <v>185</v>
      </c>
      <c r="G515" t="s">
        <v>152</v>
      </c>
      <c r="H515" s="13">
        <v>4067699</v>
      </c>
      <c r="I515" s="13">
        <v>176383</v>
      </c>
      <c r="J515" s="8">
        <f t="shared" ref="J515:J578" si="9">SUM(H515:I515)</f>
        <v>4244082</v>
      </c>
    </row>
    <row r="516" spans="1:10" x14ac:dyDescent="0.2">
      <c r="A516">
        <v>5103810</v>
      </c>
      <c r="B516" s="8">
        <v>2022</v>
      </c>
      <c r="C516" s="8" t="s">
        <v>309</v>
      </c>
      <c r="D516" s="8" t="s">
        <v>310</v>
      </c>
      <c r="E516" s="8" t="s">
        <v>311</v>
      </c>
      <c r="F516" t="s">
        <v>185</v>
      </c>
      <c r="G516" t="s">
        <v>152</v>
      </c>
      <c r="H516" s="13">
        <v>4259688</v>
      </c>
      <c r="I516" s="13">
        <v>1268455</v>
      </c>
      <c r="J516" s="8">
        <f t="shared" si="9"/>
        <v>5528143</v>
      </c>
    </row>
    <row r="517" spans="1:10" x14ac:dyDescent="0.2">
      <c r="A517">
        <v>5103810</v>
      </c>
      <c r="B517" s="8">
        <v>2023</v>
      </c>
      <c r="C517" s="8" t="s">
        <v>309</v>
      </c>
      <c r="D517" s="8" t="s">
        <v>310</v>
      </c>
      <c r="E517" s="8" t="s">
        <v>311</v>
      </c>
      <c r="F517" t="s">
        <v>185</v>
      </c>
      <c r="G517" t="s">
        <v>152</v>
      </c>
      <c r="H517" s="13">
        <v>4630338</v>
      </c>
      <c r="I517" s="13">
        <v>432536</v>
      </c>
      <c r="J517" s="8">
        <f t="shared" si="9"/>
        <v>5062874</v>
      </c>
    </row>
    <row r="518" spans="1:10" x14ac:dyDescent="0.2">
      <c r="A518">
        <v>5103780</v>
      </c>
      <c r="B518" s="8">
        <v>2015</v>
      </c>
      <c r="C518" s="8" t="s">
        <v>309</v>
      </c>
      <c r="D518" s="8" t="s">
        <v>310</v>
      </c>
      <c r="E518" s="8" t="s">
        <v>311</v>
      </c>
      <c r="F518" t="s">
        <v>184</v>
      </c>
      <c r="G518" t="s">
        <v>151</v>
      </c>
      <c r="H518" s="13">
        <v>1068493</v>
      </c>
      <c r="I518" s="13"/>
      <c r="J518" s="8">
        <f t="shared" si="9"/>
        <v>1068493</v>
      </c>
    </row>
    <row r="519" spans="1:10" x14ac:dyDescent="0.2">
      <c r="A519">
        <v>5103780</v>
      </c>
      <c r="B519" s="8">
        <v>2016</v>
      </c>
      <c r="C519" s="8" t="s">
        <v>309</v>
      </c>
      <c r="D519" s="8" t="s">
        <v>310</v>
      </c>
      <c r="E519" s="8" t="s">
        <v>311</v>
      </c>
      <c r="F519" t="s">
        <v>184</v>
      </c>
      <c r="G519" t="s">
        <v>151</v>
      </c>
      <c r="H519" s="13">
        <v>1088074</v>
      </c>
      <c r="I519" s="13"/>
      <c r="J519" s="8">
        <f t="shared" si="9"/>
        <v>1088074</v>
      </c>
    </row>
    <row r="520" spans="1:10" x14ac:dyDescent="0.2">
      <c r="A520">
        <v>5103780</v>
      </c>
      <c r="B520" s="8">
        <v>2017</v>
      </c>
      <c r="C520" s="8" t="s">
        <v>309</v>
      </c>
      <c r="D520" s="8" t="s">
        <v>310</v>
      </c>
      <c r="E520" s="8" t="s">
        <v>311</v>
      </c>
      <c r="F520" t="s">
        <v>184</v>
      </c>
      <c r="G520" t="s">
        <v>151</v>
      </c>
      <c r="H520" s="13">
        <v>1108719</v>
      </c>
      <c r="I520" s="13"/>
      <c r="J520" s="8">
        <f t="shared" si="9"/>
        <v>1108719</v>
      </c>
    </row>
    <row r="521" spans="1:10" x14ac:dyDescent="0.2">
      <c r="A521">
        <v>5103780</v>
      </c>
      <c r="B521" s="8">
        <v>2018</v>
      </c>
      <c r="C521" s="8" t="s">
        <v>309</v>
      </c>
      <c r="D521" s="8" t="s">
        <v>310</v>
      </c>
      <c r="E521" s="8" t="s">
        <v>311</v>
      </c>
      <c r="F521" t="s">
        <v>184</v>
      </c>
      <c r="G521" t="s">
        <v>151</v>
      </c>
      <c r="H521" s="13">
        <v>1269249</v>
      </c>
      <c r="I521" s="13"/>
      <c r="J521" s="8">
        <f t="shared" si="9"/>
        <v>1269249</v>
      </c>
    </row>
    <row r="522" spans="1:10" x14ac:dyDescent="0.2">
      <c r="A522">
        <v>5103780</v>
      </c>
      <c r="B522" s="8">
        <v>2019</v>
      </c>
      <c r="C522" s="8" t="s">
        <v>309</v>
      </c>
      <c r="D522" s="8" t="s">
        <v>310</v>
      </c>
      <c r="E522" s="8" t="s">
        <v>311</v>
      </c>
      <c r="F522" t="s">
        <v>184</v>
      </c>
      <c r="G522" t="s">
        <v>151</v>
      </c>
      <c r="H522" s="13">
        <v>1227843</v>
      </c>
      <c r="I522" s="13"/>
      <c r="J522" s="8">
        <f t="shared" si="9"/>
        <v>1227843</v>
      </c>
    </row>
    <row r="523" spans="1:10" x14ac:dyDescent="0.2">
      <c r="A523">
        <v>5103780</v>
      </c>
      <c r="B523" s="8">
        <v>2020</v>
      </c>
      <c r="C523" s="8" t="s">
        <v>309</v>
      </c>
      <c r="D523" s="8" t="s">
        <v>310</v>
      </c>
      <c r="E523" s="8" t="s">
        <v>311</v>
      </c>
      <c r="F523" t="s">
        <v>184</v>
      </c>
      <c r="G523" t="s">
        <v>151</v>
      </c>
      <c r="H523" s="13">
        <v>1265000</v>
      </c>
      <c r="I523" s="13"/>
      <c r="J523" s="8">
        <f t="shared" si="9"/>
        <v>1265000</v>
      </c>
    </row>
    <row r="524" spans="1:10" x14ac:dyDescent="0.2">
      <c r="A524">
        <v>5103780</v>
      </c>
      <c r="B524" s="8">
        <v>2021</v>
      </c>
      <c r="C524" s="8" t="s">
        <v>309</v>
      </c>
      <c r="D524" s="8" t="s">
        <v>310</v>
      </c>
      <c r="E524" s="8" t="s">
        <v>311</v>
      </c>
      <c r="F524" t="s">
        <v>184</v>
      </c>
      <c r="G524" t="s">
        <v>151</v>
      </c>
      <c r="H524" s="13">
        <v>1306045</v>
      </c>
      <c r="I524" s="13">
        <v>56633</v>
      </c>
      <c r="J524" s="8">
        <f t="shared" si="9"/>
        <v>1362678</v>
      </c>
    </row>
    <row r="525" spans="1:10" x14ac:dyDescent="0.2">
      <c r="A525">
        <v>5103780</v>
      </c>
      <c r="B525" s="8">
        <v>2022</v>
      </c>
      <c r="C525" s="8" t="s">
        <v>309</v>
      </c>
      <c r="D525" s="8" t="s">
        <v>310</v>
      </c>
      <c r="E525" s="8" t="s">
        <v>311</v>
      </c>
      <c r="F525" t="s">
        <v>184</v>
      </c>
      <c r="G525" t="s">
        <v>151</v>
      </c>
      <c r="H525" s="13">
        <v>1333885</v>
      </c>
      <c r="I525" s="13">
        <v>397205</v>
      </c>
      <c r="J525" s="8">
        <f t="shared" si="9"/>
        <v>1731090</v>
      </c>
    </row>
    <row r="526" spans="1:10" x14ac:dyDescent="0.2">
      <c r="A526">
        <v>5103780</v>
      </c>
      <c r="B526" s="8">
        <v>2023</v>
      </c>
      <c r="C526" s="8" t="s">
        <v>309</v>
      </c>
      <c r="D526" s="8" t="s">
        <v>310</v>
      </c>
      <c r="E526" s="8" t="s">
        <v>311</v>
      </c>
      <c r="F526" t="s">
        <v>184</v>
      </c>
      <c r="G526" t="s">
        <v>151</v>
      </c>
      <c r="H526" s="13">
        <v>1402276</v>
      </c>
      <c r="I526" s="13">
        <v>130986</v>
      </c>
      <c r="J526" s="8">
        <f t="shared" si="9"/>
        <v>1533262</v>
      </c>
    </row>
    <row r="527" spans="1:10" x14ac:dyDescent="0.2">
      <c r="A527">
        <v>5103750</v>
      </c>
      <c r="B527" s="8">
        <v>2015</v>
      </c>
      <c r="C527" s="8" t="s">
        <v>309</v>
      </c>
      <c r="D527" s="8" t="s">
        <v>310</v>
      </c>
      <c r="E527" s="8" t="s">
        <v>311</v>
      </c>
      <c r="F527" t="s">
        <v>183</v>
      </c>
      <c r="G527" t="s">
        <v>150</v>
      </c>
      <c r="H527" s="13">
        <v>1146640</v>
      </c>
      <c r="I527" s="13"/>
      <c r="J527" s="8">
        <f t="shared" si="9"/>
        <v>1146640</v>
      </c>
    </row>
    <row r="528" spans="1:10" x14ac:dyDescent="0.2">
      <c r="A528">
        <v>5103750</v>
      </c>
      <c r="B528" s="8">
        <v>2016</v>
      </c>
      <c r="C528" s="8" t="s">
        <v>309</v>
      </c>
      <c r="D528" s="8" t="s">
        <v>310</v>
      </c>
      <c r="E528" s="8" t="s">
        <v>311</v>
      </c>
      <c r="F528" t="s">
        <v>183</v>
      </c>
      <c r="G528" t="s">
        <v>150</v>
      </c>
      <c r="H528" s="13">
        <v>1080256</v>
      </c>
      <c r="I528" s="13"/>
      <c r="J528" s="8">
        <f t="shared" si="9"/>
        <v>1080256</v>
      </c>
    </row>
    <row r="529" spans="1:10" x14ac:dyDescent="0.2">
      <c r="A529">
        <v>5103750</v>
      </c>
      <c r="B529" s="8">
        <v>2017</v>
      </c>
      <c r="C529" s="8" t="s">
        <v>309</v>
      </c>
      <c r="D529" s="8" t="s">
        <v>310</v>
      </c>
      <c r="E529" s="8" t="s">
        <v>311</v>
      </c>
      <c r="F529" t="s">
        <v>183</v>
      </c>
      <c r="G529" t="s">
        <v>150</v>
      </c>
      <c r="H529" s="13">
        <v>1147011</v>
      </c>
      <c r="I529" s="13"/>
      <c r="J529" s="8">
        <f t="shared" si="9"/>
        <v>1147011</v>
      </c>
    </row>
    <row r="530" spans="1:10" x14ac:dyDescent="0.2">
      <c r="A530">
        <v>5103750</v>
      </c>
      <c r="B530" s="8">
        <v>2018</v>
      </c>
      <c r="C530" s="8" t="s">
        <v>309</v>
      </c>
      <c r="D530" s="8" t="s">
        <v>310</v>
      </c>
      <c r="E530" s="8" t="s">
        <v>311</v>
      </c>
      <c r="F530" t="s">
        <v>183</v>
      </c>
      <c r="G530" t="s">
        <v>150</v>
      </c>
      <c r="H530" s="13">
        <v>1273498</v>
      </c>
      <c r="I530" s="13"/>
      <c r="J530" s="8">
        <f t="shared" si="9"/>
        <v>1273498</v>
      </c>
    </row>
    <row r="531" spans="1:10" x14ac:dyDescent="0.2">
      <c r="A531">
        <v>5103750</v>
      </c>
      <c r="B531" s="8">
        <v>2019</v>
      </c>
      <c r="C531" s="8" t="s">
        <v>309</v>
      </c>
      <c r="D531" s="8" t="s">
        <v>310</v>
      </c>
      <c r="E531" s="8" t="s">
        <v>311</v>
      </c>
      <c r="F531" t="s">
        <v>183</v>
      </c>
      <c r="G531" t="s">
        <v>150</v>
      </c>
      <c r="H531" s="13">
        <v>1197213</v>
      </c>
      <c r="I531" s="13"/>
      <c r="J531" s="8">
        <f t="shared" si="9"/>
        <v>1197213</v>
      </c>
    </row>
    <row r="532" spans="1:10" x14ac:dyDescent="0.2">
      <c r="A532">
        <v>5103750</v>
      </c>
      <c r="B532" s="8">
        <v>2020</v>
      </c>
      <c r="C532" s="8" t="s">
        <v>309</v>
      </c>
      <c r="D532" s="8" t="s">
        <v>310</v>
      </c>
      <c r="E532" s="8" t="s">
        <v>311</v>
      </c>
      <c r="F532" t="s">
        <v>183</v>
      </c>
      <c r="G532" t="s">
        <v>150</v>
      </c>
      <c r="H532" s="13">
        <v>1130433</v>
      </c>
      <c r="I532" s="13"/>
      <c r="J532" s="8">
        <f t="shared" si="9"/>
        <v>1130433</v>
      </c>
    </row>
    <row r="533" spans="1:10" x14ac:dyDescent="0.2">
      <c r="A533">
        <v>5103750</v>
      </c>
      <c r="B533" s="8">
        <v>2021</v>
      </c>
      <c r="C533" s="8" t="s">
        <v>309</v>
      </c>
      <c r="D533" s="8" t="s">
        <v>310</v>
      </c>
      <c r="E533" s="8" t="s">
        <v>311</v>
      </c>
      <c r="F533" t="s">
        <v>183</v>
      </c>
      <c r="G533" t="s">
        <v>150</v>
      </c>
      <c r="H533" s="13">
        <v>1169580</v>
      </c>
      <c r="I533" s="13">
        <v>50713</v>
      </c>
      <c r="J533" s="8">
        <f t="shared" si="9"/>
        <v>1220293</v>
      </c>
    </row>
    <row r="534" spans="1:10" x14ac:dyDescent="0.2">
      <c r="A534">
        <v>5103750</v>
      </c>
      <c r="B534" s="8">
        <v>2022</v>
      </c>
      <c r="C534" s="8" t="s">
        <v>309</v>
      </c>
      <c r="D534" s="8" t="s">
        <v>310</v>
      </c>
      <c r="E534" s="8" t="s">
        <v>311</v>
      </c>
      <c r="F534" t="s">
        <v>183</v>
      </c>
      <c r="G534" t="s">
        <v>150</v>
      </c>
      <c r="H534" s="13">
        <v>1223384</v>
      </c>
      <c r="I534" s="13">
        <v>364293</v>
      </c>
      <c r="J534" s="8">
        <f t="shared" si="9"/>
        <v>1587677</v>
      </c>
    </row>
    <row r="535" spans="1:10" x14ac:dyDescent="0.2">
      <c r="A535">
        <v>5103750</v>
      </c>
      <c r="B535" s="8">
        <v>2023</v>
      </c>
      <c r="C535" s="8" t="s">
        <v>309</v>
      </c>
      <c r="D535" s="8" t="s">
        <v>310</v>
      </c>
      <c r="E535" s="8" t="s">
        <v>311</v>
      </c>
      <c r="F535" t="s">
        <v>183</v>
      </c>
      <c r="G535" t="s">
        <v>150</v>
      </c>
      <c r="H535" s="13">
        <v>1266641</v>
      </c>
      <c r="I535" s="13">
        <v>118320</v>
      </c>
      <c r="J535" s="8">
        <f t="shared" si="9"/>
        <v>1384961</v>
      </c>
    </row>
    <row r="536" spans="1:10" x14ac:dyDescent="0.2">
      <c r="A536">
        <v>5103660</v>
      </c>
      <c r="B536" s="8">
        <v>2015</v>
      </c>
      <c r="C536" s="8" t="s">
        <v>309</v>
      </c>
      <c r="D536" s="8" t="s">
        <v>310</v>
      </c>
      <c r="E536" s="8" t="s">
        <v>311</v>
      </c>
      <c r="F536" t="s">
        <v>182</v>
      </c>
      <c r="G536" t="s">
        <v>149</v>
      </c>
      <c r="H536" s="13">
        <v>20235599</v>
      </c>
      <c r="I536" s="13"/>
      <c r="J536" s="8">
        <f t="shared" si="9"/>
        <v>20235599</v>
      </c>
    </row>
    <row r="537" spans="1:10" x14ac:dyDescent="0.2">
      <c r="A537">
        <v>5103660</v>
      </c>
      <c r="B537" s="8">
        <v>2016</v>
      </c>
      <c r="C537" s="8" t="s">
        <v>309</v>
      </c>
      <c r="D537" s="8" t="s">
        <v>310</v>
      </c>
      <c r="E537" s="8" t="s">
        <v>311</v>
      </c>
      <c r="F537" t="s">
        <v>182</v>
      </c>
      <c r="G537" t="s">
        <v>149</v>
      </c>
      <c r="H537" s="13">
        <v>20203796</v>
      </c>
      <c r="I537" s="13"/>
      <c r="J537" s="8">
        <f t="shared" si="9"/>
        <v>20203796</v>
      </c>
    </row>
    <row r="538" spans="1:10" x14ac:dyDescent="0.2">
      <c r="A538">
        <v>5103660</v>
      </c>
      <c r="B538" s="8">
        <v>2017</v>
      </c>
      <c r="C538" s="8" t="s">
        <v>309</v>
      </c>
      <c r="D538" s="8" t="s">
        <v>310</v>
      </c>
      <c r="E538" s="8" t="s">
        <v>311</v>
      </c>
      <c r="F538" t="s">
        <v>182</v>
      </c>
      <c r="G538" t="s">
        <v>149</v>
      </c>
      <c r="H538" s="13">
        <v>21806528</v>
      </c>
      <c r="I538" s="13"/>
      <c r="J538" s="8">
        <f t="shared" si="9"/>
        <v>21806528</v>
      </c>
    </row>
    <row r="539" spans="1:10" x14ac:dyDescent="0.2">
      <c r="A539">
        <v>5103660</v>
      </c>
      <c r="B539" s="8">
        <v>2018</v>
      </c>
      <c r="C539" s="8" t="s">
        <v>309</v>
      </c>
      <c r="D539" s="8" t="s">
        <v>310</v>
      </c>
      <c r="E539" s="8" t="s">
        <v>311</v>
      </c>
      <c r="F539" t="s">
        <v>182</v>
      </c>
      <c r="G539" t="s">
        <v>149</v>
      </c>
      <c r="H539" s="13">
        <v>24369044</v>
      </c>
      <c r="I539" s="13"/>
      <c r="J539" s="8">
        <f t="shared" si="9"/>
        <v>24369044</v>
      </c>
    </row>
    <row r="540" spans="1:10" x14ac:dyDescent="0.2">
      <c r="A540">
        <v>5103660</v>
      </c>
      <c r="B540" s="8">
        <v>2019</v>
      </c>
      <c r="C540" s="8" t="s">
        <v>309</v>
      </c>
      <c r="D540" s="8" t="s">
        <v>310</v>
      </c>
      <c r="E540" s="8" t="s">
        <v>311</v>
      </c>
      <c r="F540" t="s">
        <v>182</v>
      </c>
      <c r="G540" t="s">
        <v>149</v>
      </c>
      <c r="H540" s="13">
        <v>24371587</v>
      </c>
      <c r="I540" s="13"/>
      <c r="J540" s="8">
        <f t="shared" si="9"/>
        <v>24371587</v>
      </c>
    </row>
    <row r="541" spans="1:10" x14ac:dyDescent="0.2">
      <c r="A541">
        <v>5103660</v>
      </c>
      <c r="B541" s="8">
        <v>2020</v>
      </c>
      <c r="C541" s="8" t="s">
        <v>309</v>
      </c>
      <c r="D541" s="8" t="s">
        <v>310</v>
      </c>
      <c r="E541" s="8" t="s">
        <v>311</v>
      </c>
      <c r="F541" t="s">
        <v>182</v>
      </c>
      <c r="G541" t="s">
        <v>149</v>
      </c>
      <c r="H541" s="13">
        <v>25677715</v>
      </c>
      <c r="I541" s="13"/>
      <c r="J541" s="8">
        <f t="shared" si="9"/>
        <v>25677715</v>
      </c>
    </row>
    <row r="542" spans="1:10" x14ac:dyDescent="0.2">
      <c r="A542">
        <v>5103660</v>
      </c>
      <c r="B542" s="8">
        <v>2021</v>
      </c>
      <c r="C542" s="8" t="s">
        <v>309</v>
      </c>
      <c r="D542" s="8" t="s">
        <v>310</v>
      </c>
      <c r="E542" s="8" t="s">
        <v>311</v>
      </c>
      <c r="F542" t="s">
        <v>182</v>
      </c>
      <c r="G542" t="s">
        <v>149</v>
      </c>
      <c r="H542" s="13">
        <v>27646944</v>
      </c>
      <c r="I542" s="13">
        <v>1198802</v>
      </c>
      <c r="J542" s="8">
        <f t="shared" si="9"/>
        <v>28845746</v>
      </c>
    </row>
    <row r="543" spans="1:10" x14ac:dyDescent="0.2">
      <c r="A543">
        <v>5103660</v>
      </c>
      <c r="B543" s="8">
        <v>2022</v>
      </c>
      <c r="C543" s="8" t="s">
        <v>309</v>
      </c>
      <c r="D543" s="8" t="s">
        <v>310</v>
      </c>
      <c r="E543" s="8" t="s">
        <v>311</v>
      </c>
      <c r="F543" t="s">
        <v>182</v>
      </c>
      <c r="G543" t="s">
        <v>149</v>
      </c>
      <c r="H543" s="13">
        <v>30145381</v>
      </c>
      <c r="I543" s="13">
        <v>8976638</v>
      </c>
      <c r="J543" s="8">
        <f t="shared" si="9"/>
        <v>39122019</v>
      </c>
    </row>
    <row r="544" spans="1:10" x14ac:dyDescent="0.2">
      <c r="A544">
        <v>5103660</v>
      </c>
      <c r="B544" s="8">
        <v>2023</v>
      </c>
      <c r="C544" s="8" t="s">
        <v>309</v>
      </c>
      <c r="D544" s="8" t="s">
        <v>310</v>
      </c>
      <c r="E544" s="8" t="s">
        <v>311</v>
      </c>
      <c r="F544" t="s">
        <v>182</v>
      </c>
      <c r="G544" t="s">
        <v>149</v>
      </c>
      <c r="H544" s="13">
        <v>33455787</v>
      </c>
      <c r="I544" s="13">
        <v>3125190</v>
      </c>
      <c r="J544" s="8">
        <f t="shared" si="9"/>
        <v>36580977</v>
      </c>
    </row>
    <row r="545" spans="1:10" x14ac:dyDescent="0.2">
      <c r="A545">
        <v>5103640</v>
      </c>
      <c r="B545" s="8">
        <v>2015</v>
      </c>
      <c r="C545" s="8" t="s">
        <v>309</v>
      </c>
      <c r="D545" s="8" t="s">
        <v>310</v>
      </c>
      <c r="E545" s="8" t="s">
        <v>311</v>
      </c>
      <c r="F545" t="s">
        <v>181</v>
      </c>
      <c r="G545" t="s">
        <v>148</v>
      </c>
      <c r="H545" s="13">
        <v>17566557</v>
      </c>
      <c r="I545" s="13"/>
      <c r="J545" s="8">
        <f t="shared" si="9"/>
        <v>17566557</v>
      </c>
    </row>
    <row r="546" spans="1:10" x14ac:dyDescent="0.2">
      <c r="A546">
        <v>5103640</v>
      </c>
      <c r="B546" s="8">
        <v>2016</v>
      </c>
      <c r="C546" s="8" t="s">
        <v>309</v>
      </c>
      <c r="D546" s="8" t="s">
        <v>310</v>
      </c>
      <c r="E546" s="8" t="s">
        <v>311</v>
      </c>
      <c r="F546" t="s">
        <v>181</v>
      </c>
      <c r="G546" t="s">
        <v>148</v>
      </c>
      <c r="H546" s="13">
        <v>17436246</v>
      </c>
      <c r="I546" s="13"/>
      <c r="J546" s="8">
        <f t="shared" si="9"/>
        <v>17436246</v>
      </c>
    </row>
    <row r="547" spans="1:10" x14ac:dyDescent="0.2">
      <c r="A547">
        <v>5103640</v>
      </c>
      <c r="B547" s="8">
        <v>2017</v>
      </c>
      <c r="C547" s="8" t="s">
        <v>309</v>
      </c>
      <c r="D547" s="8" t="s">
        <v>310</v>
      </c>
      <c r="E547" s="8" t="s">
        <v>311</v>
      </c>
      <c r="F547" t="s">
        <v>181</v>
      </c>
      <c r="G547" t="s">
        <v>148</v>
      </c>
      <c r="H547" s="13">
        <v>18178350</v>
      </c>
      <c r="I547" s="13"/>
      <c r="J547" s="8">
        <f t="shared" si="9"/>
        <v>18178350</v>
      </c>
    </row>
    <row r="548" spans="1:10" x14ac:dyDescent="0.2">
      <c r="A548">
        <v>5103640</v>
      </c>
      <c r="B548" s="8">
        <v>2018</v>
      </c>
      <c r="C548" s="8" t="s">
        <v>309</v>
      </c>
      <c r="D548" s="8" t="s">
        <v>310</v>
      </c>
      <c r="E548" s="8" t="s">
        <v>311</v>
      </c>
      <c r="F548" t="s">
        <v>181</v>
      </c>
      <c r="G548" t="s">
        <v>148</v>
      </c>
      <c r="H548" s="13">
        <v>20250661</v>
      </c>
      <c r="I548" s="13"/>
      <c r="J548" s="8">
        <f t="shared" si="9"/>
        <v>20250661</v>
      </c>
    </row>
    <row r="549" spans="1:10" x14ac:dyDescent="0.2">
      <c r="A549">
        <v>5103640</v>
      </c>
      <c r="B549" s="8">
        <v>2019</v>
      </c>
      <c r="C549" s="8" t="s">
        <v>309</v>
      </c>
      <c r="D549" s="8" t="s">
        <v>310</v>
      </c>
      <c r="E549" s="8" t="s">
        <v>311</v>
      </c>
      <c r="F549" t="s">
        <v>181</v>
      </c>
      <c r="G549" t="s">
        <v>148</v>
      </c>
      <c r="H549" s="13">
        <v>20256640</v>
      </c>
      <c r="I549" s="13"/>
      <c r="J549" s="8">
        <f t="shared" si="9"/>
        <v>20256640</v>
      </c>
    </row>
    <row r="550" spans="1:10" x14ac:dyDescent="0.2">
      <c r="A550">
        <v>5103640</v>
      </c>
      <c r="B550" s="8">
        <v>2020</v>
      </c>
      <c r="C550" s="8" t="s">
        <v>309</v>
      </c>
      <c r="D550" s="8" t="s">
        <v>310</v>
      </c>
      <c r="E550" s="8" t="s">
        <v>311</v>
      </c>
      <c r="F550" t="s">
        <v>181</v>
      </c>
      <c r="G550" t="s">
        <v>148</v>
      </c>
      <c r="H550" s="13">
        <v>20904800</v>
      </c>
      <c r="I550" s="13"/>
      <c r="J550" s="8">
        <f t="shared" si="9"/>
        <v>20904800</v>
      </c>
    </row>
    <row r="551" spans="1:10" x14ac:dyDescent="0.2">
      <c r="A551">
        <v>5103640</v>
      </c>
      <c r="B551" s="8">
        <v>2021</v>
      </c>
      <c r="C551" s="8" t="s">
        <v>309</v>
      </c>
      <c r="D551" s="8" t="s">
        <v>310</v>
      </c>
      <c r="E551" s="8" t="s">
        <v>311</v>
      </c>
      <c r="F551" t="s">
        <v>181</v>
      </c>
      <c r="G551" t="s">
        <v>148</v>
      </c>
      <c r="H551" s="13">
        <v>21844058</v>
      </c>
      <c r="I551" s="13">
        <v>947186</v>
      </c>
      <c r="J551" s="8">
        <f t="shared" si="9"/>
        <v>22791244</v>
      </c>
    </row>
    <row r="552" spans="1:10" x14ac:dyDescent="0.2">
      <c r="A552">
        <v>5103640</v>
      </c>
      <c r="B552" s="8">
        <v>2022</v>
      </c>
      <c r="C552" s="8" t="s">
        <v>309</v>
      </c>
      <c r="D552" s="8" t="s">
        <v>310</v>
      </c>
      <c r="E552" s="8" t="s">
        <v>311</v>
      </c>
      <c r="F552" t="s">
        <v>181</v>
      </c>
      <c r="G552" t="s">
        <v>148</v>
      </c>
      <c r="H552" s="13">
        <v>22929172</v>
      </c>
      <c r="I552" s="13">
        <v>6827821</v>
      </c>
      <c r="J552" s="8">
        <f t="shared" si="9"/>
        <v>29756993</v>
      </c>
    </row>
    <row r="553" spans="1:10" x14ac:dyDescent="0.2">
      <c r="A553">
        <v>5103640</v>
      </c>
      <c r="B553" s="8">
        <v>2023</v>
      </c>
      <c r="C553" s="8" t="s">
        <v>309</v>
      </c>
      <c r="D553" s="8" t="s">
        <v>310</v>
      </c>
      <c r="E553" s="8" t="s">
        <v>311</v>
      </c>
      <c r="F553" t="s">
        <v>181</v>
      </c>
      <c r="G553" t="s">
        <v>148</v>
      </c>
      <c r="H553" s="13">
        <v>24286627</v>
      </c>
      <c r="I553" s="13">
        <v>2268671</v>
      </c>
      <c r="J553" s="8">
        <f t="shared" si="9"/>
        <v>26555298</v>
      </c>
    </row>
    <row r="554" spans="1:10" x14ac:dyDescent="0.2">
      <c r="A554">
        <v>5103600</v>
      </c>
      <c r="B554" s="8">
        <v>2015</v>
      </c>
      <c r="C554" s="8" t="s">
        <v>309</v>
      </c>
      <c r="D554" s="8" t="s">
        <v>310</v>
      </c>
      <c r="E554" s="8" t="s">
        <v>311</v>
      </c>
      <c r="F554" t="s">
        <v>180</v>
      </c>
      <c r="G554" t="s">
        <v>147</v>
      </c>
      <c r="H554" s="13">
        <v>1863906</v>
      </c>
      <c r="I554" s="13"/>
      <c r="J554" s="8">
        <f t="shared" si="9"/>
        <v>1863906</v>
      </c>
    </row>
    <row r="555" spans="1:10" x14ac:dyDescent="0.2">
      <c r="A555">
        <v>5103600</v>
      </c>
      <c r="B555" s="8">
        <v>2016</v>
      </c>
      <c r="C555" s="8" t="s">
        <v>309</v>
      </c>
      <c r="D555" s="8" t="s">
        <v>310</v>
      </c>
      <c r="E555" s="8" t="s">
        <v>311</v>
      </c>
      <c r="F555" t="s">
        <v>180</v>
      </c>
      <c r="G555" t="s">
        <v>147</v>
      </c>
      <c r="H555" s="13">
        <v>1763520</v>
      </c>
      <c r="I555" s="13"/>
      <c r="J555" s="8">
        <f t="shared" si="9"/>
        <v>1763520</v>
      </c>
    </row>
    <row r="556" spans="1:10" x14ac:dyDescent="0.2">
      <c r="A556">
        <v>5103600</v>
      </c>
      <c r="B556" s="8">
        <v>2017</v>
      </c>
      <c r="C556" s="8" t="s">
        <v>309</v>
      </c>
      <c r="D556" s="8" t="s">
        <v>310</v>
      </c>
      <c r="E556" s="8" t="s">
        <v>311</v>
      </c>
      <c r="F556" t="s">
        <v>180</v>
      </c>
      <c r="G556" t="s">
        <v>147</v>
      </c>
      <c r="H556" s="13">
        <v>1853926</v>
      </c>
      <c r="I556" s="13"/>
      <c r="J556" s="8">
        <f t="shared" si="9"/>
        <v>1853926</v>
      </c>
    </row>
    <row r="557" spans="1:10" x14ac:dyDescent="0.2">
      <c r="A557">
        <v>5103600</v>
      </c>
      <c r="B557" s="8">
        <v>2018</v>
      </c>
      <c r="C557" s="8" t="s">
        <v>309</v>
      </c>
      <c r="D557" s="8" t="s">
        <v>310</v>
      </c>
      <c r="E557" s="8" t="s">
        <v>311</v>
      </c>
      <c r="F557" t="s">
        <v>180</v>
      </c>
      <c r="G557" t="s">
        <v>147</v>
      </c>
      <c r="H557" s="13">
        <v>2112441</v>
      </c>
      <c r="I557" s="13"/>
      <c r="J557" s="8">
        <f t="shared" si="9"/>
        <v>2112441</v>
      </c>
    </row>
    <row r="558" spans="1:10" x14ac:dyDescent="0.2">
      <c r="A558">
        <v>5103600</v>
      </c>
      <c r="B558" s="8">
        <v>2019</v>
      </c>
      <c r="C558" s="8" t="s">
        <v>309</v>
      </c>
      <c r="D558" s="8" t="s">
        <v>310</v>
      </c>
      <c r="E558" s="8" t="s">
        <v>311</v>
      </c>
      <c r="F558" t="s">
        <v>180</v>
      </c>
      <c r="G558" t="s">
        <v>147</v>
      </c>
      <c r="H558" s="13">
        <v>2088514</v>
      </c>
      <c r="I558" s="13"/>
      <c r="J558" s="8">
        <f t="shared" si="9"/>
        <v>2088514</v>
      </c>
    </row>
    <row r="559" spans="1:10" x14ac:dyDescent="0.2">
      <c r="A559">
        <v>5103600</v>
      </c>
      <c r="B559" s="8">
        <v>2020</v>
      </c>
      <c r="C559" s="8" t="s">
        <v>309</v>
      </c>
      <c r="D559" s="8" t="s">
        <v>310</v>
      </c>
      <c r="E559" s="8" t="s">
        <v>311</v>
      </c>
      <c r="F559" t="s">
        <v>180</v>
      </c>
      <c r="G559" t="s">
        <v>147</v>
      </c>
      <c r="H559" s="13">
        <v>2111743</v>
      </c>
      <c r="I559" s="13"/>
      <c r="J559" s="8">
        <f t="shared" si="9"/>
        <v>2111743</v>
      </c>
    </row>
    <row r="560" spans="1:10" x14ac:dyDescent="0.2">
      <c r="A560">
        <v>5103600</v>
      </c>
      <c r="B560" s="8">
        <v>2021</v>
      </c>
      <c r="C560" s="8" t="s">
        <v>309</v>
      </c>
      <c r="D560" s="8" t="s">
        <v>310</v>
      </c>
      <c r="E560" s="8" t="s">
        <v>311</v>
      </c>
      <c r="F560" t="s">
        <v>180</v>
      </c>
      <c r="G560" t="s">
        <v>147</v>
      </c>
      <c r="H560" s="13">
        <v>2135850</v>
      </c>
      <c r="I560" s="13">
        <v>92611</v>
      </c>
      <c r="J560" s="8">
        <f t="shared" si="9"/>
        <v>2228461</v>
      </c>
    </row>
    <row r="561" spans="1:10" x14ac:dyDescent="0.2">
      <c r="A561">
        <v>5103600</v>
      </c>
      <c r="B561" s="8">
        <v>2022</v>
      </c>
      <c r="C561" s="8" t="s">
        <v>309</v>
      </c>
      <c r="D561" s="8" t="s">
        <v>310</v>
      </c>
      <c r="E561" s="8" t="s">
        <v>311</v>
      </c>
      <c r="F561" t="s">
        <v>180</v>
      </c>
      <c r="G561" t="s">
        <v>147</v>
      </c>
      <c r="H561" s="13">
        <v>2196711</v>
      </c>
      <c r="I561" s="13">
        <v>654134</v>
      </c>
      <c r="J561" s="8">
        <f t="shared" si="9"/>
        <v>2850845</v>
      </c>
    </row>
    <row r="562" spans="1:10" x14ac:dyDescent="0.2">
      <c r="A562">
        <v>5103600</v>
      </c>
      <c r="B562" s="8">
        <v>2023</v>
      </c>
      <c r="C562" s="8" t="s">
        <v>309</v>
      </c>
      <c r="D562" s="8" t="s">
        <v>310</v>
      </c>
      <c r="E562" s="8" t="s">
        <v>311</v>
      </c>
      <c r="F562" t="s">
        <v>180</v>
      </c>
      <c r="G562" t="s">
        <v>147</v>
      </c>
      <c r="H562" s="13">
        <v>2356780</v>
      </c>
      <c r="I562" s="13">
        <v>220153</v>
      </c>
      <c r="J562" s="8">
        <f t="shared" si="9"/>
        <v>2576933</v>
      </c>
    </row>
    <row r="563" spans="1:10" x14ac:dyDescent="0.2">
      <c r="A563">
        <v>5103520</v>
      </c>
      <c r="B563" s="8">
        <v>2015</v>
      </c>
      <c r="C563" s="8" t="s">
        <v>309</v>
      </c>
      <c r="D563" s="8" t="s">
        <v>310</v>
      </c>
      <c r="E563" s="8" t="s">
        <v>311</v>
      </c>
      <c r="F563" t="s">
        <v>179</v>
      </c>
      <c r="G563" t="s">
        <v>146</v>
      </c>
      <c r="H563" s="13">
        <v>3339060</v>
      </c>
      <c r="I563" s="13"/>
      <c r="J563" s="8">
        <f t="shared" si="9"/>
        <v>3339060</v>
      </c>
    </row>
    <row r="564" spans="1:10" x14ac:dyDescent="0.2">
      <c r="A564">
        <v>5103520</v>
      </c>
      <c r="B564" s="8">
        <v>2016</v>
      </c>
      <c r="C564" s="8" t="s">
        <v>309</v>
      </c>
      <c r="D564" s="8" t="s">
        <v>310</v>
      </c>
      <c r="E564" s="8" t="s">
        <v>311</v>
      </c>
      <c r="F564" t="s">
        <v>179</v>
      </c>
      <c r="G564" t="s">
        <v>146</v>
      </c>
      <c r="H564" s="13">
        <v>3178456</v>
      </c>
      <c r="I564" s="13"/>
      <c r="J564" s="8">
        <f t="shared" si="9"/>
        <v>3178456</v>
      </c>
    </row>
    <row r="565" spans="1:10" x14ac:dyDescent="0.2">
      <c r="A565">
        <v>5103520</v>
      </c>
      <c r="B565" s="8">
        <v>2017</v>
      </c>
      <c r="C565" s="8" t="s">
        <v>309</v>
      </c>
      <c r="D565" s="8" t="s">
        <v>310</v>
      </c>
      <c r="E565" s="8" t="s">
        <v>311</v>
      </c>
      <c r="F565" t="s">
        <v>179</v>
      </c>
      <c r="G565" t="s">
        <v>146</v>
      </c>
      <c r="H565" s="13">
        <v>3268124</v>
      </c>
      <c r="I565" s="13"/>
      <c r="J565" s="8">
        <f t="shared" si="9"/>
        <v>3268124</v>
      </c>
    </row>
    <row r="566" spans="1:10" x14ac:dyDescent="0.2">
      <c r="A566">
        <v>5103520</v>
      </c>
      <c r="B566" s="8">
        <v>2018</v>
      </c>
      <c r="C566" s="8" t="s">
        <v>309</v>
      </c>
      <c r="D566" s="8" t="s">
        <v>310</v>
      </c>
      <c r="E566" s="8" t="s">
        <v>311</v>
      </c>
      <c r="F566" t="s">
        <v>179</v>
      </c>
      <c r="G566" t="s">
        <v>146</v>
      </c>
      <c r="H566" s="13">
        <v>3602415</v>
      </c>
      <c r="I566" s="13"/>
      <c r="J566" s="8">
        <f t="shared" si="9"/>
        <v>3602415</v>
      </c>
    </row>
    <row r="567" spans="1:10" x14ac:dyDescent="0.2">
      <c r="A567">
        <v>5103520</v>
      </c>
      <c r="B567" s="8">
        <v>2019</v>
      </c>
      <c r="C567" s="8" t="s">
        <v>309</v>
      </c>
      <c r="D567" s="8" t="s">
        <v>310</v>
      </c>
      <c r="E567" s="8" t="s">
        <v>311</v>
      </c>
      <c r="F567" t="s">
        <v>179</v>
      </c>
      <c r="G567" t="s">
        <v>146</v>
      </c>
      <c r="H567" s="13">
        <v>3478565</v>
      </c>
      <c r="I567" s="13"/>
      <c r="J567" s="8">
        <f t="shared" si="9"/>
        <v>3478565</v>
      </c>
    </row>
    <row r="568" spans="1:10" x14ac:dyDescent="0.2">
      <c r="A568">
        <v>5103520</v>
      </c>
      <c r="B568" s="8">
        <v>2020</v>
      </c>
      <c r="C568" s="8" t="s">
        <v>309</v>
      </c>
      <c r="D568" s="8" t="s">
        <v>310</v>
      </c>
      <c r="E568" s="8" t="s">
        <v>311</v>
      </c>
      <c r="F568" t="s">
        <v>179</v>
      </c>
      <c r="G568" t="s">
        <v>146</v>
      </c>
      <c r="H568" s="13">
        <v>3541736</v>
      </c>
      <c r="I568" s="13"/>
      <c r="J568" s="8">
        <f t="shared" si="9"/>
        <v>3541736</v>
      </c>
    </row>
    <row r="569" spans="1:10" x14ac:dyDescent="0.2">
      <c r="A569">
        <v>5103520</v>
      </c>
      <c r="B569" s="8">
        <v>2021</v>
      </c>
      <c r="C569" s="8" t="s">
        <v>309</v>
      </c>
      <c r="D569" s="8" t="s">
        <v>310</v>
      </c>
      <c r="E569" s="8" t="s">
        <v>311</v>
      </c>
      <c r="F569" t="s">
        <v>179</v>
      </c>
      <c r="G569" t="s">
        <v>146</v>
      </c>
      <c r="H569" s="13">
        <v>3744737</v>
      </c>
      <c r="I569" s="13">
        <v>162378</v>
      </c>
      <c r="J569" s="8">
        <f t="shared" si="9"/>
        <v>3907115</v>
      </c>
    </row>
    <row r="570" spans="1:10" x14ac:dyDescent="0.2">
      <c r="A570">
        <v>5103520</v>
      </c>
      <c r="B570" s="8">
        <v>2022</v>
      </c>
      <c r="C570" s="8" t="s">
        <v>309</v>
      </c>
      <c r="D570" s="8" t="s">
        <v>310</v>
      </c>
      <c r="E570" s="8" t="s">
        <v>311</v>
      </c>
      <c r="F570" t="s">
        <v>179</v>
      </c>
      <c r="G570" t="s">
        <v>146</v>
      </c>
      <c r="H570" s="13">
        <v>4042258</v>
      </c>
      <c r="I570" s="13">
        <v>1203692</v>
      </c>
      <c r="J570" s="8">
        <f t="shared" si="9"/>
        <v>5245950</v>
      </c>
    </row>
    <row r="571" spans="1:10" x14ac:dyDescent="0.2">
      <c r="A571">
        <v>5103520</v>
      </c>
      <c r="B571" s="8">
        <v>2023</v>
      </c>
      <c r="C571" s="8" t="s">
        <v>309</v>
      </c>
      <c r="D571" s="8" t="s">
        <v>310</v>
      </c>
      <c r="E571" s="8" t="s">
        <v>311</v>
      </c>
      <c r="F571" t="s">
        <v>179</v>
      </c>
      <c r="G571" t="s">
        <v>146</v>
      </c>
      <c r="H571" s="13">
        <v>4206435</v>
      </c>
      <c r="I571" s="13">
        <v>392929</v>
      </c>
      <c r="J571" s="8">
        <f t="shared" si="9"/>
        <v>4599364</v>
      </c>
    </row>
    <row r="572" spans="1:10" x14ac:dyDescent="0.2">
      <c r="A572">
        <v>5103510</v>
      </c>
      <c r="B572" s="8">
        <v>2015</v>
      </c>
      <c r="C572" s="8" t="s">
        <v>309</v>
      </c>
      <c r="D572" s="8" t="s">
        <v>310</v>
      </c>
      <c r="E572" s="8" t="s">
        <v>311</v>
      </c>
      <c r="F572" t="s">
        <v>178</v>
      </c>
      <c r="G572" t="s">
        <v>145</v>
      </c>
      <c r="H572" s="13">
        <v>4727155</v>
      </c>
      <c r="I572" s="13"/>
      <c r="J572" s="8">
        <f t="shared" si="9"/>
        <v>4727155</v>
      </c>
    </row>
    <row r="573" spans="1:10" x14ac:dyDescent="0.2">
      <c r="A573">
        <v>5103510</v>
      </c>
      <c r="B573" s="8">
        <v>2016</v>
      </c>
      <c r="C573" s="8" t="s">
        <v>309</v>
      </c>
      <c r="D573" s="8" t="s">
        <v>310</v>
      </c>
      <c r="E573" s="8" t="s">
        <v>311</v>
      </c>
      <c r="F573" t="s">
        <v>178</v>
      </c>
      <c r="G573" t="s">
        <v>145</v>
      </c>
      <c r="H573" s="13">
        <v>4750581</v>
      </c>
      <c r="I573" s="13"/>
      <c r="J573" s="8">
        <f t="shared" si="9"/>
        <v>4750581</v>
      </c>
    </row>
    <row r="574" spans="1:10" x14ac:dyDescent="0.2">
      <c r="A574">
        <v>5103510</v>
      </c>
      <c r="B574" s="8">
        <v>2017</v>
      </c>
      <c r="C574" s="8" t="s">
        <v>309</v>
      </c>
      <c r="D574" s="8" t="s">
        <v>310</v>
      </c>
      <c r="E574" s="8" t="s">
        <v>311</v>
      </c>
      <c r="F574" t="s">
        <v>178</v>
      </c>
      <c r="G574" t="s">
        <v>145</v>
      </c>
      <c r="H574" s="13">
        <v>4935266</v>
      </c>
      <c r="I574" s="13"/>
      <c r="J574" s="8">
        <f t="shared" si="9"/>
        <v>4935266</v>
      </c>
    </row>
    <row r="575" spans="1:10" x14ac:dyDescent="0.2">
      <c r="A575">
        <v>5103510</v>
      </c>
      <c r="B575" s="8">
        <v>2018</v>
      </c>
      <c r="C575" s="8" t="s">
        <v>309</v>
      </c>
      <c r="D575" s="8" t="s">
        <v>310</v>
      </c>
      <c r="E575" s="8" t="s">
        <v>311</v>
      </c>
      <c r="F575" t="s">
        <v>178</v>
      </c>
      <c r="G575" t="s">
        <v>145</v>
      </c>
      <c r="H575" s="13">
        <v>5568263</v>
      </c>
      <c r="I575" s="13"/>
      <c r="J575" s="8">
        <f t="shared" si="9"/>
        <v>5568263</v>
      </c>
    </row>
    <row r="576" spans="1:10" x14ac:dyDescent="0.2">
      <c r="A576">
        <v>5103510</v>
      </c>
      <c r="B576" s="8">
        <v>2019</v>
      </c>
      <c r="C576" s="8" t="s">
        <v>309</v>
      </c>
      <c r="D576" s="8" t="s">
        <v>310</v>
      </c>
      <c r="E576" s="8" t="s">
        <v>311</v>
      </c>
      <c r="F576" t="s">
        <v>178</v>
      </c>
      <c r="G576" t="s">
        <v>145</v>
      </c>
      <c r="H576" s="13">
        <v>5724764</v>
      </c>
      <c r="I576" s="13"/>
      <c r="J576" s="8">
        <f t="shared" si="9"/>
        <v>5724764</v>
      </c>
    </row>
    <row r="577" spans="1:10" x14ac:dyDescent="0.2">
      <c r="A577">
        <v>5103510</v>
      </c>
      <c r="B577" s="8">
        <v>2020</v>
      </c>
      <c r="C577" s="8" t="s">
        <v>309</v>
      </c>
      <c r="D577" s="8" t="s">
        <v>310</v>
      </c>
      <c r="E577" s="8" t="s">
        <v>311</v>
      </c>
      <c r="F577" t="s">
        <v>178</v>
      </c>
      <c r="G577" t="s">
        <v>145</v>
      </c>
      <c r="H577" s="13">
        <v>5847536</v>
      </c>
      <c r="I577" s="13"/>
      <c r="J577" s="8">
        <f t="shared" si="9"/>
        <v>5847536</v>
      </c>
    </row>
    <row r="578" spans="1:10" x14ac:dyDescent="0.2">
      <c r="A578">
        <v>5103510</v>
      </c>
      <c r="B578" s="8">
        <v>2021</v>
      </c>
      <c r="C578" s="8" t="s">
        <v>309</v>
      </c>
      <c r="D578" s="8" t="s">
        <v>310</v>
      </c>
      <c r="E578" s="8" t="s">
        <v>311</v>
      </c>
      <c r="F578" t="s">
        <v>178</v>
      </c>
      <c r="G578" t="s">
        <v>145</v>
      </c>
      <c r="H578" s="13">
        <v>6134530</v>
      </c>
      <c r="I578" s="13">
        <v>266001</v>
      </c>
      <c r="J578" s="8">
        <f t="shared" si="9"/>
        <v>6400531</v>
      </c>
    </row>
    <row r="579" spans="1:10" x14ac:dyDescent="0.2">
      <c r="A579">
        <v>5103510</v>
      </c>
      <c r="B579" s="8">
        <v>2022</v>
      </c>
      <c r="C579" s="8" t="s">
        <v>309</v>
      </c>
      <c r="D579" s="8" t="s">
        <v>310</v>
      </c>
      <c r="E579" s="8" t="s">
        <v>311</v>
      </c>
      <c r="F579" t="s">
        <v>178</v>
      </c>
      <c r="G579" t="s">
        <v>145</v>
      </c>
      <c r="H579" s="13">
        <v>6362718</v>
      </c>
      <c r="I579" s="13">
        <v>1894675</v>
      </c>
      <c r="J579" s="8">
        <f t="shared" ref="J579:J642" si="10">SUM(H579:I579)</f>
        <v>8257393</v>
      </c>
    </row>
    <row r="580" spans="1:10" x14ac:dyDescent="0.2">
      <c r="A580">
        <v>5103510</v>
      </c>
      <c r="B580" s="8">
        <v>2023</v>
      </c>
      <c r="C580" s="8" t="s">
        <v>309</v>
      </c>
      <c r="D580" s="8" t="s">
        <v>310</v>
      </c>
      <c r="E580" s="8" t="s">
        <v>311</v>
      </c>
      <c r="F580" t="s">
        <v>178</v>
      </c>
      <c r="G580" t="s">
        <v>145</v>
      </c>
      <c r="H580" s="13">
        <v>6610593</v>
      </c>
      <c r="I580" s="13">
        <v>617506</v>
      </c>
      <c r="J580" s="8">
        <f t="shared" si="10"/>
        <v>7228099</v>
      </c>
    </row>
    <row r="581" spans="1:10" x14ac:dyDescent="0.2">
      <c r="A581">
        <v>5103480</v>
      </c>
      <c r="B581" s="8">
        <v>2015</v>
      </c>
      <c r="C581" s="8" t="s">
        <v>309</v>
      </c>
      <c r="D581" s="8" t="s">
        <v>310</v>
      </c>
      <c r="E581" s="8" t="s">
        <v>311</v>
      </c>
      <c r="F581" t="s">
        <v>177</v>
      </c>
      <c r="G581" t="s">
        <v>144</v>
      </c>
      <c r="H581" s="13">
        <v>2771944</v>
      </c>
      <c r="I581" s="13"/>
      <c r="J581" s="8">
        <f t="shared" si="10"/>
        <v>2771944</v>
      </c>
    </row>
    <row r="582" spans="1:10" x14ac:dyDescent="0.2">
      <c r="A582">
        <v>5103480</v>
      </c>
      <c r="B582" s="8">
        <v>2016</v>
      </c>
      <c r="C582" s="8" t="s">
        <v>309</v>
      </c>
      <c r="D582" s="8" t="s">
        <v>310</v>
      </c>
      <c r="E582" s="8" t="s">
        <v>311</v>
      </c>
      <c r="F582" t="s">
        <v>177</v>
      </c>
      <c r="G582" t="s">
        <v>144</v>
      </c>
      <c r="H582" s="13">
        <v>2686745</v>
      </c>
      <c r="I582" s="13"/>
      <c r="J582" s="8">
        <f t="shared" si="10"/>
        <v>2686745</v>
      </c>
    </row>
    <row r="583" spans="1:10" x14ac:dyDescent="0.2">
      <c r="A583">
        <v>5103480</v>
      </c>
      <c r="B583" s="8">
        <v>2017</v>
      </c>
      <c r="C583" s="8" t="s">
        <v>309</v>
      </c>
      <c r="D583" s="8" t="s">
        <v>310</v>
      </c>
      <c r="E583" s="8" t="s">
        <v>311</v>
      </c>
      <c r="F583" t="s">
        <v>177</v>
      </c>
      <c r="G583" t="s">
        <v>144</v>
      </c>
      <c r="H583" s="13">
        <v>2881327</v>
      </c>
      <c r="I583" s="13"/>
      <c r="J583" s="8">
        <f t="shared" si="10"/>
        <v>2881327</v>
      </c>
    </row>
    <row r="584" spans="1:10" x14ac:dyDescent="0.2">
      <c r="A584">
        <v>5103480</v>
      </c>
      <c r="B584" s="8">
        <v>2018</v>
      </c>
      <c r="C584" s="8" t="s">
        <v>309</v>
      </c>
      <c r="D584" s="8" t="s">
        <v>310</v>
      </c>
      <c r="E584" s="8" t="s">
        <v>311</v>
      </c>
      <c r="F584" t="s">
        <v>177</v>
      </c>
      <c r="G584" t="s">
        <v>144</v>
      </c>
      <c r="H584" s="13">
        <v>3235219</v>
      </c>
      <c r="I584" s="13"/>
      <c r="J584" s="8">
        <f t="shared" si="10"/>
        <v>3235219</v>
      </c>
    </row>
    <row r="585" spans="1:10" x14ac:dyDescent="0.2">
      <c r="A585">
        <v>5103480</v>
      </c>
      <c r="B585" s="8">
        <v>2019</v>
      </c>
      <c r="C585" s="8" t="s">
        <v>309</v>
      </c>
      <c r="D585" s="8" t="s">
        <v>310</v>
      </c>
      <c r="E585" s="8" t="s">
        <v>311</v>
      </c>
      <c r="F585" t="s">
        <v>177</v>
      </c>
      <c r="G585" t="s">
        <v>144</v>
      </c>
      <c r="H585" s="13">
        <v>3159929</v>
      </c>
      <c r="I585" s="13"/>
      <c r="J585" s="8">
        <f t="shared" si="10"/>
        <v>3159929</v>
      </c>
    </row>
    <row r="586" spans="1:10" x14ac:dyDescent="0.2">
      <c r="A586">
        <v>5103480</v>
      </c>
      <c r="B586" s="8">
        <v>2020</v>
      </c>
      <c r="C586" s="8" t="s">
        <v>309</v>
      </c>
      <c r="D586" s="8" t="s">
        <v>310</v>
      </c>
      <c r="E586" s="8" t="s">
        <v>311</v>
      </c>
      <c r="F586" t="s">
        <v>177</v>
      </c>
      <c r="G586" t="s">
        <v>144</v>
      </c>
      <c r="H586" s="13">
        <v>3281436</v>
      </c>
      <c r="I586" s="13"/>
      <c r="J586" s="8">
        <f t="shared" si="10"/>
        <v>3281436</v>
      </c>
    </row>
    <row r="587" spans="1:10" x14ac:dyDescent="0.2">
      <c r="A587">
        <v>5103480</v>
      </c>
      <c r="B587" s="8">
        <v>2021</v>
      </c>
      <c r="C587" s="8" t="s">
        <v>309</v>
      </c>
      <c r="D587" s="8" t="s">
        <v>310</v>
      </c>
      <c r="E587" s="8" t="s">
        <v>311</v>
      </c>
      <c r="F587" t="s">
        <v>177</v>
      </c>
      <c r="G587" t="s">
        <v>144</v>
      </c>
      <c r="H587" s="13">
        <v>3514267</v>
      </c>
      <c r="I587" s="13">
        <v>152385</v>
      </c>
      <c r="J587" s="8">
        <f t="shared" si="10"/>
        <v>3666652</v>
      </c>
    </row>
    <row r="588" spans="1:10" x14ac:dyDescent="0.2">
      <c r="A588">
        <v>5103480</v>
      </c>
      <c r="B588" s="8">
        <v>2022</v>
      </c>
      <c r="C588" s="8" t="s">
        <v>309</v>
      </c>
      <c r="D588" s="8" t="s">
        <v>310</v>
      </c>
      <c r="E588" s="8" t="s">
        <v>311</v>
      </c>
      <c r="F588" t="s">
        <v>177</v>
      </c>
      <c r="G588" t="s">
        <v>144</v>
      </c>
      <c r="H588" s="13">
        <v>3625467</v>
      </c>
      <c r="I588" s="13">
        <v>1079607</v>
      </c>
      <c r="J588" s="8">
        <f t="shared" si="10"/>
        <v>4705074</v>
      </c>
    </row>
    <row r="589" spans="1:10" x14ac:dyDescent="0.2">
      <c r="A589">
        <v>5103480</v>
      </c>
      <c r="B589" s="8">
        <v>2023</v>
      </c>
      <c r="C589" s="8" t="s">
        <v>309</v>
      </c>
      <c r="D589" s="8" t="s">
        <v>310</v>
      </c>
      <c r="E589" s="8" t="s">
        <v>311</v>
      </c>
      <c r="F589" t="s">
        <v>177</v>
      </c>
      <c r="G589" t="s">
        <v>144</v>
      </c>
      <c r="H589" s="13">
        <v>3871789</v>
      </c>
      <c r="I589" s="13">
        <v>361668</v>
      </c>
      <c r="J589" s="8">
        <f t="shared" si="10"/>
        <v>4233457</v>
      </c>
    </row>
    <row r="590" spans="1:10" x14ac:dyDescent="0.2">
      <c r="A590">
        <v>5103420</v>
      </c>
      <c r="B590" s="8">
        <v>2015</v>
      </c>
      <c r="C590" s="8" t="s">
        <v>309</v>
      </c>
      <c r="D590" s="8" t="s">
        <v>310</v>
      </c>
      <c r="E590" s="8" t="s">
        <v>311</v>
      </c>
      <c r="F590" t="s">
        <v>176</v>
      </c>
      <c r="G590" t="s">
        <v>143</v>
      </c>
      <c r="H590" s="13">
        <v>2515926</v>
      </c>
      <c r="I590" s="13"/>
      <c r="J590" s="8">
        <f t="shared" si="10"/>
        <v>2515926</v>
      </c>
    </row>
    <row r="591" spans="1:10" x14ac:dyDescent="0.2">
      <c r="A591">
        <v>5103420</v>
      </c>
      <c r="B591" s="8">
        <v>2016</v>
      </c>
      <c r="C591" s="8" t="s">
        <v>309</v>
      </c>
      <c r="D591" s="8" t="s">
        <v>310</v>
      </c>
      <c r="E591" s="8" t="s">
        <v>311</v>
      </c>
      <c r="F591" t="s">
        <v>176</v>
      </c>
      <c r="G591" t="s">
        <v>143</v>
      </c>
      <c r="H591" s="13">
        <v>2518321</v>
      </c>
      <c r="I591" s="13"/>
      <c r="J591" s="8">
        <f t="shared" si="10"/>
        <v>2518321</v>
      </c>
    </row>
    <row r="592" spans="1:10" x14ac:dyDescent="0.2">
      <c r="A592">
        <v>5103420</v>
      </c>
      <c r="B592" s="8">
        <v>2017</v>
      </c>
      <c r="C592" s="8" t="s">
        <v>309</v>
      </c>
      <c r="D592" s="8" t="s">
        <v>310</v>
      </c>
      <c r="E592" s="8" t="s">
        <v>311</v>
      </c>
      <c r="F592" t="s">
        <v>176</v>
      </c>
      <c r="G592" t="s">
        <v>143</v>
      </c>
      <c r="H592" s="13">
        <v>2606249</v>
      </c>
      <c r="I592" s="13"/>
      <c r="J592" s="8">
        <f t="shared" si="10"/>
        <v>2606249</v>
      </c>
    </row>
    <row r="593" spans="1:10" x14ac:dyDescent="0.2">
      <c r="A593">
        <v>5103420</v>
      </c>
      <c r="B593" s="8">
        <v>2018</v>
      </c>
      <c r="C593" s="8" t="s">
        <v>309</v>
      </c>
      <c r="D593" s="8" t="s">
        <v>310</v>
      </c>
      <c r="E593" s="8" t="s">
        <v>311</v>
      </c>
      <c r="F593" t="s">
        <v>176</v>
      </c>
      <c r="G593" t="s">
        <v>143</v>
      </c>
      <c r="H593" s="13">
        <v>2957008</v>
      </c>
      <c r="I593" s="13"/>
      <c r="J593" s="8">
        <f t="shared" si="10"/>
        <v>2957008</v>
      </c>
    </row>
    <row r="594" spans="1:10" x14ac:dyDescent="0.2">
      <c r="A594">
        <v>5103420</v>
      </c>
      <c r="B594" s="8">
        <v>2019</v>
      </c>
      <c r="C594" s="8" t="s">
        <v>309</v>
      </c>
      <c r="D594" s="8" t="s">
        <v>310</v>
      </c>
      <c r="E594" s="8" t="s">
        <v>311</v>
      </c>
      <c r="F594" t="s">
        <v>176</v>
      </c>
      <c r="G594" t="s">
        <v>143</v>
      </c>
      <c r="H594" s="13">
        <v>2854073</v>
      </c>
      <c r="I594" s="13"/>
      <c r="J594" s="8">
        <f t="shared" si="10"/>
        <v>2854073</v>
      </c>
    </row>
    <row r="595" spans="1:10" x14ac:dyDescent="0.2">
      <c r="A595">
        <v>5103420</v>
      </c>
      <c r="B595" s="8">
        <v>2020</v>
      </c>
      <c r="C595" s="8" t="s">
        <v>309</v>
      </c>
      <c r="D595" s="8" t="s">
        <v>310</v>
      </c>
      <c r="E595" s="8" t="s">
        <v>311</v>
      </c>
      <c r="F595" t="s">
        <v>176</v>
      </c>
      <c r="G595" t="s">
        <v>143</v>
      </c>
      <c r="H595" s="13">
        <v>3005168</v>
      </c>
      <c r="I595" s="13"/>
      <c r="J595" s="8">
        <f t="shared" si="10"/>
        <v>3005168</v>
      </c>
    </row>
    <row r="596" spans="1:10" x14ac:dyDescent="0.2">
      <c r="A596">
        <v>5103420</v>
      </c>
      <c r="B596" s="8">
        <v>2021</v>
      </c>
      <c r="C596" s="8" t="s">
        <v>309</v>
      </c>
      <c r="D596" s="8" t="s">
        <v>310</v>
      </c>
      <c r="E596" s="8" t="s">
        <v>311</v>
      </c>
      <c r="F596" t="s">
        <v>176</v>
      </c>
      <c r="G596" t="s">
        <v>143</v>
      </c>
      <c r="H596" s="13">
        <v>3135782</v>
      </c>
      <c r="I596" s="13">
        <v>135970</v>
      </c>
      <c r="J596" s="8">
        <f t="shared" si="10"/>
        <v>3271752</v>
      </c>
    </row>
    <row r="597" spans="1:10" x14ac:dyDescent="0.2">
      <c r="A597">
        <v>5103420</v>
      </c>
      <c r="B597" s="8">
        <v>2022</v>
      </c>
      <c r="C597" s="8" t="s">
        <v>309</v>
      </c>
      <c r="D597" s="8" t="s">
        <v>310</v>
      </c>
      <c r="E597" s="8" t="s">
        <v>311</v>
      </c>
      <c r="F597" t="s">
        <v>176</v>
      </c>
      <c r="G597" t="s">
        <v>143</v>
      </c>
      <c r="H597" s="13">
        <v>3179016</v>
      </c>
      <c r="I597" s="13">
        <v>946630</v>
      </c>
      <c r="J597" s="8">
        <f t="shared" si="10"/>
        <v>4125646</v>
      </c>
    </row>
    <row r="598" spans="1:10" x14ac:dyDescent="0.2">
      <c r="A598">
        <v>5103420</v>
      </c>
      <c r="B598" s="8">
        <v>2023</v>
      </c>
      <c r="C598" s="8" t="s">
        <v>309</v>
      </c>
      <c r="D598" s="8" t="s">
        <v>310</v>
      </c>
      <c r="E598" s="8" t="s">
        <v>311</v>
      </c>
      <c r="F598" t="s">
        <v>176</v>
      </c>
      <c r="G598" t="s">
        <v>143</v>
      </c>
      <c r="H598" s="13">
        <v>3221914</v>
      </c>
      <c r="I598" s="13">
        <v>300960</v>
      </c>
      <c r="J598" s="8">
        <f t="shared" si="10"/>
        <v>3522874</v>
      </c>
    </row>
    <row r="599" spans="1:10" x14ac:dyDescent="0.2">
      <c r="A599">
        <v>5103390</v>
      </c>
      <c r="B599" s="8">
        <v>2015</v>
      </c>
      <c r="C599" s="8" t="s">
        <v>309</v>
      </c>
      <c r="D599" s="8" t="s">
        <v>310</v>
      </c>
      <c r="E599" s="8" t="s">
        <v>311</v>
      </c>
      <c r="F599" t="s">
        <v>175</v>
      </c>
      <c r="G599" t="s">
        <v>142</v>
      </c>
      <c r="H599" s="13">
        <v>8921820</v>
      </c>
      <c r="I599" s="13"/>
      <c r="J599" s="8">
        <f t="shared" si="10"/>
        <v>8921820</v>
      </c>
    </row>
    <row r="600" spans="1:10" x14ac:dyDescent="0.2">
      <c r="A600">
        <v>5103390</v>
      </c>
      <c r="B600" s="8">
        <v>2016</v>
      </c>
      <c r="C600" s="8" t="s">
        <v>309</v>
      </c>
      <c r="D600" s="8" t="s">
        <v>310</v>
      </c>
      <c r="E600" s="8" t="s">
        <v>311</v>
      </c>
      <c r="F600" t="s">
        <v>175</v>
      </c>
      <c r="G600" t="s">
        <v>142</v>
      </c>
      <c r="H600" s="13">
        <v>8853455</v>
      </c>
      <c r="I600" s="13"/>
      <c r="J600" s="8">
        <f t="shared" si="10"/>
        <v>8853455</v>
      </c>
    </row>
    <row r="601" spans="1:10" x14ac:dyDescent="0.2">
      <c r="A601">
        <v>5103390</v>
      </c>
      <c r="B601" s="8">
        <v>2017</v>
      </c>
      <c r="C601" s="8" t="s">
        <v>309</v>
      </c>
      <c r="D601" s="8" t="s">
        <v>310</v>
      </c>
      <c r="E601" s="8" t="s">
        <v>311</v>
      </c>
      <c r="F601" t="s">
        <v>175</v>
      </c>
      <c r="G601" t="s">
        <v>142</v>
      </c>
      <c r="H601" s="13">
        <v>9314905</v>
      </c>
      <c r="I601" s="13"/>
      <c r="J601" s="8">
        <f t="shared" si="10"/>
        <v>9314905</v>
      </c>
    </row>
    <row r="602" spans="1:10" x14ac:dyDescent="0.2">
      <c r="A602">
        <v>5103390</v>
      </c>
      <c r="B602" s="8">
        <v>2018</v>
      </c>
      <c r="C602" s="8" t="s">
        <v>309</v>
      </c>
      <c r="D602" s="8" t="s">
        <v>310</v>
      </c>
      <c r="E602" s="8" t="s">
        <v>311</v>
      </c>
      <c r="F602" t="s">
        <v>175</v>
      </c>
      <c r="G602" t="s">
        <v>142</v>
      </c>
      <c r="H602" s="13">
        <v>10688619</v>
      </c>
      <c r="I602" s="13"/>
      <c r="J602" s="8">
        <f t="shared" si="10"/>
        <v>10688619</v>
      </c>
    </row>
    <row r="603" spans="1:10" x14ac:dyDescent="0.2">
      <c r="A603">
        <v>5103390</v>
      </c>
      <c r="B603" s="8">
        <v>2019</v>
      </c>
      <c r="C603" s="8" t="s">
        <v>309</v>
      </c>
      <c r="D603" s="8" t="s">
        <v>310</v>
      </c>
      <c r="E603" s="8" t="s">
        <v>311</v>
      </c>
      <c r="F603" t="s">
        <v>175</v>
      </c>
      <c r="G603" t="s">
        <v>142</v>
      </c>
      <c r="H603" s="13">
        <v>10399356</v>
      </c>
      <c r="I603" s="13"/>
      <c r="J603" s="8">
        <f t="shared" si="10"/>
        <v>10399356</v>
      </c>
    </row>
    <row r="604" spans="1:10" x14ac:dyDescent="0.2">
      <c r="A604">
        <v>5103390</v>
      </c>
      <c r="B604" s="8">
        <v>2020</v>
      </c>
      <c r="C604" s="8" t="s">
        <v>309</v>
      </c>
      <c r="D604" s="8" t="s">
        <v>310</v>
      </c>
      <c r="E604" s="8" t="s">
        <v>311</v>
      </c>
      <c r="F604" t="s">
        <v>175</v>
      </c>
      <c r="G604" t="s">
        <v>142</v>
      </c>
      <c r="H604" s="13">
        <v>10619237</v>
      </c>
      <c r="I604" s="13"/>
      <c r="J604" s="8">
        <f t="shared" si="10"/>
        <v>10619237</v>
      </c>
    </row>
    <row r="605" spans="1:10" x14ac:dyDescent="0.2">
      <c r="A605">
        <v>5103390</v>
      </c>
      <c r="B605" s="8">
        <v>2021</v>
      </c>
      <c r="C605" s="8" t="s">
        <v>309</v>
      </c>
      <c r="D605" s="8" t="s">
        <v>310</v>
      </c>
      <c r="E605" s="8" t="s">
        <v>311</v>
      </c>
      <c r="F605" t="s">
        <v>175</v>
      </c>
      <c r="G605" t="s">
        <v>142</v>
      </c>
      <c r="H605" s="13">
        <v>11438353</v>
      </c>
      <c r="I605" s="13">
        <v>495981</v>
      </c>
      <c r="J605" s="8">
        <f t="shared" si="10"/>
        <v>11934334</v>
      </c>
    </row>
    <row r="606" spans="1:10" x14ac:dyDescent="0.2">
      <c r="A606">
        <v>5103390</v>
      </c>
      <c r="B606" s="8">
        <v>2022</v>
      </c>
      <c r="C606" s="8" t="s">
        <v>309</v>
      </c>
      <c r="D606" s="8" t="s">
        <v>310</v>
      </c>
      <c r="E606" s="8" t="s">
        <v>311</v>
      </c>
      <c r="F606" t="s">
        <v>175</v>
      </c>
      <c r="G606" t="s">
        <v>142</v>
      </c>
      <c r="H606" s="13">
        <v>12245179</v>
      </c>
      <c r="I606" s="13">
        <v>3646376</v>
      </c>
      <c r="J606" s="8">
        <f t="shared" si="10"/>
        <v>15891555</v>
      </c>
    </row>
    <row r="607" spans="1:10" x14ac:dyDescent="0.2">
      <c r="A607">
        <v>5103390</v>
      </c>
      <c r="B607" s="8">
        <v>2023</v>
      </c>
      <c r="C607" s="8" t="s">
        <v>309</v>
      </c>
      <c r="D607" s="8" t="s">
        <v>310</v>
      </c>
      <c r="E607" s="8" t="s">
        <v>311</v>
      </c>
      <c r="F607" t="s">
        <v>175</v>
      </c>
      <c r="G607" t="s">
        <v>142</v>
      </c>
      <c r="H607" s="13">
        <v>13177236</v>
      </c>
      <c r="I607" s="13">
        <v>1230912</v>
      </c>
      <c r="J607" s="8">
        <f t="shared" si="10"/>
        <v>14408148</v>
      </c>
    </row>
    <row r="608" spans="1:10" x14ac:dyDescent="0.2">
      <c r="A608">
        <v>5103370</v>
      </c>
      <c r="B608" s="8">
        <v>2015</v>
      </c>
      <c r="C608" s="8" t="s">
        <v>309</v>
      </c>
      <c r="D608" s="8" t="s">
        <v>310</v>
      </c>
      <c r="E608" s="8" t="s">
        <v>311</v>
      </c>
      <c r="F608" t="s">
        <v>174</v>
      </c>
      <c r="G608" t="s">
        <v>141</v>
      </c>
      <c r="H608" s="13">
        <v>2259447</v>
      </c>
      <c r="I608" s="13"/>
      <c r="J608" s="8">
        <f t="shared" si="10"/>
        <v>2259447</v>
      </c>
    </row>
    <row r="609" spans="1:10" x14ac:dyDescent="0.2">
      <c r="A609">
        <v>5103370</v>
      </c>
      <c r="B609" s="8">
        <v>2016</v>
      </c>
      <c r="C609" s="8" t="s">
        <v>309</v>
      </c>
      <c r="D609" s="8" t="s">
        <v>310</v>
      </c>
      <c r="E609" s="8" t="s">
        <v>311</v>
      </c>
      <c r="F609" t="s">
        <v>174</v>
      </c>
      <c r="G609" t="s">
        <v>141</v>
      </c>
      <c r="H609" s="13">
        <v>2202339</v>
      </c>
      <c r="I609" s="13"/>
      <c r="J609" s="8">
        <f t="shared" si="10"/>
        <v>2202339</v>
      </c>
    </row>
    <row r="610" spans="1:10" x14ac:dyDescent="0.2">
      <c r="A610">
        <v>5103370</v>
      </c>
      <c r="B610" s="8">
        <v>2017</v>
      </c>
      <c r="C610" s="8" t="s">
        <v>309</v>
      </c>
      <c r="D610" s="8" t="s">
        <v>310</v>
      </c>
      <c r="E610" s="8" t="s">
        <v>311</v>
      </c>
      <c r="F610" t="s">
        <v>174</v>
      </c>
      <c r="G610" t="s">
        <v>141</v>
      </c>
      <c r="H610" s="13">
        <v>2327351</v>
      </c>
      <c r="I610" s="13"/>
      <c r="J610" s="8">
        <f t="shared" si="10"/>
        <v>2327351</v>
      </c>
    </row>
    <row r="611" spans="1:10" x14ac:dyDescent="0.2">
      <c r="A611">
        <v>5103370</v>
      </c>
      <c r="B611" s="8">
        <v>2018</v>
      </c>
      <c r="C611" s="8" t="s">
        <v>309</v>
      </c>
      <c r="D611" s="8" t="s">
        <v>310</v>
      </c>
      <c r="E611" s="8" t="s">
        <v>311</v>
      </c>
      <c r="F611" t="s">
        <v>174</v>
      </c>
      <c r="G611" t="s">
        <v>141</v>
      </c>
      <c r="H611" s="13">
        <v>2649911</v>
      </c>
      <c r="I611" s="13"/>
      <c r="J611" s="8">
        <f t="shared" si="10"/>
        <v>2649911</v>
      </c>
    </row>
    <row r="612" spans="1:10" x14ac:dyDescent="0.2">
      <c r="A612">
        <v>5103370</v>
      </c>
      <c r="B612" s="8">
        <v>2019</v>
      </c>
      <c r="C612" s="8" t="s">
        <v>309</v>
      </c>
      <c r="D612" s="8" t="s">
        <v>310</v>
      </c>
      <c r="E612" s="8" t="s">
        <v>311</v>
      </c>
      <c r="F612" t="s">
        <v>174</v>
      </c>
      <c r="G612" t="s">
        <v>141</v>
      </c>
      <c r="H612" s="13">
        <v>2674582</v>
      </c>
      <c r="I612" s="13"/>
      <c r="J612" s="8">
        <f t="shared" si="10"/>
        <v>2674582</v>
      </c>
    </row>
    <row r="613" spans="1:10" x14ac:dyDescent="0.2">
      <c r="A613">
        <v>5103370</v>
      </c>
      <c r="B613" s="8">
        <v>2020</v>
      </c>
      <c r="C613" s="8" t="s">
        <v>309</v>
      </c>
      <c r="D613" s="8" t="s">
        <v>310</v>
      </c>
      <c r="E613" s="8" t="s">
        <v>311</v>
      </c>
      <c r="F613" t="s">
        <v>174</v>
      </c>
      <c r="G613" t="s">
        <v>141</v>
      </c>
      <c r="H613" s="13">
        <v>2722770</v>
      </c>
      <c r="I613" s="13"/>
      <c r="J613" s="8">
        <f t="shared" si="10"/>
        <v>2722770</v>
      </c>
    </row>
    <row r="614" spans="1:10" x14ac:dyDescent="0.2">
      <c r="A614">
        <v>5103370</v>
      </c>
      <c r="B614" s="8">
        <v>2021</v>
      </c>
      <c r="C614" s="8" t="s">
        <v>309</v>
      </c>
      <c r="D614" s="8" t="s">
        <v>310</v>
      </c>
      <c r="E614" s="8" t="s">
        <v>311</v>
      </c>
      <c r="F614" t="s">
        <v>174</v>
      </c>
      <c r="G614" t="s">
        <v>141</v>
      </c>
      <c r="H614" s="13">
        <v>2838183</v>
      </c>
      <c r="I614" s="13">
        <v>123069</v>
      </c>
      <c r="J614" s="8">
        <f t="shared" si="10"/>
        <v>2961252</v>
      </c>
    </row>
    <row r="615" spans="1:10" x14ac:dyDescent="0.2">
      <c r="A615">
        <v>5103370</v>
      </c>
      <c r="B615" s="8">
        <v>2022</v>
      </c>
      <c r="C615" s="8" t="s">
        <v>309</v>
      </c>
      <c r="D615" s="8" t="s">
        <v>310</v>
      </c>
      <c r="E615" s="8" t="s">
        <v>311</v>
      </c>
      <c r="F615" t="s">
        <v>174</v>
      </c>
      <c r="G615" t="s">
        <v>141</v>
      </c>
      <c r="H615" s="13">
        <v>2900587</v>
      </c>
      <c r="I615" s="13">
        <v>863730</v>
      </c>
      <c r="J615" s="8">
        <f t="shared" si="10"/>
        <v>3764317</v>
      </c>
    </row>
    <row r="616" spans="1:10" x14ac:dyDescent="0.2">
      <c r="A616">
        <v>5103370</v>
      </c>
      <c r="B616" s="8">
        <v>2023</v>
      </c>
      <c r="C616" s="8" t="s">
        <v>309</v>
      </c>
      <c r="D616" s="8" t="s">
        <v>310</v>
      </c>
      <c r="E616" s="8" t="s">
        <v>311</v>
      </c>
      <c r="F616" t="s">
        <v>174</v>
      </c>
      <c r="G616" t="s">
        <v>141</v>
      </c>
      <c r="H616" s="13">
        <v>3031432</v>
      </c>
      <c r="I616" s="13">
        <v>283176</v>
      </c>
      <c r="J616" s="8">
        <f t="shared" si="10"/>
        <v>3314608</v>
      </c>
    </row>
    <row r="617" spans="1:10" x14ac:dyDescent="0.2">
      <c r="A617">
        <v>5103330</v>
      </c>
      <c r="B617" s="8">
        <v>2015</v>
      </c>
      <c r="C617" s="8" t="s">
        <v>309</v>
      </c>
      <c r="D617" s="8" t="s">
        <v>310</v>
      </c>
      <c r="E617" s="8" t="s">
        <v>311</v>
      </c>
      <c r="F617" t="s">
        <v>173</v>
      </c>
      <c r="G617" t="s">
        <v>140</v>
      </c>
      <c r="H617" s="13">
        <v>10238755</v>
      </c>
      <c r="I617" s="13"/>
      <c r="J617" s="8">
        <f t="shared" si="10"/>
        <v>10238755</v>
      </c>
    </row>
    <row r="618" spans="1:10" x14ac:dyDescent="0.2">
      <c r="A618">
        <v>5103330</v>
      </c>
      <c r="B618" s="8">
        <v>2016</v>
      </c>
      <c r="C618" s="8" t="s">
        <v>309</v>
      </c>
      <c r="D618" s="8" t="s">
        <v>310</v>
      </c>
      <c r="E618" s="8" t="s">
        <v>311</v>
      </c>
      <c r="F618" t="s">
        <v>173</v>
      </c>
      <c r="G618" t="s">
        <v>140</v>
      </c>
      <c r="H618" s="13">
        <v>10159703</v>
      </c>
      <c r="I618" s="13"/>
      <c r="J618" s="8">
        <f t="shared" si="10"/>
        <v>10159703</v>
      </c>
    </row>
    <row r="619" spans="1:10" x14ac:dyDescent="0.2">
      <c r="A619">
        <v>5103330</v>
      </c>
      <c r="B619" s="8">
        <v>2017</v>
      </c>
      <c r="C619" s="8" t="s">
        <v>309</v>
      </c>
      <c r="D619" s="8" t="s">
        <v>310</v>
      </c>
      <c r="E619" s="8" t="s">
        <v>311</v>
      </c>
      <c r="F619" t="s">
        <v>173</v>
      </c>
      <c r="G619" t="s">
        <v>140</v>
      </c>
      <c r="H619" s="13">
        <v>11120197</v>
      </c>
      <c r="I619" s="13"/>
      <c r="J619" s="8">
        <f t="shared" si="10"/>
        <v>11120197</v>
      </c>
    </row>
    <row r="620" spans="1:10" x14ac:dyDescent="0.2">
      <c r="A620">
        <v>5103330</v>
      </c>
      <c r="B620" s="8">
        <v>2018</v>
      </c>
      <c r="C620" s="8" t="s">
        <v>309</v>
      </c>
      <c r="D620" s="8" t="s">
        <v>310</v>
      </c>
      <c r="E620" s="8" t="s">
        <v>311</v>
      </c>
      <c r="F620" t="s">
        <v>173</v>
      </c>
      <c r="G620" t="s">
        <v>140</v>
      </c>
      <c r="H620" s="13">
        <v>12382790</v>
      </c>
      <c r="I620" s="13"/>
      <c r="J620" s="8">
        <f t="shared" si="10"/>
        <v>12382790</v>
      </c>
    </row>
    <row r="621" spans="1:10" x14ac:dyDescent="0.2">
      <c r="A621">
        <v>5103330</v>
      </c>
      <c r="B621" s="8">
        <v>2019</v>
      </c>
      <c r="C621" s="8" t="s">
        <v>309</v>
      </c>
      <c r="D621" s="8" t="s">
        <v>310</v>
      </c>
      <c r="E621" s="8" t="s">
        <v>311</v>
      </c>
      <c r="F621" t="s">
        <v>173</v>
      </c>
      <c r="G621" t="s">
        <v>140</v>
      </c>
      <c r="H621" s="13">
        <v>11946567</v>
      </c>
      <c r="I621" s="13"/>
      <c r="J621" s="8">
        <f t="shared" si="10"/>
        <v>11946567</v>
      </c>
    </row>
    <row r="622" spans="1:10" x14ac:dyDescent="0.2">
      <c r="A622">
        <v>5103330</v>
      </c>
      <c r="B622" s="8">
        <v>2020</v>
      </c>
      <c r="C622" s="8" t="s">
        <v>309</v>
      </c>
      <c r="D622" s="8" t="s">
        <v>310</v>
      </c>
      <c r="E622" s="8" t="s">
        <v>311</v>
      </c>
      <c r="F622" t="s">
        <v>173</v>
      </c>
      <c r="G622" t="s">
        <v>140</v>
      </c>
      <c r="H622" s="13">
        <v>12301330</v>
      </c>
      <c r="I622" s="13"/>
      <c r="J622" s="8">
        <f t="shared" si="10"/>
        <v>12301330</v>
      </c>
    </row>
    <row r="623" spans="1:10" x14ac:dyDescent="0.2">
      <c r="A623">
        <v>5103330</v>
      </c>
      <c r="B623" s="8">
        <v>2021</v>
      </c>
      <c r="C623" s="8" t="s">
        <v>309</v>
      </c>
      <c r="D623" s="8" t="s">
        <v>310</v>
      </c>
      <c r="E623" s="8" t="s">
        <v>311</v>
      </c>
      <c r="F623" t="s">
        <v>173</v>
      </c>
      <c r="G623" t="s">
        <v>140</v>
      </c>
      <c r="H623" s="13">
        <v>13227782</v>
      </c>
      <c r="I623" s="13">
        <v>573575</v>
      </c>
      <c r="J623" s="8">
        <f t="shared" si="10"/>
        <v>13801357</v>
      </c>
    </row>
    <row r="624" spans="1:10" x14ac:dyDescent="0.2">
      <c r="A624">
        <v>5103330</v>
      </c>
      <c r="B624" s="8">
        <v>2022</v>
      </c>
      <c r="C624" s="8" t="s">
        <v>309</v>
      </c>
      <c r="D624" s="8" t="s">
        <v>310</v>
      </c>
      <c r="E624" s="8" t="s">
        <v>311</v>
      </c>
      <c r="F624" t="s">
        <v>173</v>
      </c>
      <c r="G624" t="s">
        <v>140</v>
      </c>
      <c r="H624" s="13">
        <v>13987831</v>
      </c>
      <c r="I624" s="13">
        <v>4165278</v>
      </c>
      <c r="J624" s="8">
        <f t="shared" si="10"/>
        <v>18153109</v>
      </c>
    </row>
    <row r="625" spans="1:10" x14ac:dyDescent="0.2">
      <c r="A625">
        <v>5103330</v>
      </c>
      <c r="B625" s="8">
        <v>2023</v>
      </c>
      <c r="C625" s="8" t="s">
        <v>309</v>
      </c>
      <c r="D625" s="8" t="s">
        <v>310</v>
      </c>
      <c r="E625" s="8" t="s">
        <v>311</v>
      </c>
      <c r="F625" t="s">
        <v>173</v>
      </c>
      <c r="G625" t="s">
        <v>140</v>
      </c>
      <c r="H625" s="13">
        <v>14839489</v>
      </c>
      <c r="I625" s="13">
        <v>1386199</v>
      </c>
      <c r="J625" s="8">
        <f t="shared" si="10"/>
        <v>16225688</v>
      </c>
    </row>
    <row r="626" spans="1:10" x14ac:dyDescent="0.2">
      <c r="A626">
        <v>5103270</v>
      </c>
      <c r="B626" s="8">
        <v>2015</v>
      </c>
      <c r="C626" s="8" t="s">
        <v>309</v>
      </c>
      <c r="D626" s="8" t="s">
        <v>310</v>
      </c>
      <c r="E626" s="8" t="s">
        <v>311</v>
      </c>
      <c r="F626" t="s">
        <v>172</v>
      </c>
      <c r="G626" t="s">
        <v>139</v>
      </c>
      <c r="H626" s="13">
        <v>907206</v>
      </c>
      <c r="I626" s="13"/>
      <c r="J626" s="8">
        <f t="shared" si="10"/>
        <v>907206</v>
      </c>
    </row>
    <row r="627" spans="1:10" x14ac:dyDescent="0.2">
      <c r="A627">
        <v>5103270</v>
      </c>
      <c r="B627" s="8">
        <v>2016</v>
      </c>
      <c r="C627" s="8" t="s">
        <v>309</v>
      </c>
      <c r="D627" s="8" t="s">
        <v>310</v>
      </c>
      <c r="E627" s="8" t="s">
        <v>311</v>
      </c>
      <c r="F627" t="s">
        <v>172</v>
      </c>
      <c r="G627" t="s">
        <v>139</v>
      </c>
      <c r="H627" s="13">
        <v>886567</v>
      </c>
      <c r="I627" s="13"/>
      <c r="J627" s="8">
        <f t="shared" si="10"/>
        <v>886567</v>
      </c>
    </row>
    <row r="628" spans="1:10" x14ac:dyDescent="0.2">
      <c r="A628">
        <v>5103270</v>
      </c>
      <c r="B628" s="8">
        <v>2017</v>
      </c>
      <c r="C628" s="8" t="s">
        <v>309</v>
      </c>
      <c r="D628" s="8" t="s">
        <v>310</v>
      </c>
      <c r="E628" s="8" t="s">
        <v>311</v>
      </c>
      <c r="F628" t="s">
        <v>172</v>
      </c>
      <c r="G628" t="s">
        <v>139</v>
      </c>
      <c r="H628" s="13">
        <v>950449</v>
      </c>
      <c r="I628" s="13"/>
      <c r="J628" s="8">
        <f t="shared" si="10"/>
        <v>950449</v>
      </c>
    </row>
    <row r="629" spans="1:10" x14ac:dyDescent="0.2">
      <c r="A629">
        <v>5103270</v>
      </c>
      <c r="B629" s="8">
        <v>2018</v>
      </c>
      <c r="C629" s="8" t="s">
        <v>309</v>
      </c>
      <c r="D629" s="8" t="s">
        <v>310</v>
      </c>
      <c r="E629" s="8" t="s">
        <v>311</v>
      </c>
      <c r="F629" t="s">
        <v>172</v>
      </c>
      <c r="G629" t="s">
        <v>139</v>
      </c>
      <c r="H629" s="13">
        <v>1052934</v>
      </c>
      <c r="I629" s="13"/>
      <c r="J629" s="8">
        <f t="shared" si="10"/>
        <v>1052934</v>
      </c>
    </row>
    <row r="630" spans="1:10" x14ac:dyDescent="0.2">
      <c r="A630">
        <v>5103270</v>
      </c>
      <c r="B630" s="8">
        <v>2019</v>
      </c>
      <c r="C630" s="8" t="s">
        <v>309</v>
      </c>
      <c r="D630" s="8" t="s">
        <v>310</v>
      </c>
      <c r="E630" s="8" t="s">
        <v>311</v>
      </c>
      <c r="F630" t="s">
        <v>172</v>
      </c>
      <c r="G630" t="s">
        <v>139</v>
      </c>
      <c r="H630" s="13">
        <v>1076144</v>
      </c>
      <c r="I630" s="13"/>
      <c r="J630" s="8">
        <f t="shared" si="10"/>
        <v>1076144</v>
      </c>
    </row>
    <row r="631" spans="1:10" x14ac:dyDescent="0.2">
      <c r="A631">
        <v>5103270</v>
      </c>
      <c r="B631" s="8">
        <v>2020</v>
      </c>
      <c r="C631" s="8" t="s">
        <v>309</v>
      </c>
      <c r="D631" s="8" t="s">
        <v>310</v>
      </c>
      <c r="E631" s="8" t="s">
        <v>311</v>
      </c>
      <c r="F631" t="s">
        <v>172</v>
      </c>
      <c r="G631" t="s">
        <v>139</v>
      </c>
      <c r="H631" s="13">
        <v>1108639</v>
      </c>
      <c r="I631" s="13"/>
      <c r="J631" s="8">
        <f t="shared" si="10"/>
        <v>1108639</v>
      </c>
    </row>
    <row r="632" spans="1:10" x14ac:dyDescent="0.2">
      <c r="A632">
        <v>5103270</v>
      </c>
      <c r="B632" s="8">
        <v>2021</v>
      </c>
      <c r="C632" s="8" t="s">
        <v>309</v>
      </c>
      <c r="D632" s="8" t="s">
        <v>310</v>
      </c>
      <c r="E632" s="8" t="s">
        <v>311</v>
      </c>
      <c r="F632" t="s">
        <v>172</v>
      </c>
      <c r="G632" t="s">
        <v>139</v>
      </c>
      <c r="H632" s="13">
        <v>1186096</v>
      </c>
      <c r="I632" s="13">
        <v>51431</v>
      </c>
      <c r="J632" s="8">
        <f t="shared" si="10"/>
        <v>1237527</v>
      </c>
    </row>
    <row r="633" spans="1:10" x14ac:dyDescent="0.2">
      <c r="A633">
        <v>5103270</v>
      </c>
      <c r="B633" s="8">
        <v>2022</v>
      </c>
      <c r="C633" s="8" t="s">
        <v>309</v>
      </c>
      <c r="D633" s="8" t="s">
        <v>310</v>
      </c>
      <c r="E633" s="8" t="s">
        <v>311</v>
      </c>
      <c r="F633" t="s">
        <v>172</v>
      </c>
      <c r="G633" t="s">
        <v>139</v>
      </c>
      <c r="H633" s="13">
        <v>1289462</v>
      </c>
      <c r="I633" s="13">
        <v>383978</v>
      </c>
      <c r="J633" s="8">
        <f t="shared" si="10"/>
        <v>1673440</v>
      </c>
    </row>
    <row r="634" spans="1:10" x14ac:dyDescent="0.2">
      <c r="A634">
        <v>5103270</v>
      </c>
      <c r="B634" s="8">
        <v>2023</v>
      </c>
      <c r="C634" s="8" t="s">
        <v>309</v>
      </c>
      <c r="D634" s="8" t="s">
        <v>310</v>
      </c>
      <c r="E634" s="8" t="s">
        <v>311</v>
      </c>
      <c r="F634" t="s">
        <v>172</v>
      </c>
      <c r="G634" t="s">
        <v>139</v>
      </c>
      <c r="H634" s="13">
        <v>1370947</v>
      </c>
      <c r="I634" s="13">
        <v>128066</v>
      </c>
      <c r="J634" s="8">
        <f t="shared" si="10"/>
        <v>1499013</v>
      </c>
    </row>
    <row r="635" spans="1:10" x14ac:dyDescent="0.2">
      <c r="A635">
        <v>5103210</v>
      </c>
      <c r="B635" s="8">
        <v>2015</v>
      </c>
      <c r="C635" s="8" t="s">
        <v>309</v>
      </c>
      <c r="D635" s="8" t="s">
        <v>310</v>
      </c>
      <c r="E635" s="8" t="s">
        <v>311</v>
      </c>
      <c r="F635" t="s">
        <v>171</v>
      </c>
      <c r="G635" t="s">
        <v>138</v>
      </c>
      <c r="H635" s="13">
        <v>803179</v>
      </c>
      <c r="I635" s="13"/>
      <c r="J635" s="8">
        <f t="shared" si="10"/>
        <v>803179</v>
      </c>
    </row>
    <row r="636" spans="1:10" x14ac:dyDescent="0.2">
      <c r="A636">
        <v>5103210</v>
      </c>
      <c r="B636" s="8">
        <v>2016</v>
      </c>
      <c r="C636" s="8" t="s">
        <v>309</v>
      </c>
      <c r="D636" s="8" t="s">
        <v>310</v>
      </c>
      <c r="E636" s="8" t="s">
        <v>311</v>
      </c>
      <c r="F636" t="s">
        <v>171</v>
      </c>
      <c r="G636" t="s">
        <v>138</v>
      </c>
      <c r="H636" s="13">
        <v>791584</v>
      </c>
      <c r="I636" s="13"/>
      <c r="J636" s="8">
        <f t="shared" si="10"/>
        <v>791584</v>
      </c>
    </row>
    <row r="637" spans="1:10" x14ac:dyDescent="0.2">
      <c r="A637">
        <v>5103210</v>
      </c>
      <c r="B637" s="8">
        <v>2017</v>
      </c>
      <c r="C637" s="8" t="s">
        <v>309</v>
      </c>
      <c r="D637" s="8" t="s">
        <v>310</v>
      </c>
      <c r="E637" s="8" t="s">
        <v>311</v>
      </c>
      <c r="F637" t="s">
        <v>171</v>
      </c>
      <c r="G637" t="s">
        <v>138</v>
      </c>
      <c r="H637" s="13">
        <v>828847</v>
      </c>
      <c r="I637" s="13"/>
      <c r="J637" s="8">
        <f t="shared" si="10"/>
        <v>828847</v>
      </c>
    </row>
    <row r="638" spans="1:10" x14ac:dyDescent="0.2">
      <c r="A638">
        <v>5103210</v>
      </c>
      <c r="B638" s="8">
        <v>2018</v>
      </c>
      <c r="C638" s="8" t="s">
        <v>309</v>
      </c>
      <c r="D638" s="8" t="s">
        <v>310</v>
      </c>
      <c r="E638" s="8" t="s">
        <v>311</v>
      </c>
      <c r="F638" t="s">
        <v>171</v>
      </c>
      <c r="G638" t="s">
        <v>138</v>
      </c>
      <c r="H638" s="13">
        <v>902642</v>
      </c>
      <c r="I638" s="13"/>
      <c r="J638" s="8">
        <f t="shared" si="10"/>
        <v>902642</v>
      </c>
    </row>
    <row r="639" spans="1:10" x14ac:dyDescent="0.2">
      <c r="A639">
        <v>5103210</v>
      </c>
      <c r="B639" s="8">
        <v>2019</v>
      </c>
      <c r="C639" s="8" t="s">
        <v>309</v>
      </c>
      <c r="D639" s="8" t="s">
        <v>310</v>
      </c>
      <c r="E639" s="8" t="s">
        <v>311</v>
      </c>
      <c r="F639" t="s">
        <v>171</v>
      </c>
      <c r="G639" t="s">
        <v>138</v>
      </c>
      <c r="H639" s="13">
        <v>886523</v>
      </c>
      <c r="I639" s="13"/>
      <c r="J639" s="8">
        <f t="shared" si="10"/>
        <v>886523</v>
      </c>
    </row>
    <row r="640" spans="1:10" x14ac:dyDescent="0.2">
      <c r="A640">
        <v>5103210</v>
      </c>
      <c r="B640" s="8">
        <v>2020</v>
      </c>
      <c r="C640" s="8" t="s">
        <v>309</v>
      </c>
      <c r="D640" s="8" t="s">
        <v>310</v>
      </c>
      <c r="E640" s="8" t="s">
        <v>311</v>
      </c>
      <c r="F640" t="s">
        <v>171</v>
      </c>
      <c r="G640" t="s">
        <v>138</v>
      </c>
      <c r="H640" s="13">
        <v>909878</v>
      </c>
      <c r="I640" s="13"/>
      <c r="J640" s="8">
        <f t="shared" si="10"/>
        <v>909878</v>
      </c>
    </row>
    <row r="641" spans="1:10" x14ac:dyDescent="0.2">
      <c r="A641">
        <v>5103210</v>
      </c>
      <c r="B641" s="8">
        <v>2021</v>
      </c>
      <c r="C641" s="8" t="s">
        <v>309</v>
      </c>
      <c r="D641" s="8" t="s">
        <v>310</v>
      </c>
      <c r="E641" s="8" t="s">
        <v>311</v>
      </c>
      <c r="F641" t="s">
        <v>171</v>
      </c>
      <c r="G641" t="s">
        <v>138</v>
      </c>
      <c r="H641" s="13">
        <v>992623</v>
      </c>
      <c r="I641" s="13">
        <v>43039</v>
      </c>
      <c r="J641" s="8">
        <f t="shared" si="10"/>
        <v>1035662</v>
      </c>
    </row>
    <row r="642" spans="1:10" x14ac:dyDescent="0.2">
      <c r="A642">
        <v>5103210</v>
      </c>
      <c r="B642" s="8">
        <v>2022</v>
      </c>
      <c r="C642" s="8" t="s">
        <v>309</v>
      </c>
      <c r="D642" s="8" t="s">
        <v>310</v>
      </c>
      <c r="E642" s="8" t="s">
        <v>311</v>
      </c>
      <c r="F642" t="s">
        <v>171</v>
      </c>
      <c r="G642" t="s">
        <v>138</v>
      </c>
      <c r="H642" s="13">
        <v>1041212</v>
      </c>
      <c r="I642" s="13">
        <v>310058</v>
      </c>
      <c r="J642" s="8">
        <f t="shared" si="10"/>
        <v>1351270</v>
      </c>
    </row>
    <row r="643" spans="1:10" x14ac:dyDescent="0.2">
      <c r="A643">
        <v>5103210</v>
      </c>
      <c r="B643" s="8">
        <v>2023</v>
      </c>
      <c r="C643" s="8" t="s">
        <v>309</v>
      </c>
      <c r="D643" s="8" t="s">
        <v>310</v>
      </c>
      <c r="E643" s="8" t="s">
        <v>311</v>
      </c>
      <c r="F643" t="s">
        <v>171</v>
      </c>
      <c r="G643" t="s">
        <v>138</v>
      </c>
      <c r="H643" s="13">
        <v>1125032</v>
      </c>
      <c r="I643" s="13">
        <v>105093</v>
      </c>
      <c r="J643" s="8">
        <f t="shared" ref="J643:J706" si="11">SUM(H643:I643)</f>
        <v>1230125</v>
      </c>
    </row>
    <row r="644" spans="1:10" x14ac:dyDescent="0.2">
      <c r="A644">
        <v>5103150</v>
      </c>
      <c r="B644" s="8">
        <v>2015</v>
      </c>
      <c r="C644" s="8" t="s">
        <v>309</v>
      </c>
      <c r="D644" s="8" t="s">
        <v>310</v>
      </c>
      <c r="E644" s="8" t="s">
        <v>311</v>
      </c>
      <c r="F644" t="s">
        <v>170</v>
      </c>
      <c r="G644" t="s">
        <v>137</v>
      </c>
      <c r="H644" s="13">
        <v>3100631</v>
      </c>
      <c r="I644" s="13"/>
      <c r="J644" s="8">
        <f t="shared" si="11"/>
        <v>3100631</v>
      </c>
    </row>
    <row r="645" spans="1:10" x14ac:dyDescent="0.2">
      <c r="A645">
        <v>5103150</v>
      </c>
      <c r="B645" s="8">
        <v>2016</v>
      </c>
      <c r="C645" s="8" t="s">
        <v>309</v>
      </c>
      <c r="D645" s="8" t="s">
        <v>310</v>
      </c>
      <c r="E645" s="8" t="s">
        <v>311</v>
      </c>
      <c r="F645" t="s">
        <v>170</v>
      </c>
      <c r="G645" t="s">
        <v>137</v>
      </c>
      <c r="H645" s="13">
        <v>3012960</v>
      </c>
      <c r="I645" s="13"/>
      <c r="J645" s="8">
        <f t="shared" si="11"/>
        <v>3012960</v>
      </c>
    </row>
    <row r="646" spans="1:10" x14ac:dyDescent="0.2">
      <c r="A646">
        <v>5103150</v>
      </c>
      <c r="B646" s="8">
        <v>2017</v>
      </c>
      <c r="C646" s="8" t="s">
        <v>309</v>
      </c>
      <c r="D646" s="8" t="s">
        <v>310</v>
      </c>
      <c r="E646" s="8" t="s">
        <v>311</v>
      </c>
      <c r="F646" t="s">
        <v>170</v>
      </c>
      <c r="G646" t="s">
        <v>137</v>
      </c>
      <c r="H646" s="13">
        <v>3142158</v>
      </c>
      <c r="I646" s="13"/>
      <c r="J646" s="8">
        <f t="shared" si="11"/>
        <v>3142158</v>
      </c>
    </row>
    <row r="647" spans="1:10" x14ac:dyDescent="0.2">
      <c r="A647">
        <v>5103150</v>
      </c>
      <c r="B647" s="8">
        <v>2018</v>
      </c>
      <c r="C647" s="8" t="s">
        <v>309</v>
      </c>
      <c r="D647" s="8" t="s">
        <v>310</v>
      </c>
      <c r="E647" s="8" t="s">
        <v>311</v>
      </c>
      <c r="F647" t="s">
        <v>170</v>
      </c>
      <c r="G647" t="s">
        <v>137</v>
      </c>
      <c r="H647" s="13">
        <v>3467473</v>
      </c>
      <c r="I647" s="13"/>
      <c r="J647" s="8">
        <f t="shared" si="11"/>
        <v>3467473</v>
      </c>
    </row>
    <row r="648" spans="1:10" x14ac:dyDescent="0.2">
      <c r="A648">
        <v>5103150</v>
      </c>
      <c r="B648" s="8">
        <v>2019</v>
      </c>
      <c r="C648" s="8" t="s">
        <v>309</v>
      </c>
      <c r="D648" s="8" t="s">
        <v>310</v>
      </c>
      <c r="E648" s="8" t="s">
        <v>311</v>
      </c>
      <c r="F648" t="s">
        <v>170</v>
      </c>
      <c r="G648" t="s">
        <v>137</v>
      </c>
      <c r="H648" s="13">
        <v>3309996</v>
      </c>
      <c r="I648" s="13"/>
      <c r="J648" s="8">
        <f t="shared" si="11"/>
        <v>3309996</v>
      </c>
    </row>
    <row r="649" spans="1:10" x14ac:dyDescent="0.2">
      <c r="A649">
        <v>5103150</v>
      </c>
      <c r="B649" s="8">
        <v>2020</v>
      </c>
      <c r="C649" s="8" t="s">
        <v>309</v>
      </c>
      <c r="D649" s="8" t="s">
        <v>310</v>
      </c>
      <c r="E649" s="8" t="s">
        <v>311</v>
      </c>
      <c r="F649" t="s">
        <v>170</v>
      </c>
      <c r="G649" t="s">
        <v>137</v>
      </c>
      <c r="H649" s="13">
        <v>3296192</v>
      </c>
      <c r="I649" s="13"/>
      <c r="J649" s="8">
        <f t="shared" si="11"/>
        <v>3296192</v>
      </c>
    </row>
    <row r="650" spans="1:10" x14ac:dyDescent="0.2">
      <c r="A650">
        <v>5103150</v>
      </c>
      <c r="B650" s="8">
        <v>2021</v>
      </c>
      <c r="C650" s="8" t="s">
        <v>309</v>
      </c>
      <c r="D650" s="8" t="s">
        <v>310</v>
      </c>
      <c r="E650" s="8" t="s">
        <v>311</v>
      </c>
      <c r="F650" t="s">
        <v>170</v>
      </c>
      <c r="G650" t="s">
        <v>137</v>
      </c>
      <c r="H650" s="13">
        <v>3509334</v>
      </c>
      <c r="I650" s="13">
        <v>152171</v>
      </c>
      <c r="J650" s="8">
        <f t="shared" si="11"/>
        <v>3661505</v>
      </c>
    </row>
    <row r="651" spans="1:10" x14ac:dyDescent="0.2">
      <c r="A651">
        <v>5103150</v>
      </c>
      <c r="B651" s="8">
        <v>2022</v>
      </c>
      <c r="C651" s="8" t="s">
        <v>309</v>
      </c>
      <c r="D651" s="8" t="s">
        <v>310</v>
      </c>
      <c r="E651" s="8" t="s">
        <v>311</v>
      </c>
      <c r="F651" t="s">
        <v>170</v>
      </c>
      <c r="G651" t="s">
        <v>137</v>
      </c>
      <c r="H651" s="13">
        <v>3742309</v>
      </c>
      <c r="I651" s="13">
        <v>1114377</v>
      </c>
      <c r="J651" s="8">
        <f t="shared" si="11"/>
        <v>4856686</v>
      </c>
    </row>
    <row r="652" spans="1:10" x14ac:dyDescent="0.2">
      <c r="A652">
        <v>5103150</v>
      </c>
      <c r="B652" s="8">
        <v>2023</v>
      </c>
      <c r="C652" s="8" t="s">
        <v>309</v>
      </c>
      <c r="D652" s="8" t="s">
        <v>310</v>
      </c>
      <c r="E652" s="8" t="s">
        <v>311</v>
      </c>
      <c r="F652" t="s">
        <v>170</v>
      </c>
      <c r="G652" t="s">
        <v>137</v>
      </c>
      <c r="H652" s="13">
        <v>4191215</v>
      </c>
      <c r="I652" s="13">
        <v>391513</v>
      </c>
      <c r="J652" s="8">
        <f t="shared" si="11"/>
        <v>4582728</v>
      </c>
    </row>
    <row r="653" spans="1:10" x14ac:dyDescent="0.2">
      <c r="A653">
        <v>5103130</v>
      </c>
      <c r="B653" s="8">
        <v>2015</v>
      </c>
      <c r="C653" s="8" t="s">
        <v>309</v>
      </c>
      <c r="D653" s="8" t="s">
        <v>310</v>
      </c>
      <c r="E653" s="8" t="s">
        <v>311</v>
      </c>
      <c r="F653" t="s">
        <v>169</v>
      </c>
      <c r="G653" t="s">
        <v>136</v>
      </c>
      <c r="H653" s="13">
        <v>69544430</v>
      </c>
      <c r="I653" s="13"/>
      <c r="J653" s="8">
        <f t="shared" si="11"/>
        <v>69544430</v>
      </c>
    </row>
    <row r="654" spans="1:10" x14ac:dyDescent="0.2">
      <c r="A654">
        <v>5103130</v>
      </c>
      <c r="B654" s="8">
        <v>2016</v>
      </c>
      <c r="C654" s="8" t="s">
        <v>309</v>
      </c>
      <c r="D654" s="8" t="s">
        <v>310</v>
      </c>
      <c r="E654" s="8" t="s">
        <v>311</v>
      </c>
      <c r="F654" t="s">
        <v>169</v>
      </c>
      <c r="G654" t="s">
        <v>136</v>
      </c>
      <c r="H654" s="13">
        <v>69742125</v>
      </c>
      <c r="I654" s="13"/>
      <c r="J654" s="8">
        <f t="shared" si="11"/>
        <v>69742125</v>
      </c>
    </row>
    <row r="655" spans="1:10" x14ac:dyDescent="0.2">
      <c r="A655">
        <v>5103130</v>
      </c>
      <c r="B655" s="8">
        <v>2017</v>
      </c>
      <c r="C655" s="8" t="s">
        <v>309</v>
      </c>
      <c r="D655" s="8" t="s">
        <v>310</v>
      </c>
      <c r="E655" s="8" t="s">
        <v>311</v>
      </c>
      <c r="F655" t="s">
        <v>169</v>
      </c>
      <c r="G655" t="s">
        <v>136</v>
      </c>
      <c r="H655" s="13">
        <v>74811537</v>
      </c>
      <c r="I655" s="13"/>
      <c r="J655" s="8">
        <f t="shared" si="11"/>
        <v>74811537</v>
      </c>
    </row>
    <row r="656" spans="1:10" x14ac:dyDescent="0.2">
      <c r="A656">
        <v>5103130</v>
      </c>
      <c r="B656" s="8">
        <v>2018</v>
      </c>
      <c r="C656" s="8" t="s">
        <v>309</v>
      </c>
      <c r="D656" s="8" t="s">
        <v>310</v>
      </c>
      <c r="E656" s="8" t="s">
        <v>311</v>
      </c>
      <c r="F656" t="s">
        <v>169</v>
      </c>
      <c r="G656" t="s">
        <v>136</v>
      </c>
      <c r="H656" s="13">
        <v>86368204</v>
      </c>
      <c r="I656" s="13"/>
      <c r="J656" s="8">
        <f t="shared" si="11"/>
        <v>86368204</v>
      </c>
    </row>
    <row r="657" spans="1:10" x14ac:dyDescent="0.2">
      <c r="A657">
        <v>5103130</v>
      </c>
      <c r="B657" s="8">
        <v>2019</v>
      </c>
      <c r="C657" s="8" t="s">
        <v>309</v>
      </c>
      <c r="D657" s="8" t="s">
        <v>310</v>
      </c>
      <c r="E657" s="8" t="s">
        <v>311</v>
      </c>
      <c r="F657" t="s">
        <v>169</v>
      </c>
      <c r="G657" t="s">
        <v>136</v>
      </c>
      <c r="H657" s="13">
        <v>84726879</v>
      </c>
      <c r="I657" s="13"/>
      <c r="J657" s="8">
        <f t="shared" si="11"/>
        <v>84726879</v>
      </c>
    </row>
    <row r="658" spans="1:10" x14ac:dyDescent="0.2">
      <c r="A658">
        <v>5103130</v>
      </c>
      <c r="B658" s="8">
        <v>2020</v>
      </c>
      <c r="C658" s="8" t="s">
        <v>309</v>
      </c>
      <c r="D658" s="8" t="s">
        <v>310</v>
      </c>
      <c r="E658" s="8" t="s">
        <v>311</v>
      </c>
      <c r="F658" t="s">
        <v>169</v>
      </c>
      <c r="G658" t="s">
        <v>136</v>
      </c>
      <c r="H658" s="13">
        <v>89834273</v>
      </c>
      <c r="I658" s="13"/>
      <c r="J658" s="8">
        <f t="shared" si="11"/>
        <v>89834273</v>
      </c>
    </row>
    <row r="659" spans="1:10" x14ac:dyDescent="0.2">
      <c r="A659">
        <v>5103130</v>
      </c>
      <c r="B659" s="8">
        <v>2021</v>
      </c>
      <c r="C659" s="8" t="s">
        <v>309</v>
      </c>
      <c r="D659" s="8" t="s">
        <v>310</v>
      </c>
      <c r="E659" s="8" t="s">
        <v>311</v>
      </c>
      <c r="F659" t="s">
        <v>169</v>
      </c>
      <c r="G659" t="s">
        <v>136</v>
      </c>
      <c r="H659" s="13">
        <v>97250676</v>
      </c>
      <c r="I659" s="13">
        <v>4216910</v>
      </c>
      <c r="J659" s="8">
        <f t="shared" si="11"/>
        <v>101467586</v>
      </c>
    </row>
    <row r="660" spans="1:10" x14ac:dyDescent="0.2">
      <c r="A660">
        <v>5103130</v>
      </c>
      <c r="B660" s="8">
        <v>2022</v>
      </c>
      <c r="C660" s="8" t="s">
        <v>309</v>
      </c>
      <c r="D660" s="8" t="s">
        <v>310</v>
      </c>
      <c r="E660" s="8" t="s">
        <v>311</v>
      </c>
      <c r="F660" t="s">
        <v>169</v>
      </c>
      <c r="G660" t="s">
        <v>136</v>
      </c>
      <c r="H660" s="13">
        <v>101869868</v>
      </c>
      <c r="I660" s="13">
        <v>30334668</v>
      </c>
      <c r="J660" s="8">
        <f t="shared" si="11"/>
        <v>132204536</v>
      </c>
    </row>
    <row r="661" spans="1:10" x14ac:dyDescent="0.2">
      <c r="A661">
        <v>5103130</v>
      </c>
      <c r="B661" s="8">
        <v>2023</v>
      </c>
      <c r="C661" s="8" t="s">
        <v>309</v>
      </c>
      <c r="D661" s="8" t="s">
        <v>310</v>
      </c>
      <c r="E661" s="8" t="s">
        <v>311</v>
      </c>
      <c r="F661" t="s">
        <v>169</v>
      </c>
      <c r="G661" t="s">
        <v>136</v>
      </c>
      <c r="H661" s="13">
        <v>113259491</v>
      </c>
      <c r="I661" s="13">
        <v>10579850</v>
      </c>
      <c r="J661" s="8">
        <f t="shared" si="11"/>
        <v>123839341</v>
      </c>
    </row>
    <row r="662" spans="1:10" x14ac:dyDescent="0.2">
      <c r="A662">
        <v>5103090</v>
      </c>
      <c r="B662" s="8">
        <v>2015</v>
      </c>
      <c r="C662" s="8" t="s">
        <v>309</v>
      </c>
      <c r="D662" s="8" t="s">
        <v>310</v>
      </c>
      <c r="E662" s="8" t="s">
        <v>311</v>
      </c>
      <c r="F662" t="s">
        <v>168</v>
      </c>
      <c r="G662" t="s">
        <v>135</v>
      </c>
      <c r="H662" s="13">
        <v>4469965</v>
      </c>
      <c r="I662" s="13"/>
      <c r="J662" s="8">
        <f t="shared" si="11"/>
        <v>4469965</v>
      </c>
    </row>
    <row r="663" spans="1:10" x14ac:dyDescent="0.2">
      <c r="A663">
        <v>5103090</v>
      </c>
      <c r="B663" s="8">
        <v>2016</v>
      </c>
      <c r="C663" s="8" t="s">
        <v>309</v>
      </c>
      <c r="D663" s="8" t="s">
        <v>310</v>
      </c>
      <c r="E663" s="8" t="s">
        <v>311</v>
      </c>
      <c r="F663" t="s">
        <v>168</v>
      </c>
      <c r="G663" t="s">
        <v>135</v>
      </c>
      <c r="H663" s="13">
        <v>4515745</v>
      </c>
      <c r="I663" s="13"/>
      <c r="J663" s="8">
        <f t="shared" si="11"/>
        <v>4515745</v>
      </c>
    </row>
    <row r="664" spans="1:10" x14ac:dyDescent="0.2">
      <c r="A664">
        <v>5103090</v>
      </c>
      <c r="B664" s="8">
        <v>2017</v>
      </c>
      <c r="C664" s="8" t="s">
        <v>309</v>
      </c>
      <c r="D664" s="8" t="s">
        <v>310</v>
      </c>
      <c r="E664" s="8" t="s">
        <v>311</v>
      </c>
      <c r="F664" t="s">
        <v>168</v>
      </c>
      <c r="G664" t="s">
        <v>135</v>
      </c>
      <c r="H664" s="13">
        <v>4667619</v>
      </c>
      <c r="I664" s="13"/>
      <c r="J664" s="8">
        <f t="shared" si="11"/>
        <v>4667619</v>
      </c>
    </row>
    <row r="665" spans="1:10" x14ac:dyDescent="0.2">
      <c r="A665">
        <v>5103090</v>
      </c>
      <c r="B665" s="8">
        <v>2018</v>
      </c>
      <c r="C665" s="8" t="s">
        <v>309</v>
      </c>
      <c r="D665" s="8" t="s">
        <v>310</v>
      </c>
      <c r="E665" s="8" t="s">
        <v>311</v>
      </c>
      <c r="F665" t="s">
        <v>168</v>
      </c>
      <c r="G665" t="s">
        <v>135</v>
      </c>
      <c r="H665" s="13">
        <v>5227338</v>
      </c>
      <c r="I665" s="13"/>
      <c r="J665" s="8">
        <f t="shared" si="11"/>
        <v>5227338</v>
      </c>
    </row>
    <row r="666" spans="1:10" x14ac:dyDescent="0.2">
      <c r="A666">
        <v>5103090</v>
      </c>
      <c r="B666" s="8">
        <v>2019</v>
      </c>
      <c r="C666" s="8" t="s">
        <v>309</v>
      </c>
      <c r="D666" s="8" t="s">
        <v>310</v>
      </c>
      <c r="E666" s="8" t="s">
        <v>311</v>
      </c>
      <c r="F666" t="s">
        <v>168</v>
      </c>
      <c r="G666" t="s">
        <v>135</v>
      </c>
      <c r="H666" s="13">
        <v>5014219</v>
      </c>
      <c r="I666" s="13"/>
      <c r="J666" s="8">
        <f t="shared" si="11"/>
        <v>5014219</v>
      </c>
    </row>
    <row r="667" spans="1:10" x14ac:dyDescent="0.2">
      <c r="A667">
        <v>5103090</v>
      </c>
      <c r="B667" s="8">
        <v>2020</v>
      </c>
      <c r="C667" s="8" t="s">
        <v>309</v>
      </c>
      <c r="D667" s="8" t="s">
        <v>310</v>
      </c>
      <c r="E667" s="8" t="s">
        <v>311</v>
      </c>
      <c r="F667" t="s">
        <v>168</v>
      </c>
      <c r="G667" t="s">
        <v>135</v>
      </c>
      <c r="H667" s="13">
        <v>5253823</v>
      </c>
      <c r="I667" s="13"/>
      <c r="J667" s="8">
        <f t="shared" si="11"/>
        <v>5253823</v>
      </c>
    </row>
    <row r="668" spans="1:10" x14ac:dyDescent="0.2">
      <c r="A668">
        <v>5103090</v>
      </c>
      <c r="B668" s="8">
        <v>2021</v>
      </c>
      <c r="C668" s="8" t="s">
        <v>309</v>
      </c>
      <c r="D668" s="8" t="s">
        <v>310</v>
      </c>
      <c r="E668" s="8" t="s">
        <v>311</v>
      </c>
      <c r="F668" t="s">
        <v>168</v>
      </c>
      <c r="G668" t="s">
        <v>135</v>
      </c>
      <c r="H668" s="13">
        <v>5485844</v>
      </c>
      <c r="I668" s="13">
        <v>237875</v>
      </c>
      <c r="J668" s="8">
        <f t="shared" si="11"/>
        <v>5723719</v>
      </c>
    </row>
    <row r="669" spans="1:10" x14ac:dyDescent="0.2">
      <c r="A669">
        <v>5103090</v>
      </c>
      <c r="B669" s="8">
        <v>2022</v>
      </c>
      <c r="C669" s="8" t="s">
        <v>309</v>
      </c>
      <c r="D669" s="8" t="s">
        <v>310</v>
      </c>
      <c r="E669" s="8" t="s">
        <v>311</v>
      </c>
      <c r="F669" t="s">
        <v>168</v>
      </c>
      <c r="G669" t="s">
        <v>135</v>
      </c>
      <c r="H669" s="13">
        <v>5657203</v>
      </c>
      <c r="I669" s="13">
        <v>1684593</v>
      </c>
      <c r="J669" s="8">
        <f t="shared" si="11"/>
        <v>7341796</v>
      </c>
    </row>
    <row r="670" spans="1:10" x14ac:dyDescent="0.2">
      <c r="A670">
        <v>5103090</v>
      </c>
      <c r="B670" s="8">
        <v>2023</v>
      </c>
      <c r="C670" s="8" t="s">
        <v>309</v>
      </c>
      <c r="D670" s="8" t="s">
        <v>310</v>
      </c>
      <c r="E670" s="8" t="s">
        <v>311</v>
      </c>
      <c r="F670" t="s">
        <v>168</v>
      </c>
      <c r="G670" t="s">
        <v>135</v>
      </c>
      <c r="H670" s="13">
        <v>5958351</v>
      </c>
      <c r="I670" s="13">
        <v>556591</v>
      </c>
      <c r="J670" s="8">
        <f t="shared" si="11"/>
        <v>6514942</v>
      </c>
    </row>
    <row r="671" spans="1:10" x14ac:dyDescent="0.2">
      <c r="A671">
        <v>5103060</v>
      </c>
      <c r="B671" s="8">
        <v>2015</v>
      </c>
      <c r="C671" s="8" t="s">
        <v>309</v>
      </c>
      <c r="D671" s="8" t="s">
        <v>310</v>
      </c>
      <c r="E671" s="8" t="s">
        <v>311</v>
      </c>
      <c r="F671" t="s">
        <v>167</v>
      </c>
      <c r="G671" t="s">
        <v>134</v>
      </c>
      <c r="H671" s="13">
        <v>1739623</v>
      </c>
      <c r="I671" s="13"/>
      <c r="J671" s="8">
        <f t="shared" si="11"/>
        <v>1739623</v>
      </c>
    </row>
    <row r="672" spans="1:10" x14ac:dyDescent="0.2">
      <c r="A672">
        <v>5103060</v>
      </c>
      <c r="B672" s="8">
        <v>2016</v>
      </c>
      <c r="C672" s="8" t="s">
        <v>309</v>
      </c>
      <c r="D672" s="8" t="s">
        <v>310</v>
      </c>
      <c r="E672" s="8" t="s">
        <v>311</v>
      </c>
      <c r="F672" t="s">
        <v>167</v>
      </c>
      <c r="G672" t="s">
        <v>134</v>
      </c>
      <c r="H672" s="13">
        <v>1657572</v>
      </c>
      <c r="I672" s="13"/>
      <c r="J672" s="8">
        <f t="shared" si="11"/>
        <v>1657572</v>
      </c>
    </row>
    <row r="673" spans="1:10" x14ac:dyDescent="0.2">
      <c r="A673">
        <v>5103060</v>
      </c>
      <c r="B673" s="8">
        <v>2017</v>
      </c>
      <c r="C673" s="8" t="s">
        <v>309</v>
      </c>
      <c r="D673" s="8" t="s">
        <v>310</v>
      </c>
      <c r="E673" s="8" t="s">
        <v>311</v>
      </c>
      <c r="F673" t="s">
        <v>167</v>
      </c>
      <c r="G673" t="s">
        <v>134</v>
      </c>
      <c r="H673" s="13">
        <v>1661567</v>
      </c>
      <c r="I673" s="13"/>
      <c r="J673" s="8">
        <f t="shared" si="11"/>
        <v>1661567</v>
      </c>
    </row>
    <row r="674" spans="1:10" x14ac:dyDescent="0.2">
      <c r="A674">
        <v>5103060</v>
      </c>
      <c r="B674" s="8">
        <v>2018</v>
      </c>
      <c r="C674" s="8" t="s">
        <v>309</v>
      </c>
      <c r="D674" s="8" t="s">
        <v>310</v>
      </c>
      <c r="E674" s="8" t="s">
        <v>311</v>
      </c>
      <c r="F674" t="s">
        <v>167</v>
      </c>
      <c r="G674" t="s">
        <v>134</v>
      </c>
      <c r="H674" s="13">
        <v>1901980</v>
      </c>
      <c r="I674" s="13"/>
      <c r="J674" s="8">
        <f t="shared" si="11"/>
        <v>1901980</v>
      </c>
    </row>
    <row r="675" spans="1:10" x14ac:dyDescent="0.2">
      <c r="A675">
        <v>5103060</v>
      </c>
      <c r="B675" s="8">
        <v>2019</v>
      </c>
      <c r="C675" s="8" t="s">
        <v>309</v>
      </c>
      <c r="D675" s="8" t="s">
        <v>310</v>
      </c>
      <c r="E675" s="8" t="s">
        <v>311</v>
      </c>
      <c r="F675" t="s">
        <v>167</v>
      </c>
      <c r="G675" t="s">
        <v>134</v>
      </c>
      <c r="H675" s="13">
        <v>1785470</v>
      </c>
      <c r="I675" s="13"/>
      <c r="J675" s="8">
        <f t="shared" si="11"/>
        <v>1785470</v>
      </c>
    </row>
    <row r="676" spans="1:10" x14ac:dyDescent="0.2">
      <c r="A676">
        <v>5103060</v>
      </c>
      <c r="B676" s="8">
        <v>2020</v>
      </c>
      <c r="C676" s="8" t="s">
        <v>309</v>
      </c>
      <c r="D676" s="8" t="s">
        <v>310</v>
      </c>
      <c r="E676" s="8" t="s">
        <v>311</v>
      </c>
      <c r="F676" t="s">
        <v>167</v>
      </c>
      <c r="G676" t="s">
        <v>134</v>
      </c>
      <c r="H676" s="13">
        <v>1772572</v>
      </c>
      <c r="I676" s="13"/>
      <c r="J676" s="8">
        <f t="shared" si="11"/>
        <v>1772572</v>
      </c>
    </row>
    <row r="677" spans="1:10" x14ac:dyDescent="0.2">
      <c r="A677">
        <v>5103060</v>
      </c>
      <c r="B677" s="8">
        <v>2021</v>
      </c>
      <c r="C677" s="8" t="s">
        <v>309</v>
      </c>
      <c r="D677" s="8" t="s">
        <v>310</v>
      </c>
      <c r="E677" s="8" t="s">
        <v>311</v>
      </c>
      <c r="F677" t="s">
        <v>167</v>
      </c>
      <c r="G677" t="s">
        <v>134</v>
      </c>
      <c r="H677" s="13">
        <v>1817171</v>
      </c>
      <c r="I677" s="13">
        <v>78797</v>
      </c>
      <c r="J677" s="8">
        <f t="shared" si="11"/>
        <v>1895968</v>
      </c>
    </row>
    <row r="678" spans="1:10" x14ac:dyDescent="0.2">
      <c r="A678">
        <v>5103060</v>
      </c>
      <c r="B678" s="8">
        <v>2022</v>
      </c>
      <c r="C678" s="8" t="s">
        <v>309</v>
      </c>
      <c r="D678" s="8" t="s">
        <v>310</v>
      </c>
      <c r="E678" s="8" t="s">
        <v>311</v>
      </c>
      <c r="F678" t="s">
        <v>167</v>
      </c>
      <c r="G678" t="s">
        <v>134</v>
      </c>
      <c r="H678" s="13">
        <v>1811417</v>
      </c>
      <c r="I678" s="13">
        <v>539383</v>
      </c>
      <c r="J678" s="8">
        <f t="shared" si="11"/>
        <v>2350800</v>
      </c>
    </row>
    <row r="679" spans="1:10" x14ac:dyDescent="0.2">
      <c r="A679">
        <v>5103060</v>
      </c>
      <c r="B679" s="8">
        <v>2023</v>
      </c>
      <c r="C679" s="8" t="s">
        <v>309</v>
      </c>
      <c r="D679" s="8" t="s">
        <v>310</v>
      </c>
      <c r="E679" s="8" t="s">
        <v>311</v>
      </c>
      <c r="F679" t="s">
        <v>167</v>
      </c>
      <c r="G679" t="s">
        <v>134</v>
      </c>
      <c r="H679" s="13">
        <v>1790687</v>
      </c>
      <c r="I679" s="13">
        <v>167275</v>
      </c>
      <c r="J679" s="8">
        <f t="shared" si="11"/>
        <v>1957962</v>
      </c>
    </row>
    <row r="680" spans="1:10" x14ac:dyDescent="0.2">
      <c r="A680">
        <v>5103030</v>
      </c>
      <c r="B680" s="8">
        <v>2015</v>
      </c>
      <c r="C680" s="8" t="s">
        <v>309</v>
      </c>
      <c r="D680" s="8" t="s">
        <v>310</v>
      </c>
      <c r="E680" s="8" t="s">
        <v>311</v>
      </c>
      <c r="F680" t="s">
        <v>166</v>
      </c>
      <c r="G680" t="s">
        <v>133</v>
      </c>
      <c r="H680" s="13">
        <v>3320085</v>
      </c>
      <c r="I680" s="13"/>
      <c r="J680" s="8">
        <f t="shared" si="11"/>
        <v>3320085</v>
      </c>
    </row>
    <row r="681" spans="1:10" x14ac:dyDescent="0.2">
      <c r="A681">
        <v>5103030</v>
      </c>
      <c r="B681" s="8">
        <v>2016</v>
      </c>
      <c r="C681" s="8" t="s">
        <v>309</v>
      </c>
      <c r="D681" s="8" t="s">
        <v>310</v>
      </c>
      <c r="E681" s="8" t="s">
        <v>311</v>
      </c>
      <c r="F681" t="s">
        <v>166</v>
      </c>
      <c r="G681" t="s">
        <v>133</v>
      </c>
      <c r="H681" s="13">
        <v>3246178</v>
      </c>
      <c r="I681" s="13"/>
      <c r="J681" s="8">
        <f t="shared" si="11"/>
        <v>3246178</v>
      </c>
    </row>
    <row r="682" spans="1:10" x14ac:dyDescent="0.2">
      <c r="A682">
        <v>5103030</v>
      </c>
      <c r="B682" s="8">
        <v>2017</v>
      </c>
      <c r="C682" s="8" t="s">
        <v>309</v>
      </c>
      <c r="D682" s="8" t="s">
        <v>310</v>
      </c>
      <c r="E682" s="8" t="s">
        <v>311</v>
      </c>
      <c r="F682" t="s">
        <v>166</v>
      </c>
      <c r="G682" t="s">
        <v>133</v>
      </c>
      <c r="H682" s="13">
        <v>3462670</v>
      </c>
      <c r="I682" s="13"/>
      <c r="J682" s="8">
        <f t="shared" si="11"/>
        <v>3462670</v>
      </c>
    </row>
    <row r="683" spans="1:10" x14ac:dyDescent="0.2">
      <c r="A683">
        <v>5103030</v>
      </c>
      <c r="B683" s="8">
        <v>2018</v>
      </c>
      <c r="C683" s="8" t="s">
        <v>309</v>
      </c>
      <c r="D683" s="8" t="s">
        <v>310</v>
      </c>
      <c r="E683" s="8" t="s">
        <v>311</v>
      </c>
      <c r="F683" t="s">
        <v>166</v>
      </c>
      <c r="G683" t="s">
        <v>133</v>
      </c>
      <c r="H683" s="13">
        <v>3797889</v>
      </c>
      <c r="I683" s="13"/>
      <c r="J683" s="8">
        <f t="shared" si="11"/>
        <v>3797889</v>
      </c>
    </row>
    <row r="684" spans="1:10" x14ac:dyDescent="0.2">
      <c r="A684">
        <v>5103030</v>
      </c>
      <c r="B684" s="8">
        <v>2019</v>
      </c>
      <c r="C684" s="8" t="s">
        <v>309</v>
      </c>
      <c r="D684" s="8" t="s">
        <v>310</v>
      </c>
      <c r="E684" s="8" t="s">
        <v>311</v>
      </c>
      <c r="F684" t="s">
        <v>166</v>
      </c>
      <c r="G684" t="s">
        <v>133</v>
      </c>
      <c r="H684" s="13">
        <v>3770593</v>
      </c>
      <c r="I684" s="13"/>
      <c r="J684" s="8">
        <f t="shared" si="11"/>
        <v>3770593</v>
      </c>
    </row>
    <row r="685" spans="1:10" x14ac:dyDescent="0.2">
      <c r="A685">
        <v>5103030</v>
      </c>
      <c r="B685" s="8">
        <v>2020</v>
      </c>
      <c r="C685" s="8" t="s">
        <v>309</v>
      </c>
      <c r="D685" s="8" t="s">
        <v>310</v>
      </c>
      <c r="E685" s="8" t="s">
        <v>311</v>
      </c>
      <c r="F685" t="s">
        <v>166</v>
      </c>
      <c r="G685" t="s">
        <v>133</v>
      </c>
      <c r="H685" s="13">
        <v>3855104</v>
      </c>
      <c r="I685" s="13"/>
      <c r="J685" s="8">
        <f t="shared" si="11"/>
        <v>3855104</v>
      </c>
    </row>
    <row r="686" spans="1:10" x14ac:dyDescent="0.2">
      <c r="A686">
        <v>5103030</v>
      </c>
      <c r="B686" s="8">
        <v>2021</v>
      </c>
      <c r="C686" s="8" t="s">
        <v>309</v>
      </c>
      <c r="D686" s="8" t="s">
        <v>310</v>
      </c>
      <c r="E686" s="8" t="s">
        <v>311</v>
      </c>
      <c r="F686" t="s">
        <v>166</v>
      </c>
      <c r="G686" t="s">
        <v>133</v>
      </c>
      <c r="H686" s="13">
        <v>4056476</v>
      </c>
      <c r="I686" s="13">
        <v>175892</v>
      </c>
      <c r="J686" s="8">
        <f t="shared" si="11"/>
        <v>4232368</v>
      </c>
    </row>
    <row r="687" spans="1:10" x14ac:dyDescent="0.2">
      <c r="A687">
        <v>5103030</v>
      </c>
      <c r="B687" s="8">
        <v>2022</v>
      </c>
      <c r="C687" s="8" t="s">
        <v>309</v>
      </c>
      <c r="D687" s="8" t="s">
        <v>310</v>
      </c>
      <c r="E687" s="8" t="s">
        <v>311</v>
      </c>
      <c r="F687" t="s">
        <v>166</v>
      </c>
      <c r="G687" t="s">
        <v>133</v>
      </c>
      <c r="H687" s="13">
        <v>4317715</v>
      </c>
      <c r="I687" s="13">
        <v>1285707</v>
      </c>
      <c r="J687" s="8">
        <f t="shared" si="11"/>
        <v>5603422</v>
      </c>
    </row>
    <row r="688" spans="1:10" x14ac:dyDescent="0.2">
      <c r="A688">
        <v>5103030</v>
      </c>
      <c r="B688" s="8">
        <v>2023</v>
      </c>
      <c r="C688" s="8" t="s">
        <v>309</v>
      </c>
      <c r="D688" s="8" t="s">
        <v>310</v>
      </c>
      <c r="E688" s="8" t="s">
        <v>311</v>
      </c>
      <c r="F688" t="s">
        <v>166</v>
      </c>
      <c r="G688" t="s">
        <v>133</v>
      </c>
      <c r="H688" s="13">
        <v>4456656</v>
      </c>
      <c r="I688" s="13">
        <v>416301</v>
      </c>
      <c r="J688" s="8">
        <f t="shared" si="11"/>
        <v>4872957</v>
      </c>
    </row>
    <row r="689" spans="1:10" x14ac:dyDescent="0.2">
      <c r="A689">
        <v>5102940</v>
      </c>
      <c r="B689" s="8">
        <v>2015</v>
      </c>
      <c r="C689" s="8" t="s">
        <v>309</v>
      </c>
      <c r="D689" s="8" t="s">
        <v>310</v>
      </c>
      <c r="E689" s="8" t="s">
        <v>311</v>
      </c>
      <c r="F689" t="s">
        <v>165</v>
      </c>
      <c r="G689" t="s">
        <v>132</v>
      </c>
      <c r="H689" s="13">
        <v>5757292</v>
      </c>
      <c r="I689" s="13"/>
      <c r="J689" s="8">
        <f t="shared" si="11"/>
        <v>5757292</v>
      </c>
    </row>
    <row r="690" spans="1:10" x14ac:dyDescent="0.2">
      <c r="A690">
        <v>5102940</v>
      </c>
      <c r="B690" s="8">
        <v>2016</v>
      </c>
      <c r="C690" s="8" t="s">
        <v>309</v>
      </c>
      <c r="D690" s="8" t="s">
        <v>310</v>
      </c>
      <c r="E690" s="8" t="s">
        <v>311</v>
      </c>
      <c r="F690" t="s">
        <v>165</v>
      </c>
      <c r="G690" t="s">
        <v>132</v>
      </c>
      <c r="H690" s="13">
        <v>5644590</v>
      </c>
      <c r="I690" s="13"/>
      <c r="J690" s="8">
        <f t="shared" si="11"/>
        <v>5644590</v>
      </c>
    </row>
    <row r="691" spans="1:10" x14ac:dyDescent="0.2">
      <c r="A691">
        <v>5102940</v>
      </c>
      <c r="B691" s="8">
        <v>2017</v>
      </c>
      <c r="C691" s="8" t="s">
        <v>309</v>
      </c>
      <c r="D691" s="8" t="s">
        <v>310</v>
      </c>
      <c r="E691" s="8" t="s">
        <v>311</v>
      </c>
      <c r="F691" t="s">
        <v>165</v>
      </c>
      <c r="G691" t="s">
        <v>132</v>
      </c>
      <c r="H691" s="13">
        <v>5969403</v>
      </c>
      <c r="I691" s="13"/>
      <c r="J691" s="8">
        <f t="shared" si="11"/>
        <v>5969403</v>
      </c>
    </row>
    <row r="692" spans="1:10" x14ac:dyDescent="0.2">
      <c r="A692">
        <v>5102940</v>
      </c>
      <c r="B692" s="8">
        <v>2018</v>
      </c>
      <c r="C692" s="8" t="s">
        <v>309</v>
      </c>
      <c r="D692" s="8" t="s">
        <v>310</v>
      </c>
      <c r="E692" s="8" t="s">
        <v>311</v>
      </c>
      <c r="F692" t="s">
        <v>165</v>
      </c>
      <c r="G692" t="s">
        <v>132</v>
      </c>
      <c r="H692" s="13">
        <v>7077625</v>
      </c>
      <c r="I692" s="13"/>
      <c r="J692" s="8">
        <f t="shared" si="11"/>
        <v>7077625</v>
      </c>
    </row>
    <row r="693" spans="1:10" x14ac:dyDescent="0.2">
      <c r="A693">
        <v>5102940</v>
      </c>
      <c r="B693" s="8">
        <v>2019</v>
      </c>
      <c r="C693" s="8" t="s">
        <v>309</v>
      </c>
      <c r="D693" s="8" t="s">
        <v>310</v>
      </c>
      <c r="E693" s="8" t="s">
        <v>311</v>
      </c>
      <c r="F693" t="s">
        <v>165</v>
      </c>
      <c r="G693" t="s">
        <v>132</v>
      </c>
      <c r="H693" s="13">
        <v>6863657</v>
      </c>
      <c r="I693" s="13"/>
      <c r="J693" s="8">
        <f t="shared" si="11"/>
        <v>6863657</v>
      </c>
    </row>
    <row r="694" spans="1:10" x14ac:dyDescent="0.2">
      <c r="A694">
        <v>5102940</v>
      </c>
      <c r="B694" s="8">
        <v>2020</v>
      </c>
      <c r="C694" s="8" t="s">
        <v>309</v>
      </c>
      <c r="D694" s="8" t="s">
        <v>310</v>
      </c>
      <c r="E694" s="8" t="s">
        <v>311</v>
      </c>
      <c r="F694" t="s">
        <v>165</v>
      </c>
      <c r="G694" t="s">
        <v>132</v>
      </c>
      <c r="H694" s="13">
        <v>7025629</v>
      </c>
      <c r="I694" s="13"/>
      <c r="J694" s="8">
        <f t="shared" si="11"/>
        <v>7025629</v>
      </c>
    </row>
    <row r="695" spans="1:10" x14ac:dyDescent="0.2">
      <c r="A695">
        <v>5102940</v>
      </c>
      <c r="B695" s="8">
        <v>2021</v>
      </c>
      <c r="C695" s="8" t="s">
        <v>309</v>
      </c>
      <c r="D695" s="8" t="s">
        <v>310</v>
      </c>
      <c r="E695" s="8" t="s">
        <v>311</v>
      </c>
      <c r="F695" t="s">
        <v>165</v>
      </c>
      <c r="G695" t="s">
        <v>132</v>
      </c>
      <c r="H695" s="13">
        <v>7309383</v>
      </c>
      <c r="I695" s="13">
        <v>316941</v>
      </c>
      <c r="J695" s="8">
        <f t="shared" si="11"/>
        <v>7626324</v>
      </c>
    </row>
    <row r="696" spans="1:10" x14ac:dyDescent="0.2">
      <c r="A696">
        <v>5102940</v>
      </c>
      <c r="B696" s="8">
        <v>2022</v>
      </c>
      <c r="C696" s="8" t="s">
        <v>309</v>
      </c>
      <c r="D696" s="8" t="s">
        <v>310</v>
      </c>
      <c r="E696" s="8" t="s">
        <v>311</v>
      </c>
      <c r="F696" t="s">
        <v>165</v>
      </c>
      <c r="G696" t="s">
        <v>132</v>
      </c>
      <c r="H696" s="13">
        <v>7625948</v>
      </c>
      <c r="I696" s="13">
        <v>2270868</v>
      </c>
      <c r="J696" s="8">
        <f t="shared" si="11"/>
        <v>9896816</v>
      </c>
    </row>
    <row r="697" spans="1:10" x14ac:dyDescent="0.2">
      <c r="A697">
        <v>5102940</v>
      </c>
      <c r="B697" s="8">
        <v>2023</v>
      </c>
      <c r="C697" s="8" t="s">
        <v>309</v>
      </c>
      <c r="D697" s="8" t="s">
        <v>310</v>
      </c>
      <c r="E697" s="8" t="s">
        <v>311</v>
      </c>
      <c r="F697" t="s">
        <v>165</v>
      </c>
      <c r="G697" t="s">
        <v>132</v>
      </c>
      <c r="H697" s="13">
        <v>8242966</v>
      </c>
      <c r="I697" s="13">
        <v>769991</v>
      </c>
      <c r="J697" s="8">
        <f t="shared" si="11"/>
        <v>9012957</v>
      </c>
    </row>
    <row r="698" spans="1:10" x14ac:dyDescent="0.2">
      <c r="A698">
        <v>5102880</v>
      </c>
      <c r="B698" s="8">
        <v>2015</v>
      </c>
      <c r="C698" s="8" t="s">
        <v>309</v>
      </c>
      <c r="D698" s="8" t="s">
        <v>310</v>
      </c>
      <c r="E698" s="8" t="s">
        <v>311</v>
      </c>
      <c r="F698" t="s">
        <v>164</v>
      </c>
      <c r="G698" t="s">
        <v>131</v>
      </c>
      <c r="H698" s="13">
        <v>1842413</v>
      </c>
      <c r="I698" s="13"/>
      <c r="J698" s="8">
        <f t="shared" si="11"/>
        <v>1842413</v>
      </c>
    </row>
    <row r="699" spans="1:10" x14ac:dyDescent="0.2">
      <c r="A699">
        <v>5102880</v>
      </c>
      <c r="B699" s="8">
        <v>2016</v>
      </c>
      <c r="C699" s="8" t="s">
        <v>309</v>
      </c>
      <c r="D699" s="8" t="s">
        <v>310</v>
      </c>
      <c r="E699" s="8" t="s">
        <v>311</v>
      </c>
      <c r="F699" t="s">
        <v>164</v>
      </c>
      <c r="G699" t="s">
        <v>131</v>
      </c>
      <c r="H699" s="13">
        <v>1823692</v>
      </c>
      <c r="I699" s="13"/>
      <c r="J699" s="8">
        <f t="shared" si="11"/>
        <v>1823692</v>
      </c>
    </row>
    <row r="700" spans="1:10" x14ac:dyDescent="0.2">
      <c r="A700">
        <v>5102880</v>
      </c>
      <c r="B700" s="8">
        <v>2017</v>
      </c>
      <c r="C700" s="8" t="s">
        <v>309</v>
      </c>
      <c r="D700" s="8" t="s">
        <v>310</v>
      </c>
      <c r="E700" s="8" t="s">
        <v>311</v>
      </c>
      <c r="F700" t="s">
        <v>164</v>
      </c>
      <c r="G700" t="s">
        <v>131</v>
      </c>
      <c r="H700" s="13">
        <v>1933278</v>
      </c>
      <c r="I700" s="13"/>
      <c r="J700" s="8">
        <f t="shared" si="11"/>
        <v>1933278</v>
      </c>
    </row>
    <row r="701" spans="1:10" x14ac:dyDescent="0.2">
      <c r="A701">
        <v>5102880</v>
      </c>
      <c r="B701" s="8">
        <v>2018</v>
      </c>
      <c r="C701" s="8" t="s">
        <v>309</v>
      </c>
      <c r="D701" s="8" t="s">
        <v>310</v>
      </c>
      <c r="E701" s="8" t="s">
        <v>311</v>
      </c>
      <c r="F701" t="s">
        <v>164</v>
      </c>
      <c r="G701" t="s">
        <v>131</v>
      </c>
      <c r="H701" s="13">
        <v>2110855</v>
      </c>
      <c r="I701" s="13"/>
      <c r="J701" s="8">
        <f t="shared" si="11"/>
        <v>2110855</v>
      </c>
    </row>
    <row r="702" spans="1:10" x14ac:dyDescent="0.2">
      <c r="A702">
        <v>5102880</v>
      </c>
      <c r="B702" s="8">
        <v>2019</v>
      </c>
      <c r="C702" s="8" t="s">
        <v>309</v>
      </c>
      <c r="D702" s="8" t="s">
        <v>310</v>
      </c>
      <c r="E702" s="8" t="s">
        <v>311</v>
      </c>
      <c r="F702" t="s">
        <v>164</v>
      </c>
      <c r="G702" t="s">
        <v>131</v>
      </c>
      <c r="H702" s="13">
        <v>1952432</v>
      </c>
      <c r="I702" s="13"/>
      <c r="J702" s="8">
        <f t="shared" si="11"/>
        <v>1952432</v>
      </c>
    </row>
    <row r="703" spans="1:10" x14ac:dyDescent="0.2">
      <c r="A703">
        <v>5102880</v>
      </c>
      <c r="B703" s="8">
        <v>2020</v>
      </c>
      <c r="C703" s="8" t="s">
        <v>309</v>
      </c>
      <c r="D703" s="8" t="s">
        <v>310</v>
      </c>
      <c r="E703" s="8" t="s">
        <v>311</v>
      </c>
      <c r="F703" t="s">
        <v>164</v>
      </c>
      <c r="G703" t="s">
        <v>131</v>
      </c>
      <c r="H703" s="13">
        <v>1964649</v>
      </c>
      <c r="I703" s="13"/>
      <c r="J703" s="8">
        <f t="shared" si="11"/>
        <v>1964649</v>
      </c>
    </row>
    <row r="704" spans="1:10" x14ac:dyDescent="0.2">
      <c r="A704">
        <v>5102880</v>
      </c>
      <c r="B704" s="8">
        <v>2021</v>
      </c>
      <c r="C704" s="8" t="s">
        <v>309</v>
      </c>
      <c r="D704" s="8" t="s">
        <v>310</v>
      </c>
      <c r="E704" s="8" t="s">
        <v>311</v>
      </c>
      <c r="F704" t="s">
        <v>164</v>
      </c>
      <c r="G704" t="s">
        <v>131</v>
      </c>
      <c r="H704" s="13">
        <v>2045844</v>
      </c>
      <c r="I704" s="13">
        <v>88710</v>
      </c>
      <c r="J704" s="8">
        <f t="shared" si="11"/>
        <v>2134554</v>
      </c>
    </row>
    <row r="705" spans="1:10" x14ac:dyDescent="0.2">
      <c r="A705">
        <v>5102880</v>
      </c>
      <c r="B705" s="8">
        <v>2022</v>
      </c>
      <c r="C705" s="8" t="s">
        <v>309</v>
      </c>
      <c r="D705" s="8" t="s">
        <v>310</v>
      </c>
      <c r="E705" s="8" t="s">
        <v>311</v>
      </c>
      <c r="F705" t="s">
        <v>164</v>
      </c>
      <c r="G705" t="s">
        <v>131</v>
      </c>
      <c r="H705" s="13">
        <v>2148948</v>
      </c>
      <c r="I705" s="13">
        <v>639890</v>
      </c>
      <c r="J705" s="8">
        <f t="shared" si="11"/>
        <v>2788838</v>
      </c>
    </row>
    <row r="706" spans="1:10" x14ac:dyDescent="0.2">
      <c r="A706">
        <v>5102880</v>
      </c>
      <c r="B706" s="8">
        <v>2023</v>
      </c>
      <c r="C706" s="8" t="s">
        <v>309</v>
      </c>
      <c r="D706" s="8" t="s">
        <v>310</v>
      </c>
      <c r="E706" s="8" t="s">
        <v>311</v>
      </c>
      <c r="F706" t="s">
        <v>164</v>
      </c>
      <c r="G706" t="s">
        <v>131</v>
      </c>
      <c r="H706" s="13">
        <v>2341279</v>
      </c>
      <c r="I706" s="13">
        <v>218708</v>
      </c>
      <c r="J706" s="8">
        <f t="shared" si="11"/>
        <v>2559987</v>
      </c>
    </row>
    <row r="707" spans="1:10" x14ac:dyDescent="0.2">
      <c r="A707">
        <v>5102850</v>
      </c>
      <c r="B707" s="8">
        <v>2015</v>
      </c>
      <c r="C707" s="8" t="s">
        <v>309</v>
      </c>
      <c r="D707" s="8" t="s">
        <v>310</v>
      </c>
      <c r="E707" s="8" t="s">
        <v>311</v>
      </c>
      <c r="F707" t="s">
        <v>163</v>
      </c>
      <c r="G707" t="s">
        <v>130</v>
      </c>
      <c r="H707" s="13">
        <v>2569822</v>
      </c>
      <c r="I707" s="13"/>
      <c r="J707" s="8">
        <f t="shared" ref="J707:J770" si="12">SUM(H707:I707)</f>
        <v>2569822</v>
      </c>
    </row>
    <row r="708" spans="1:10" x14ac:dyDescent="0.2">
      <c r="A708">
        <v>5102850</v>
      </c>
      <c r="B708" s="8">
        <v>2016</v>
      </c>
      <c r="C708" s="8" t="s">
        <v>309</v>
      </c>
      <c r="D708" s="8" t="s">
        <v>310</v>
      </c>
      <c r="E708" s="8" t="s">
        <v>311</v>
      </c>
      <c r="F708" t="s">
        <v>163</v>
      </c>
      <c r="G708" t="s">
        <v>130</v>
      </c>
      <c r="H708" s="13">
        <v>2566395</v>
      </c>
      <c r="I708" s="13"/>
      <c r="J708" s="8">
        <f t="shared" si="12"/>
        <v>2566395</v>
      </c>
    </row>
    <row r="709" spans="1:10" x14ac:dyDescent="0.2">
      <c r="A709">
        <v>5102850</v>
      </c>
      <c r="B709" s="8">
        <v>2017</v>
      </c>
      <c r="C709" s="8" t="s">
        <v>309</v>
      </c>
      <c r="D709" s="8" t="s">
        <v>310</v>
      </c>
      <c r="E709" s="8" t="s">
        <v>311</v>
      </c>
      <c r="F709" t="s">
        <v>163</v>
      </c>
      <c r="G709" t="s">
        <v>130</v>
      </c>
      <c r="H709" s="13">
        <v>2653156</v>
      </c>
      <c r="I709" s="13"/>
      <c r="J709" s="8">
        <f t="shared" si="12"/>
        <v>2653156</v>
      </c>
    </row>
    <row r="710" spans="1:10" x14ac:dyDescent="0.2">
      <c r="A710">
        <v>5102850</v>
      </c>
      <c r="B710" s="8">
        <v>2018</v>
      </c>
      <c r="C710" s="8" t="s">
        <v>309</v>
      </c>
      <c r="D710" s="8" t="s">
        <v>310</v>
      </c>
      <c r="E710" s="8" t="s">
        <v>311</v>
      </c>
      <c r="F710" t="s">
        <v>163</v>
      </c>
      <c r="G710" t="s">
        <v>130</v>
      </c>
      <c r="H710" s="13">
        <v>2952675</v>
      </c>
      <c r="I710" s="13"/>
      <c r="J710" s="8">
        <f t="shared" si="12"/>
        <v>2952675</v>
      </c>
    </row>
    <row r="711" spans="1:10" x14ac:dyDescent="0.2">
      <c r="A711">
        <v>5102850</v>
      </c>
      <c r="B711" s="8">
        <v>2019</v>
      </c>
      <c r="C711" s="8" t="s">
        <v>309</v>
      </c>
      <c r="D711" s="8" t="s">
        <v>310</v>
      </c>
      <c r="E711" s="8" t="s">
        <v>311</v>
      </c>
      <c r="F711" t="s">
        <v>163</v>
      </c>
      <c r="G711" t="s">
        <v>130</v>
      </c>
      <c r="H711" s="13">
        <v>2857022</v>
      </c>
      <c r="I711" s="13"/>
      <c r="J711" s="8">
        <f t="shared" si="12"/>
        <v>2857022</v>
      </c>
    </row>
    <row r="712" spans="1:10" x14ac:dyDescent="0.2">
      <c r="A712">
        <v>5102850</v>
      </c>
      <c r="B712" s="8">
        <v>2020</v>
      </c>
      <c r="C712" s="8" t="s">
        <v>309</v>
      </c>
      <c r="D712" s="8" t="s">
        <v>310</v>
      </c>
      <c r="E712" s="8" t="s">
        <v>311</v>
      </c>
      <c r="F712" t="s">
        <v>163</v>
      </c>
      <c r="G712" t="s">
        <v>130</v>
      </c>
      <c r="H712" s="13">
        <v>2816115</v>
      </c>
      <c r="I712" s="13"/>
      <c r="J712" s="8">
        <f t="shared" si="12"/>
        <v>2816115</v>
      </c>
    </row>
    <row r="713" spans="1:10" x14ac:dyDescent="0.2">
      <c r="A713">
        <v>5102850</v>
      </c>
      <c r="B713" s="8">
        <v>2021</v>
      </c>
      <c r="C713" s="8" t="s">
        <v>309</v>
      </c>
      <c r="D713" s="8" t="s">
        <v>310</v>
      </c>
      <c r="E713" s="8" t="s">
        <v>311</v>
      </c>
      <c r="F713" t="s">
        <v>163</v>
      </c>
      <c r="G713" t="s">
        <v>130</v>
      </c>
      <c r="H713" s="13">
        <v>3008385</v>
      </c>
      <c r="I713" s="13">
        <v>130449</v>
      </c>
      <c r="J713" s="8">
        <f t="shared" si="12"/>
        <v>3138834</v>
      </c>
    </row>
    <row r="714" spans="1:10" x14ac:dyDescent="0.2">
      <c r="A714">
        <v>5102850</v>
      </c>
      <c r="B714" s="8">
        <v>2022</v>
      </c>
      <c r="C714" s="8" t="s">
        <v>309</v>
      </c>
      <c r="D714" s="8" t="s">
        <v>310</v>
      </c>
      <c r="E714" s="8" t="s">
        <v>311</v>
      </c>
      <c r="F714" t="s">
        <v>163</v>
      </c>
      <c r="G714" t="s">
        <v>130</v>
      </c>
      <c r="H714" s="13">
        <v>3137693</v>
      </c>
      <c r="I714" s="13">
        <v>934332</v>
      </c>
      <c r="J714" s="8">
        <f t="shared" si="12"/>
        <v>4072025</v>
      </c>
    </row>
    <row r="715" spans="1:10" x14ac:dyDescent="0.2">
      <c r="A715">
        <v>5102850</v>
      </c>
      <c r="B715" s="8">
        <v>2023</v>
      </c>
      <c r="C715" s="8" t="s">
        <v>309</v>
      </c>
      <c r="D715" s="8" t="s">
        <v>310</v>
      </c>
      <c r="E715" s="8" t="s">
        <v>311</v>
      </c>
      <c r="F715" t="s">
        <v>163</v>
      </c>
      <c r="G715" t="s">
        <v>130</v>
      </c>
      <c r="H715" s="13">
        <v>3447583</v>
      </c>
      <c r="I715" s="13">
        <v>322046</v>
      </c>
      <c r="J715" s="8">
        <f t="shared" si="12"/>
        <v>3769629</v>
      </c>
    </row>
    <row r="716" spans="1:10" x14ac:dyDescent="0.2">
      <c r="A716">
        <v>5102820</v>
      </c>
      <c r="B716" s="8">
        <v>2015</v>
      </c>
      <c r="C716" s="8" t="s">
        <v>309</v>
      </c>
      <c r="D716" s="8" t="s">
        <v>310</v>
      </c>
      <c r="E716" s="8" t="s">
        <v>311</v>
      </c>
      <c r="F716" t="s">
        <v>129</v>
      </c>
      <c r="G716" t="s">
        <v>96</v>
      </c>
      <c r="H716" s="13">
        <v>3724518</v>
      </c>
      <c r="I716" s="13"/>
      <c r="J716" s="8">
        <f t="shared" si="12"/>
        <v>3724518</v>
      </c>
    </row>
    <row r="717" spans="1:10" x14ac:dyDescent="0.2">
      <c r="A717">
        <v>5102820</v>
      </c>
      <c r="B717" s="8">
        <v>2016</v>
      </c>
      <c r="C717" s="8" t="s">
        <v>309</v>
      </c>
      <c r="D717" s="8" t="s">
        <v>310</v>
      </c>
      <c r="E717" s="8" t="s">
        <v>311</v>
      </c>
      <c r="F717" t="s">
        <v>129</v>
      </c>
      <c r="G717" t="s">
        <v>96</v>
      </c>
      <c r="H717" s="13">
        <v>3659568</v>
      </c>
      <c r="I717" s="13"/>
      <c r="J717" s="8">
        <f t="shared" si="12"/>
        <v>3659568</v>
      </c>
    </row>
    <row r="718" spans="1:10" x14ac:dyDescent="0.2">
      <c r="A718">
        <v>5102820</v>
      </c>
      <c r="B718" s="8">
        <v>2017</v>
      </c>
      <c r="C718" s="8" t="s">
        <v>309</v>
      </c>
      <c r="D718" s="8" t="s">
        <v>310</v>
      </c>
      <c r="E718" s="8" t="s">
        <v>311</v>
      </c>
      <c r="F718" t="s">
        <v>129</v>
      </c>
      <c r="G718" t="s">
        <v>96</v>
      </c>
      <c r="H718" s="13">
        <v>3794387</v>
      </c>
      <c r="I718" s="13"/>
      <c r="J718" s="8">
        <f t="shared" si="12"/>
        <v>3794387</v>
      </c>
    </row>
    <row r="719" spans="1:10" x14ac:dyDescent="0.2">
      <c r="A719">
        <v>5102820</v>
      </c>
      <c r="B719" s="8">
        <v>2018</v>
      </c>
      <c r="C719" s="8" t="s">
        <v>309</v>
      </c>
      <c r="D719" s="8" t="s">
        <v>310</v>
      </c>
      <c r="E719" s="8" t="s">
        <v>311</v>
      </c>
      <c r="F719" t="s">
        <v>129</v>
      </c>
      <c r="G719" t="s">
        <v>96</v>
      </c>
      <c r="H719" s="13">
        <v>4290246</v>
      </c>
      <c r="I719" s="13"/>
      <c r="J719" s="8">
        <f t="shared" si="12"/>
        <v>4290246</v>
      </c>
    </row>
    <row r="720" spans="1:10" x14ac:dyDescent="0.2">
      <c r="A720">
        <v>5102820</v>
      </c>
      <c r="B720" s="8">
        <v>2019</v>
      </c>
      <c r="C720" s="8" t="s">
        <v>309</v>
      </c>
      <c r="D720" s="8" t="s">
        <v>310</v>
      </c>
      <c r="E720" s="8" t="s">
        <v>311</v>
      </c>
      <c r="F720" t="s">
        <v>129</v>
      </c>
      <c r="G720" t="s">
        <v>96</v>
      </c>
      <c r="H720" s="13">
        <v>4118715</v>
      </c>
      <c r="I720" s="13"/>
      <c r="J720" s="8">
        <f t="shared" si="12"/>
        <v>4118715</v>
      </c>
    </row>
    <row r="721" spans="1:10" x14ac:dyDescent="0.2">
      <c r="A721">
        <v>5102820</v>
      </c>
      <c r="B721" s="8">
        <v>2020</v>
      </c>
      <c r="C721" s="8" t="s">
        <v>309</v>
      </c>
      <c r="D721" s="8" t="s">
        <v>310</v>
      </c>
      <c r="E721" s="8" t="s">
        <v>311</v>
      </c>
      <c r="F721" t="s">
        <v>129</v>
      </c>
      <c r="G721" t="s">
        <v>96</v>
      </c>
      <c r="H721" s="13">
        <v>4206309</v>
      </c>
      <c r="I721" s="13"/>
      <c r="J721" s="8">
        <f t="shared" si="12"/>
        <v>4206309</v>
      </c>
    </row>
    <row r="722" spans="1:10" x14ac:dyDescent="0.2">
      <c r="A722">
        <v>5102820</v>
      </c>
      <c r="B722" s="8">
        <v>2021</v>
      </c>
      <c r="C722" s="8" t="s">
        <v>309</v>
      </c>
      <c r="D722" s="8" t="s">
        <v>310</v>
      </c>
      <c r="E722" s="8" t="s">
        <v>311</v>
      </c>
      <c r="F722" t="s">
        <v>129</v>
      </c>
      <c r="G722" t="s">
        <v>96</v>
      </c>
      <c r="H722" s="13">
        <v>4365757</v>
      </c>
      <c r="I722" s="13">
        <v>189302</v>
      </c>
      <c r="J722" s="8">
        <f t="shared" si="12"/>
        <v>4555059</v>
      </c>
    </row>
    <row r="723" spans="1:10" x14ac:dyDescent="0.2">
      <c r="A723">
        <v>5102820</v>
      </c>
      <c r="B723" s="8">
        <v>2022</v>
      </c>
      <c r="C723" s="8" t="s">
        <v>309</v>
      </c>
      <c r="D723" s="8" t="s">
        <v>310</v>
      </c>
      <c r="E723" s="8" t="s">
        <v>311</v>
      </c>
      <c r="F723" t="s">
        <v>129</v>
      </c>
      <c r="G723" t="s">
        <v>96</v>
      </c>
      <c r="H723" s="13">
        <v>4695352</v>
      </c>
      <c r="I723" s="13">
        <v>1398158</v>
      </c>
      <c r="J723" s="8">
        <f t="shared" si="12"/>
        <v>6093510</v>
      </c>
    </row>
    <row r="724" spans="1:10" x14ac:dyDescent="0.2">
      <c r="A724">
        <v>5102820</v>
      </c>
      <c r="B724" s="8">
        <v>2023</v>
      </c>
      <c r="C724" s="8" t="s">
        <v>309</v>
      </c>
      <c r="D724" s="8" t="s">
        <v>310</v>
      </c>
      <c r="E724" s="8" t="s">
        <v>311</v>
      </c>
      <c r="F724" t="s">
        <v>129</v>
      </c>
      <c r="G724" t="s">
        <v>96</v>
      </c>
      <c r="H724" s="13">
        <v>4964160</v>
      </c>
      <c r="I724" s="13">
        <v>463708</v>
      </c>
      <c r="J724" s="8">
        <f t="shared" si="12"/>
        <v>5427868</v>
      </c>
    </row>
    <row r="725" spans="1:10" x14ac:dyDescent="0.2">
      <c r="A725">
        <v>5102790</v>
      </c>
      <c r="B725" s="8">
        <v>2015</v>
      </c>
      <c r="C725" s="8" t="s">
        <v>309</v>
      </c>
      <c r="D725" s="8" t="s">
        <v>310</v>
      </c>
      <c r="E725" s="8" t="s">
        <v>311</v>
      </c>
      <c r="F725" t="s">
        <v>128</v>
      </c>
      <c r="G725" t="s">
        <v>95</v>
      </c>
      <c r="H725" s="13">
        <v>1579936</v>
      </c>
      <c r="I725" s="13"/>
      <c r="J725" s="8">
        <f t="shared" si="12"/>
        <v>1579936</v>
      </c>
    </row>
    <row r="726" spans="1:10" x14ac:dyDescent="0.2">
      <c r="A726">
        <v>5102790</v>
      </c>
      <c r="B726" s="8">
        <v>2016</v>
      </c>
      <c r="C726" s="8" t="s">
        <v>309</v>
      </c>
      <c r="D726" s="8" t="s">
        <v>310</v>
      </c>
      <c r="E726" s="8" t="s">
        <v>311</v>
      </c>
      <c r="F726" t="s">
        <v>128</v>
      </c>
      <c r="G726" t="s">
        <v>95</v>
      </c>
      <c r="H726" s="13">
        <v>1545500</v>
      </c>
      <c r="I726" s="13"/>
      <c r="J726" s="8">
        <f t="shared" si="12"/>
        <v>1545500</v>
      </c>
    </row>
    <row r="727" spans="1:10" x14ac:dyDescent="0.2">
      <c r="A727">
        <v>5102790</v>
      </c>
      <c r="B727" s="8">
        <v>2017</v>
      </c>
      <c r="C727" s="8" t="s">
        <v>309</v>
      </c>
      <c r="D727" s="8" t="s">
        <v>310</v>
      </c>
      <c r="E727" s="8" t="s">
        <v>311</v>
      </c>
      <c r="F727" t="s">
        <v>128</v>
      </c>
      <c r="G727" t="s">
        <v>95</v>
      </c>
      <c r="H727" s="13">
        <v>1639552</v>
      </c>
      <c r="I727" s="13"/>
      <c r="J727" s="8">
        <f t="shared" si="12"/>
        <v>1639552</v>
      </c>
    </row>
    <row r="728" spans="1:10" x14ac:dyDescent="0.2">
      <c r="A728">
        <v>5102790</v>
      </c>
      <c r="B728" s="8">
        <v>2018</v>
      </c>
      <c r="C728" s="8" t="s">
        <v>309</v>
      </c>
      <c r="D728" s="8" t="s">
        <v>310</v>
      </c>
      <c r="E728" s="8" t="s">
        <v>311</v>
      </c>
      <c r="F728" t="s">
        <v>128</v>
      </c>
      <c r="G728" t="s">
        <v>95</v>
      </c>
      <c r="H728" s="13">
        <v>1805118</v>
      </c>
      <c r="I728" s="13"/>
      <c r="J728" s="8">
        <f t="shared" si="12"/>
        <v>1805118</v>
      </c>
    </row>
    <row r="729" spans="1:10" x14ac:dyDescent="0.2">
      <c r="A729">
        <v>5102790</v>
      </c>
      <c r="B729" s="8">
        <v>2019</v>
      </c>
      <c r="C729" s="8" t="s">
        <v>309</v>
      </c>
      <c r="D729" s="8" t="s">
        <v>310</v>
      </c>
      <c r="E729" s="8" t="s">
        <v>311</v>
      </c>
      <c r="F729" t="s">
        <v>128</v>
      </c>
      <c r="G729" t="s">
        <v>95</v>
      </c>
      <c r="H729" s="13">
        <v>1700907</v>
      </c>
      <c r="I729" s="13"/>
      <c r="J729" s="8">
        <f t="shared" si="12"/>
        <v>1700907</v>
      </c>
    </row>
    <row r="730" spans="1:10" x14ac:dyDescent="0.2">
      <c r="A730">
        <v>5102790</v>
      </c>
      <c r="B730" s="8">
        <v>2020</v>
      </c>
      <c r="C730" s="8" t="s">
        <v>309</v>
      </c>
      <c r="D730" s="8" t="s">
        <v>310</v>
      </c>
      <c r="E730" s="8" t="s">
        <v>311</v>
      </c>
      <c r="F730" t="s">
        <v>128</v>
      </c>
      <c r="G730" t="s">
        <v>95</v>
      </c>
      <c r="H730" s="13">
        <v>1731912</v>
      </c>
      <c r="I730" s="13"/>
      <c r="J730" s="8">
        <f t="shared" si="12"/>
        <v>1731912</v>
      </c>
    </row>
    <row r="731" spans="1:10" x14ac:dyDescent="0.2">
      <c r="A731">
        <v>5102790</v>
      </c>
      <c r="B731" s="8">
        <v>2021</v>
      </c>
      <c r="C731" s="8" t="s">
        <v>309</v>
      </c>
      <c r="D731" s="8" t="s">
        <v>310</v>
      </c>
      <c r="E731" s="8" t="s">
        <v>311</v>
      </c>
      <c r="F731" t="s">
        <v>128</v>
      </c>
      <c r="G731" t="s">
        <v>95</v>
      </c>
      <c r="H731" s="13">
        <v>1793025</v>
      </c>
      <c r="I731" s="13">
        <v>77748</v>
      </c>
      <c r="J731" s="8">
        <f t="shared" si="12"/>
        <v>1870773</v>
      </c>
    </row>
    <row r="732" spans="1:10" x14ac:dyDescent="0.2">
      <c r="A732">
        <v>5102790</v>
      </c>
      <c r="B732" s="8">
        <v>2022</v>
      </c>
      <c r="C732" s="8" t="s">
        <v>309</v>
      </c>
      <c r="D732" s="8" t="s">
        <v>310</v>
      </c>
      <c r="E732" s="8" t="s">
        <v>311</v>
      </c>
      <c r="F732" t="s">
        <v>128</v>
      </c>
      <c r="G732" t="s">
        <v>95</v>
      </c>
      <c r="H732" s="13">
        <v>1782149</v>
      </c>
      <c r="I732" s="13">
        <v>530668</v>
      </c>
      <c r="J732" s="8">
        <f t="shared" si="12"/>
        <v>2312817</v>
      </c>
    </row>
    <row r="733" spans="1:10" x14ac:dyDescent="0.2">
      <c r="A733">
        <v>5102790</v>
      </c>
      <c r="B733" s="8">
        <v>2023</v>
      </c>
      <c r="C733" s="8" t="s">
        <v>309</v>
      </c>
      <c r="D733" s="8" t="s">
        <v>310</v>
      </c>
      <c r="E733" s="8" t="s">
        <v>311</v>
      </c>
      <c r="F733" t="s">
        <v>128</v>
      </c>
      <c r="G733" t="s">
        <v>95</v>
      </c>
      <c r="H733" s="13">
        <v>1882136</v>
      </c>
      <c r="I733" s="13">
        <v>175813</v>
      </c>
      <c r="J733" s="8">
        <f t="shared" si="12"/>
        <v>2057949</v>
      </c>
    </row>
    <row r="734" spans="1:10" x14ac:dyDescent="0.2">
      <c r="A734">
        <v>5102730</v>
      </c>
      <c r="B734" s="8">
        <v>2015</v>
      </c>
      <c r="C734" s="8" t="s">
        <v>309</v>
      </c>
      <c r="D734" s="8" t="s">
        <v>310</v>
      </c>
      <c r="E734" s="8" t="s">
        <v>311</v>
      </c>
      <c r="F734" t="s">
        <v>127</v>
      </c>
      <c r="G734" t="s">
        <v>94</v>
      </c>
      <c r="H734" s="13">
        <v>1091087</v>
      </c>
      <c r="I734" s="13"/>
      <c r="J734" s="8">
        <f t="shared" si="12"/>
        <v>1091087</v>
      </c>
    </row>
    <row r="735" spans="1:10" x14ac:dyDescent="0.2">
      <c r="A735">
        <v>5102730</v>
      </c>
      <c r="B735" s="8">
        <v>2016</v>
      </c>
      <c r="C735" s="8" t="s">
        <v>309</v>
      </c>
      <c r="D735" s="8" t="s">
        <v>310</v>
      </c>
      <c r="E735" s="8" t="s">
        <v>311</v>
      </c>
      <c r="F735" t="s">
        <v>127</v>
      </c>
      <c r="G735" t="s">
        <v>94</v>
      </c>
      <c r="H735" s="13">
        <v>1055322</v>
      </c>
      <c r="I735" s="13"/>
      <c r="J735" s="8">
        <f t="shared" si="12"/>
        <v>1055322</v>
      </c>
    </row>
    <row r="736" spans="1:10" x14ac:dyDescent="0.2">
      <c r="A736">
        <v>5102730</v>
      </c>
      <c r="B736" s="8">
        <v>2017</v>
      </c>
      <c r="C736" s="8" t="s">
        <v>309</v>
      </c>
      <c r="D736" s="8" t="s">
        <v>310</v>
      </c>
      <c r="E736" s="8" t="s">
        <v>311</v>
      </c>
      <c r="F736" t="s">
        <v>127</v>
      </c>
      <c r="G736" t="s">
        <v>94</v>
      </c>
      <c r="H736" s="13">
        <v>1137373</v>
      </c>
      <c r="I736" s="13"/>
      <c r="J736" s="8">
        <f t="shared" si="12"/>
        <v>1137373</v>
      </c>
    </row>
    <row r="737" spans="1:10" x14ac:dyDescent="0.2">
      <c r="A737">
        <v>5102730</v>
      </c>
      <c r="B737" s="8">
        <v>2018</v>
      </c>
      <c r="C737" s="8" t="s">
        <v>309</v>
      </c>
      <c r="D737" s="8" t="s">
        <v>310</v>
      </c>
      <c r="E737" s="8" t="s">
        <v>311</v>
      </c>
      <c r="F737" t="s">
        <v>127</v>
      </c>
      <c r="G737" t="s">
        <v>94</v>
      </c>
      <c r="H737" s="13">
        <v>1334983</v>
      </c>
      <c r="I737" s="13"/>
      <c r="J737" s="8">
        <f t="shared" si="12"/>
        <v>1334983</v>
      </c>
    </row>
    <row r="738" spans="1:10" x14ac:dyDescent="0.2">
      <c r="A738">
        <v>5102730</v>
      </c>
      <c r="B738" s="8">
        <v>2019</v>
      </c>
      <c r="C738" s="8" t="s">
        <v>309</v>
      </c>
      <c r="D738" s="8" t="s">
        <v>310</v>
      </c>
      <c r="E738" s="8" t="s">
        <v>311</v>
      </c>
      <c r="F738" t="s">
        <v>127</v>
      </c>
      <c r="G738" t="s">
        <v>94</v>
      </c>
      <c r="H738" s="13">
        <v>1266384</v>
      </c>
      <c r="I738" s="13"/>
      <c r="J738" s="8">
        <f t="shared" si="12"/>
        <v>1266384</v>
      </c>
    </row>
    <row r="739" spans="1:10" x14ac:dyDescent="0.2">
      <c r="A739">
        <v>5102730</v>
      </c>
      <c r="B739" s="8">
        <v>2020</v>
      </c>
      <c r="C739" s="8" t="s">
        <v>309</v>
      </c>
      <c r="D739" s="8" t="s">
        <v>310</v>
      </c>
      <c r="E739" s="8" t="s">
        <v>311</v>
      </c>
      <c r="F739" t="s">
        <v>127</v>
      </c>
      <c r="G739" t="s">
        <v>94</v>
      </c>
      <c r="H739" s="13">
        <v>1287931</v>
      </c>
      <c r="I739" s="13"/>
      <c r="J739" s="8">
        <f t="shared" si="12"/>
        <v>1287931</v>
      </c>
    </row>
    <row r="740" spans="1:10" x14ac:dyDescent="0.2">
      <c r="A740">
        <v>5102730</v>
      </c>
      <c r="B740" s="8">
        <v>2021</v>
      </c>
      <c r="C740" s="8" t="s">
        <v>309</v>
      </c>
      <c r="D740" s="8" t="s">
        <v>310</v>
      </c>
      <c r="E740" s="8" t="s">
        <v>311</v>
      </c>
      <c r="F740" t="s">
        <v>127</v>
      </c>
      <c r="G740" t="s">
        <v>94</v>
      </c>
      <c r="H740" s="13">
        <v>1374710</v>
      </c>
      <c r="I740" s="13">
        <v>59608</v>
      </c>
      <c r="J740" s="8">
        <f t="shared" si="12"/>
        <v>1434318</v>
      </c>
    </row>
    <row r="741" spans="1:10" x14ac:dyDescent="0.2">
      <c r="A741">
        <v>5102730</v>
      </c>
      <c r="B741" s="8">
        <v>2022</v>
      </c>
      <c r="C741" s="8" t="s">
        <v>309</v>
      </c>
      <c r="D741" s="8" t="s">
        <v>310</v>
      </c>
      <c r="E741" s="8" t="s">
        <v>311</v>
      </c>
      <c r="F741" t="s">
        <v>127</v>
      </c>
      <c r="G741" t="s">
        <v>94</v>
      </c>
      <c r="H741" s="13">
        <v>1493839</v>
      </c>
      <c r="I741" s="13">
        <v>444848</v>
      </c>
      <c r="J741" s="8">
        <f t="shared" si="12"/>
        <v>1938687</v>
      </c>
    </row>
    <row r="742" spans="1:10" x14ac:dyDescent="0.2">
      <c r="A742">
        <v>5102730</v>
      </c>
      <c r="B742" s="8">
        <v>2023</v>
      </c>
      <c r="C742" s="8" t="s">
        <v>309</v>
      </c>
      <c r="D742" s="8" t="s">
        <v>310</v>
      </c>
      <c r="E742" s="8" t="s">
        <v>311</v>
      </c>
      <c r="F742" t="s">
        <v>127</v>
      </c>
      <c r="G742" t="s">
        <v>94</v>
      </c>
      <c r="H742" s="13">
        <v>1624619</v>
      </c>
      <c r="I742" s="13">
        <v>151763</v>
      </c>
      <c r="J742" s="8">
        <f t="shared" si="12"/>
        <v>1776382</v>
      </c>
    </row>
    <row r="743" spans="1:10" x14ac:dyDescent="0.2">
      <c r="A743">
        <v>5102710</v>
      </c>
      <c r="B743" s="8">
        <v>2015</v>
      </c>
      <c r="C743" s="8" t="s">
        <v>309</v>
      </c>
      <c r="D743" s="8" t="s">
        <v>310</v>
      </c>
      <c r="E743" s="8" t="s">
        <v>311</v>
      </c>
      <c r="F743" t="s">
        <v>126</v>
      </c>
      <c r="G743" t="s">
        <v>93</v>
      </c>
      <c r="H743" s="13">
        <v>1307436</v>
      </c>
      <c r="I743" s="13"/>
      <c r="J743" s="8">
        <f t="shared" si="12"/>
        <v>1307436</v>
      </c>
    </row>
    <row r="744" spans="1:10" x14ac:dyDescent="0.2">
      <c r="A744">
        <v>5102710</v>
      </c>
      <c r="B744" s="8">
        <v>2016</v>
      </c>
      <c r="C744" s="8" t="s">
        <v>309</v>
      </c>
      <c r="D744" s="8" t="s">
        <v>310</v>
      </c>
      <c r="E744" s="8" t="s">
        <v>311</v>
      </c>
      <c r="F744" t="s">
        <v>126</v>
      </c>
      <c r="G744" t="s">
        <v>93</v>
      </c>
      <c r="H744" s="13">
        <v>1270364</v>
      </c>
      <c r="I744" s="13"/>
      <c r="J744" s="8">
        <f t="shared" si="12"/>
        <v>1270364</v>
      </c>
    </row>
    <row r="745" spans="1:10" x14ac:dyDescent="0.2">
      <c r="A745">
        <v>5102710</v>
      </c>
      <c r="B745" s="8">
        <v>2017</v>
      </c>
      <c r="C745" s="8" t="s">
        <v>309</v>
      </c>
      <c r="D745" s="8" t="s">
        <v>310</v>
      </c>
      <c r="E745" s="8" t="s">
        <v>311</v>
      </c>
      <c r="F745" t="s">
        <v>126</v>
      </c>
      <c r="G745" t="s">
        <v>93</v>
      </c>
      <c r="H745" s="13">
        <v>1311996</v>
      </c>
      <c r="I745" s="13"/>
      <c r="J745" s="8">
        <f t="shared" si="12"/>
        <v>1311996</v>
      </c>
    </row>
    <row r="746" spans="1:10" x14ac:dyDescent="0.2">
      <c r="A746">
        <v>5102710</v>
      </c>
      <c r="B746" s="8">
        <v>2018</v>
      </c>
      <c r="C746" s="8" t="s">
        <v>309</v>
      </c>
      <c r="D746" s="8" t="s">
        <v>310</v>
      </c>
      <c r="E746" s="8" t="s">
        <v>311</v>
      </c>
      <c r="F746" t="s">
        <v>126</v>
      </c>
      <c r="G746" t="s">
        <v>93</v>
      </c>
      <c r="H746" s="13">
        <v>1474601</v>
      </c>
      <c r="I746" s="13"/>
      <c r="J746" s="8">
        <f t="shared" si="12"/>
        <v>1474601</v>
      </c>
    </row>
    <row r="747" spans="1:10" x14ac:dyDescent="0.2">
      <c r="A747">
        <v>5102710</v>
      </c>
      <c r="B747" s="8">
        <v>2019</v>
      </c>
      <c r="C747" s="8" t="s">
        <v>309</v>
      </c>
      <c r="D747" s="8" t="s">
        <v>310</v>
      </c>
      <c r="E747" s="8" t="s">
        <v>311</v>
      </c>
      <c r="F747" t="s">
        <v>126</v>
      </c>
      <c r="G747" t="s">
        <v>93</v>
      </c>
      <c r="H747" s="13">
        <v>1452768</v>
      </c>
      <c r="I747" s="13"/>
      <c r="J747" s="8">
        <f t="shared" si="12"/>
        <v>1452768</v>
      </c>
    </row>
    <row r="748" spans="1:10" x14ac:dyDescent="0.2">
      <c r="A748">
        <v>5102710</v>
      </c>
      <c r="B748" s="8">
        <v>2020</v>
      </c>
      <c r="C748" s="8" t="s">
        <v>309</v>
      </c>
      <c r="D748" s="8" t="s">
        <v>310</v>
      </c>
      <c r="E748" s="8" t="s">
        <v>311</v>
      </c>
      <c r="F748" t="s">
        <v>126</v>
      </c>
      <c r="G748" t="s">
        <v>93</v>
      </c>
      <c r="H748" s="13">
        <v>1450509</v>
      </c>
      <c r="I748" s="13"/>
      <c r="J748" s="8">
        <f t="shared" si="12"/>
        <v>1450509</v>
      </c>
    </row>
    <row r="749" spans="1:10" x14ac:dyDescent="0.2">
      <c r="A749">
        <v>5102710</v>
      </c>
      <c r="B749" s="8">
        <v>2021</v>
      </c>
      <c r="C749" s="8" t="s">
        <v>309</v>
      </c>
      <c r="D749" s="8" t="s">
        <v>310</v>
      </c>
      <c r="E749" s="8" t="s">
        <v>311</v>
      </c>
      <c r="F749" t="s">
        <v>126</v>
      </c>
      <c r="G749" t="s">
        <v>93</v>
      </c>
      <c r="H749" s="13">
        <v>1475811</v>
      </c>
      <c r="I749" s="13">
        <v>63994</v>
      </c>
      <c r="J749" s="8">
        <f t="shared" si="12"/>
        <v>1539805</v>
      </c>
    </row>
    <row r="750" spans="1:10" x14ac:dyDescent="0.2">
      <c r="A750">
        <v>5102710</v>
      </c>
      <c r="B750" s="8">
        <v>2022</v>
      </c>
      <c r="C750" s="8" t="s">
        <v>309</v>
      </c>
      <c r="D750" s="8" t="s">
        <v>310</v>
      </c>
      <c r="E750" s="8" t="s">
        <v>311</v>
      </c>
      <c r="F750" t="s">
        <v>126</v>
      </c>
      <c r="G750" t="s">
        <v>93</v>
      </c>
      <c r="H750" s="13">
        <v>1523107</v>
      </c>
      <c r="I750" s="13">
        <v>453563</v>
      </c>
      <c r="J750" s="8">
        <f t="shared" si="12"/>
        <v>1976670</v>
      </c>
    </row>
    <row r="751" spans="1:10" x14ac:dyDescent="0.2">
      <c r="A751">
        <v>5102710</v>
      </c>
      <c r="B751" s="8">
        <v>2023</v>
      </c>
      <c r="C751" s="8" t="s">
        <v>309</v>
      </c>
      <c r="D751" s="8" t="s">
        <v>310</v>
      </c>
      <c r="E751" s="8" t="s">
        <v>311</v>
      </c>
      <c r="F751" t="s">
        <v>126</v>
      </c>
      <c r="G751" t="s">
        <v>93</v>
      </c>
      <c r="H751" s="13">
        <v>1550732</v>
      </c>
      <c r="I751" s="13">
        <v>144862</v>
      </c>
      <c r="J751" s="8">
        <f t="shared" si="12"/>
        <v>1695594</v>
      </c>
    </row>
    <row r="752" spans="1:10" x14ac:dyDescent="0.2">
      <c r="A752">
        <v>5102610</v>
      </c>
      <c r="B752" s="8">
        <v>2015</v>
      </c>
      <c r="C752" s="8" t="s">
        <v>309</v>
      </c>
      <c r="D752" s="8" t="s">
        <v>310</v>
      </c>
      <c r="E752" s="8" t="s">
        <v>311</v>
      </c>
      <c r="F752" t="s">
        <v>125</v>
      </c>
      <c r="G752" t="s">
        <v>92</v>
      </c>
      <c r="H752" s="13">
        <v>2110075</v>
      </c>
      <c r="I752" s="13"/>
      <c r="J752" s="8">
        <f t="shared" si="12"/>
        <v>2110075</v>
      </c>
    </row>
    <row r="753" spans="1:10" x14ac:dyDescent="0.2">
      <c r="A753">
        <v>5102610</v>
      </c>
      <c r="B753" s="8">
        <v>2016</v>
      </c>
      <c r="C753" s="8" t="s">
        <v>309</v>
      </c>
      <c r="D753" s="8" t="s">
        <v>310</v>
      </c>
      <c r="E753" s="8" t="s">
        <v>311</v>
      </c>
      <c r="F753" t="s">
        <v>125</v>
      </c>
      <c r="G753" t="s">
        <v>92</v>
      </c>
      <c r="H753" s="13">
        <v>2106422</v>
      </c>
      <c r="I753" s="13"/>
      <c r="J753" s="8">
        <f t="shared" si="12"/>
        <v>2106422</v>
      </c>
    </row>
    <row r="754" spans="1:10" x14ac:dyDescent="0.2">
      <c r="A754">
        <v>5102610</v>
      </c>
      <c r="B754" s="8">
        <v>2017</v>
      </c>
      <c r="C754" s="8" t="s">
        <v>309</v>
      </c>
      <c r="D754" s="8" t="s">
        <v>310</v>
      </c>
      <c r="E754" s="8" t="s">
        <v>311</v>
      </c>
      <c r="F754" t="s">
        <v>125</v>
      </c>
      <c r="G754" t="s">
        <v>92</v>
      </c>
      <c r="H754" s="13">
        <v>2263303</v>
      </c>
      <c r="I754" s="13"/>
      <c r="J754" s="8">
        <f t="shared" si="12"/>
        <v>2263303</v>
      </c>
    </row>
    <row r="755" spans="1:10" x14ac:dyDescent="0.2">
      <c r="A755">
        <v>5102610</v>
      </c>
      <c r="B755" s="8">
        <v>2018</v>
      </c>
      <c r="C755" s="8" t="s">
        <v>309</v>
      </c>
      <c r="D755" s="8" t="s">
        <v>310</v>
      </c>
      <c r="E755" s="8" t="s">
        <v>311</v>
      </c>
      <c r="F755" t="s">
        <v>125</v>
      </c>
      <c r="G755" t="s">
        <v>92</v>
      </c>
      <c r="H755" s="13">
        <v>2629605</v>
      </c>
      <c r="I755" s="13"/>
      <c r="J755" s="8">
        <f t="shared" si="12"/>
        <v>2629605</v>
      </c>
    </row>
    <row r="756" spans="1:10" x14ac:dyDescent="0.2">
      <c r="A756">
        <v>5102610</v>
      </c>
      <c r="B756" s="8">
        <v>2019</v>
      </c>
      <c r="C756" s="8" t="s">
        <v>309</v>
      </c>
      <c r="D756" s="8" t="s">
        <v>310</v>
      </c>
      <c r="E756" s="8" t="s">
        <v>311</v>
      </c>
      <c r="F756" t="s">
        <v>125</v>
      </c>
      <c r="G756" t="s">
        <v>92</v>
      </c>
      <c r="H756" s="13">
        <v>2607276</v>
      </c>
      <c r="I756" s="13"/>
      <c r="J756" s="8">
        <f t="shared" si="12"/>
        <v>2607276</v>
      </c>
    </row>
    <row r="757" spans="1:10" x14ac:dyDescent="0.2">
      <c r="A757">
        <v>5102610</v>
      </c>
      <c r="B757" s="8">
        <v>2020</v>
      </c>
      <c r="C757" s="8" t="s">
        <v>309</v>
      </c>
      <c r="D757" s="8" t="s">
        <v>310</v>
      </c>
      <c r="E757" s="8" t="s">
        <v>311</v>
      </c>
      <c r="F757" t="s">
        <v>125</v>
      </c>
      <c r="G757" t="s">
        <v>92</v>
      </c>
      <c r="H757" s="13">
        <v>2735731</v>
      </c>
      <c r="I757" s="13"/>
      <c r="J757" s="8">
        <f t="shared" si="12"/>
        <v>2735731</v>
      </c>
    </row>
    <row r="758" spans="1:10" x14ac:dyDescent="0.2">
      <c r="A758">
        <v>5102610</v>
      </c>
      <c r="B758" s="8">
        <v>2021</v>
      </c>
      <c r="C758" s="8" t="s">
        <v>309</v>
      </c>
      <c r="D758" s="8" t="s">
        <v>310</v>
      </c>
      <c r="E758" s="8" t="s">
        <v>311</v>
      </c>
      <c r="F758" t="s">
        <v>125</v>
      </c>
      <c r="G758" t="s">
        <v>92</v>
      </c>
      <c r="H758" s="13">
        <v>2889402</v>
      </c>
      <c r="I758" s="13">
        <v>125290</v>
      </c>
      <c r="J758" s="8">
        <f t="shared" si="12"/>
        <v>3014692</v>
      </c>
    </row>
    <row r="759" spans="1:10" x14ac:dyDescent="0.2">
      <c r="A759">
        <v>5102610</v>
      </c>
      <c r="B759" s="8">
        <v>2022</v>
      </c>
      <c r="C759" s="8" t="s">
        <v>309</v>
      </c>
      <c r="D759" s="8" t="s">
        <v>310</v>
      </c>
      <c r="E759" s="8" t="s">
        <v>311</v>
      </c>
      <c r="F759" t="s">
        <v>125</v>
      </c>
      <c r="G759" t="s">
        <v>92</v>
      </c>
      <c r="H759" s="13">
        <v>3107718</v>
      </c>
      <c r="I759" s="13">
        <v>925396</v>
      </c>
      <c r="J759" s="8">
        <f t="shared" si="12"/>
        <v>4033114</v>
      </c>
    </row>
    <row r="760" spans="1:10" x14ac:dyDescent="0.2">
      <c r="A760">
        <v>5102610</v>
      </c>
      <c r="B760" s="8">
        <v>2023</v>
      </c>
      <c r="C760" s="8" t="s">
        <v>309</v>
      </c>
      <c r="D760" s="8" t="s">
        <v>310</v>
      </c>
      <c r="E760" s="8" t="s">
        <v>311</v>
      </c>
      <c r="F760" t="s">
        <v>125</v>
      </c>
      <c r="G760" t="s">
        <v>92</v>
      </c>
      <c r="H760" s="13">
        <v>3452732</v>
      </c>
      <c r="I760" s="13">
        <v>322533</v>
      </c>
      <c r="J760" s="8">
        <f t="shared" si="12"/>
        <v>3775265</v>
      </c>
    </row>
    <row r="761" spans="1:10" x14ac:dyDescent="0.2">
      <c r="A761">
        <v>5102580</v>
      </c>
      <c r="B761" s="8">
        <v>2015</v>
      </c>
      <c r="C761" s="8" t="s">
        <v>309</v>
      </c>
      <c r="D761" s="8" t="s">
        <v>310</v>
      </c>
      <c r="E761" s="8" t="s">
        <v>311</v>
      </c>
      <c r="F761" t="s">
        <v>124</v>
      </c>
      <c r="G761" t="s">
        <v>91</v>
      </c>
      <c r="H761" s="13">
        <v>1607599</v>
      </c>
      <c r="I761" s="13"/>
      <c r="J761" s="8">
        <f t="shared" si="12"/>
        <v>1607599</v>
      </c>
    </row>
    <row r="762" spans="1:10" x14ac:dyDescent="0.2">
      <c r="A762">
        <v>5102580</v>
      </c>
      <c r="B762" s="8">
        <v>2016</v>
      </c>
      <c r="C762" s="8" t="s">
        <v>309</v>
      </c>
      <c r="D762" s="8" t="s">
        <v>310</v>
      </c>
      <c r="E762" s="8" t="s">
        <v>311</v>
      </c>
      <c r="F762" t="s">
        <v>124</v>
      </c>
      <c r="G762" t="s">
        <v>91</v>
      </c>
      <c r="H762" s="13">
        <v>1586636</v>
      </c>
      <c r="I762" s="13"/>
      <c r="J762" s="8">
        <f t="shared" si="12"/>
        <v>1586636</v>
      </c>
    </row>
    <row r="763" spans="1:10" x14ac:dyDescent="0.2">
      <c r="A763">
        <v>5102580</v>
      </c>
      <c r="B763" s="8">
        <v>2017</v>
      </c>
      <c r="C763" s="8" t="s">
        <v>309</v>
      </c>
      <c r="D763" s="8" t="s">
        <v>310</v>
      </c>
      <c r="E763" s="8" t="s">
        <v>311</v>
      </c>
      <c r="F763" t="s">
        <v>124</v>
      </c>
      <c r="G763" t="s">
        <v>91</v>
      </c>
      <c r="H763" s="13">
        <v>1641569</v>
      </c>
      <c r="I763" s="13"/>
      <c r="J763" s="8">
        <f t="shared" si="12"/>
        <v>1641569</v>
      </c>
    </row>
    <row r="764" spans="1:10" x14ac:dyDescent="0.2">
      <c r="A764">
        <v>5102580</v>
      </c>
      <c r="B764" s="8">
        <v>2018</v>
      </c>
      <c r="C764" s="8" t="s">
        <v>309</v>
      </c>
      <c r="D764" s="8" t="s">
        <v>310</v>
      </c>
      <c r="E764" s="8" t="s">
        <v>311</v>
      </c>
      <c r="F764" t="s">
        <v>124</v>
      </c>
      <c r="G764" t="s">
        <v>91</v>
      </c>
      <c r="H764" s="13">
        <v>1873385</v>
      </c>
      <c r="I764" s="13"/>
      <c r="J764" s="8">
        <f t="shared" si="12"/>
        <v>1873385</v>
      </c>
    </row>
    <row r="765" spans="1:10" x14ac:dyDescent="0.2">
      <c r="A765">
        <v>5102580</v>
      </c>
      <c r="B765" s="8">
        <v>2019</v>
      </c>
      <c r="C765" s="8" t="s">
        <v>309</v>
      </c>
      <c r="D765" s="8" t="s">
        <v>310</v>
      </c>
      <c r="E765" s="8" t="s">
        <v>311</v>
      </c>
      <c r="F765" t="s">
        <v>124</v>
      </c>
      <c r="G765" t="s">
        <v>91</v>
      </c>
      <c r="H765" s="13">
        <v>1815913</v>
      </c>
      <c r="I765" s="13"/>
      <c r="J765" s="8">
        <f t="shared" si="12"/>
        <v>1815913</v>
      </c>
    </row>
    <row r="766" spans="1:10" x14ac:dyDescent="0.2">
      <c r="A766">
        <v>5102580</v>
      </c>
      <c r="B766" s="8">
        <v>2020</v>
      </c>
      <c r="C766" s="8" t="s">
        <v>309</v>
      </c>
      <c r="D766" s="8" t="s">
        <v>310</v>
      </c>
      <c r="E766" s="8" t="s">
        <v>311</v>
      </c>
      <c r="F766" t="s">
        <v>124</v>
      </c>
      <c r="G766" t="s">
        <v>91</v>
      </c>
      <c r="H766" s="13">
        <v>1791194</v>
      </c>
      <c r="I766" s="13"/>
      <c r="J766" s="8">
        <f t="shared" si="12"/>
        <v>1791194</v>
      </c>
    </row>
    <row r="767" spans="1:10" x14ac:dyDescent="0.2">
      <c r="A767">
        <v>5102580</v>
      </c>
      <c r="B767" s="8">
        <v>2021</v>
      </c>
      <c r="C767" s="8" t="s">
        <v>309</v>
      </c>
      <c r="D767" s="8" t="s">
        <v>310</v>
      </c>
      <c r="E767" s="8" t="s">
        <v>311</v>
      </c>
      <c r="F767" t="s">
        <v>124</v>
      </c>
      <c r="G767" t="s">
        <v>91</v>
      </c>
      <c r="H767" s="13">
        <v>1838757</v>
      </c>
      <c r="I767" s="13">
        <v>79729</v>
      </c>
      <c r="J767" s="8">
        <f t="shared" si="12"/>
        <v>1918486</v>
      </c>
    </row>
    <row r="768" spans="1:10" x14ac:dyDescent="0.2">
      <c r="A768">
        <v>5102580</v>
      </c>
      <c r="B768" s="8">
        <v>2022</v>
      </c>
      <c r="C768" s="8" t="s">
        <v>309</v>
      </c>
      <c r="D768" s="8" t="s">
        <v>310</v>
      </c>
      <c r="E768" s="8" t="s">
        <v>311</v>
      </c>
      <c r="F768" t="s">
        <v>124</v>
      </c>
      <c r="G768" t="s">
        <v>91</v>
      </c>
      <c r="H768" s="13">
        <v>1912870</v>
      </c>
      <c r="I768" s="13">
        <v>569597</v>
      </c>
      <c r="J768" s="8">
        <f t="shared" si="12"/>
        <v>2482467</v>
      </c>
    </row>
    <row r="769" spans="1:10" x14ac:dyDescent="0.2">
      <c r="A769">
        <v>5102580</v>
      </c>
      <c r="B769" s="8">
        <v>2023</v>
      </c>
      <c r="C769" s="8" t="s">
        <v>309</v>
      </c>
      <c r="D769" s="8" t="s">
        <v>310</v>
      </c>
      <c r="E769" s="8" t="s">
        <v>311</v>
      </c>
      <c r="F769" t="s">
        <v>124</v>
      </c>
      <c r="G769" t="s">
        <v>91</v>
      </c>
      <c r="H769" s="13">
        <v>2027544</v>
      </c>
      <c r="I769" s="13">
        <v>189394</v>
      </c>
      <c r="J769" s="8">
        <f t="shared" si="12"/>
        <v>2216938</v>
      </c>
    </row>
    <row r="770" spans="1:10" x14ac:dyDescent="0.2">
      <c r="A770">
        <v>5102520</v>
      </c>
      <c r="B770" s="8">
        <v>2015</v>
      </c>
      <c r="C770" s="8" t="s">
        <v>309</v>
      </c>
      <c r="D770" s="8" t="s">
        <v>310</v>
      </c>
      <c r="E770" s="8" t="s">
        <v>311</v>
      </c>
      <c r="F770" t="s">
        <v>123</v>
      </c>
      <c r="G770" t="s">
        <v>90</v>
      </c>
      <c r="H770" s="13">
        <v>6696196</v>
      </c>
      <c r="I770" s="13"/>
      <c r="J770" s="8">
        <f t="shared" si="12"/>
        <v>6696196</v>
      </c>
    </row>
    <row r="771" spans="1:10" x14ac:dyDescent="0.2">
      <c r="A771">
        <v>5102520</v>
      </c>
      <c r="B771" s="8">
        <v>2016</v>
      </c>
      <c r="C771" s="8" t="s">
        <v>309</v>
      </c>
      <c r="D771" s="8" t="s">
        <v>310</v>
      </c>
      <c r="E771" s="8" t="s">
        <v>311</v>
      </c>
      <c r="F771" t="s">
        <v>123</v>
      </c>
      <c r="G771" t="s">
        <v>90</v>
      </c>
      <c r="H771" s="13">
        <v>6655284</v>
      </c>
      <c r="I771" s="13"/>
      <c r="J771" s="8">
        <f t="shared" ref="J771:J834" si="13">SUM(H771:I771)</f>
        <v>6655284</v>
      </c>
    </row>
    <row r="772" spans="1:10" x14ac:dyDescent="0.2">
      <c r="A772">
        <v>5102520</v>
      </c>
      <c r="B772" s="8">
        <v>2017</v>
      </c>
      <c r="C772" s="8" t="s">
        <v>309</v>
      </c>
      <c r="D772" s="8" t="s">
        <v>310</v>
      </c>
      <c r="E772" s="8" t="s">
        <v>311</v>
      </c>
      <c r="F772" t="s">
        <v>123</v>
      </c>
      <c r="G772" t="s">
        <v>90</v>
      </c>
      <c r="H772" s="13">
        <v>7165556</v>
      </c>
      <c r="I772" s="13"/>
      <c r="J772" s="8">
        <f t="shared" si="13"/>
        <v>7165556</v>
      </c>
    </row>
    <row r="773" spans="1:10" x14ac:dyDescent="0.2">
      <c r="A773">
        <v>5102520</v>
      </c>
      <c r="B773" s="8">
        <v>2018</v>
      </c>
      <c r="C773" s="8" t="s">
        <v>309</v>
      </c>
      <c r="D773" s="8" t="s">
        <v>310</v>
      </c>
      <c r="E773" s="8" t="s">
        <v>311</v>
      </c>
      <c r="F773" t="s">
        <v>123</v>
      </c>
      <c r="G773" t="s">
        <v>90</v>
      </c>
      <c r="H773" s="13">
        <v>8258375</v>
      </c>
      <c r="I773" s="13"/>
      <c r="J773" s="8">
        <f t="shared" si="13"/>
        <v>8258375</v>
      </c>
    </row>
    <row r="774" spans="1:10" x14ac:dyDescent="0.2">
      <c r="A774">
        <v>5102520</v>
      </c>
      <c r="B774" s="8">
        <v>2019</v>
      </c>
      <c r="C774" s="8" t="s">
        <v>309</v>
      </c>
      <c r="D774" s="8" t="s">
        <v>310</v>
      </c>
      <c r="E774" s="8" t="s">
        <v>311</v>
      </c>
      <c r="F774" t="s">
        <v>123</v>
      </c>
      <c r="G774" t="s">
        <v>90</v>
      </c>
      <c r="H774" s="13">
        <v>8130177</v>
      </c>
      <c r="I774" s="13"/>
      <c r="J774" s="8">
        <f t="shared" si="13"/>
        <v>8130177</v>
      </c>
    </row>
    <row r="775" spans="1:10" x14ac:dyDescent="0.2">
      <c r="A775">
        <v>5102520</v>
      </c>
      <c r="B775" s="8">
        <v>2020</v>
      </c>
      <c r="C775" s="8" t="s">
        <v>309</v>
      </c>
      <c r="D775" s="8" t="s">
        <v>310</v>
      </c>
      <c r="E775" s="8" t="s">
        <v>311</v>
      </c>
      <c r="F775" t="s">
        <v>123</v>
      </c>
      <c r="G775" t="s">
        <v>90</v>
      </c>
      <c r="H775" s="13">
        <v>8783764</v>
      </c>
      <c r="I775" s="13"/>
      <c r="J775" s="8">
        <f t="shared" si="13"/>
        <v>8783764</v>
      </c>
    </row>
    <row r="776" spans="1:10" x14ac:dyDescent="0.2">
      <c r="A776">
        <v>5102520</v>
      </c>
      <c r="B776" s="8">
        <v>2021</v>
      </c>
      <c r="C776" s="8" t="s">
        <v>309</v>
      </c>
      <c r="D776" s="8" t="s">
        <v>310</v>
      </c>
      <c r="E776" s="8" t="s">
        <v>311</v>
      </c>
      <c r="F776" t="s">
        <v>123</v>
      </c>
      <c r="G776" t="s">
        <v>90</v>
      </c>
      <c r="H776" s="13">
        <v>9472951</v>
      </c>
      <c r="I776" s="13">
        <v>410761</v>
      </c>
      <c r="J776" s="8">
        <f t="shared" si="13"/>
        <v>9883712</v>
      </c>
    </row>
    <row r="777" spans="1:10" x14ac:dyDescent="0.2">
      <c r="A777">
        <v>5102520</v>
      </c>
      <c r="B777" s="8">
        <v>2022</v>
      </c>
      <c r="C777" s="8" t="s">
        <v>309</v>
      </c>
      <c r="D777" s="8" t="s">
        <v>310</v>
      </c>
      <c r="E777" s="8" t="s">
        <v>311</v>
      </c>
      <c r="F777" t="s">
        <v>123</v>
      </c>
      <c r="G777" t="s">
        <v>90</v>
      </c>
      <c r="H777" s="13">
        <v>10413441</v>
      </c>
      <c r="I777" s="13">
        <v>3100889</v>
      </c>
      <c r="J777" s="8">
        <f t="shared" si="13"/>
        <v>13514330</v>
      </c>
    </row>
    <row r="778" spans="1:10" x14ac:dyDescent="0.2">
      <c r="A778">
        <v>5102520</v>
      </c>
      <c r="B778" s="8">
        <v>2023</v>
      </c>
      <c r="C778" s="8" t="s">
        <v>309</v>
      </c>
      <c r="D778" s="8" t="s">
        <v>310</v>
      </c>
      <c r="E778" s="8" t="s">
        <v>311</v>
      </c>
      <c r="F778" t="s">
        <v>123</v>
      </c>
      <c r="G778" t="s">
        <v>90</v>
      </c>
      <c r="H778" s="13">
        <v>10741177</v>
      </c>
      <c r="I778" s="13">
        <v>1003357</v>
      </c>
      <c r="J778" s="8">
        <f t="shared" si="13"/>
        <v>11744534</v>
      </c>
    </row>
    <row r="779" spans="1:10" x14ac:dyDescent="0.2">
      <c r="A779">
        <v>5102490</v>
      </c>
      <c r="B779" s="8">
        <v>2015</v>
      </c>
      <c r="C779" s="8" t="s">
        <v>309</v>
      </c>
      <c r="D779" s="8" t="s">
        <v>310</v>
      </c>
      <c r="E779" s="8" t="s">
        <v>311</v>
      </c>
      <c r="F779" t="s">
        <v>122</v>
      </c>
      <c r="G779" t="s">
        <v>89</v>
      </c>
      <c r="H779" s="13">
        <v>1024577</v>
      </c>
      <c r="I779" s="13"/>
      <c r="J779" s="8">
        <f t="shared" si="13"/>
        <v>1024577</v>
      </c>
    </row>
    <row r="780" spans="1:10" x14ac:dyDescent="0.2">
      <c r="A780">
        <v>5102490</v>
      </c>
      <c r="B780" s="8">
        <v>2016</v>
      </c>
      <c r="C780" s="8" t="s">
        <v>309</v>
      </c>
      <c r="D780" s="8" t="s">
        <v>310</v>
      </c>
      <c r="E780" s="8" t="s">
        <v>311</v>
      </c>
      <c r="F780" t="s">
        <v>122</v>
      </c>
      <c r="G780" t="s">
        <v>89</v>
      </c>
      <c r="H780" s="13">
        <v>1010379</v>
      </c>
      <c r="I780" s="13"/>
      <c r="J780" s="8">
        <f t="shared" si="13"/>
        <v>1010379</v>
      </c>
    </row>
    <row r="781" spans="1:10" x14ac:dyDescent="0.2">
      <c r="A781">
        <v>5102490</v>
      </c>
      <c r="B781" s="8">
        <v>2017</v>
      </c>
      <c r="C781" s="8" t="s">
        <v>309</v>
      </c>
      <c r="D781" s="8" t="s">
        <v>310</v>
      </c>
      <c r="E781" s="8" t="s">
        <v>311</v>
      </c>
      <c r="F781" t="s">
        <v>122</v>
      </c>
      <c r="G781" t="s">
        <v>89</v>
      </c>
      <c r="H781" s="13">
        <v>1056672</v>
      </c>
      <c r="I781" s="13"/>
      <c r="J781" s="8">
        <f t="shared" si="13"/>
        <v>1056672</v>
      </c>
    </row>
    <row r="782" spans="1:10" x14ac:dyDescent="0.2">
      <c r="A782">
        <v>5102490</v>
      </c>
      <c r="B782" s="8">
        <v>2018</v>
      </c>
      <c r="C782" s="8" t="s">
        <v>309</v>
      </c>
      <c r="D782" s="8" t="s">
        <v>310</v>
      </c>
      <c r="E782" s="8" t="s">
        <v>311</v>
      </c>
      <c r="F782" t="s">
        <v>122</v>
      </c>
      <c r="G782" t="s">
        <v>89</v>
      </c>
      <c r="H782" s="13">
        <v>1246785</v>
      </c>
      <c r="I782" s="13"/>
      <c r="J782" s="8">
        <f t="shared" si="13"/>
        <v>1246785</v>
      </c>
    </row>
    <row r="783" spans="1:10" x14ac:dyDescent="0.2">
      <c r="A783">
        <v>5102490</v>
      </c>
      <c r="B783" s="8">
        <v>2019</v>
      </c>
      <c r="C783" s="8" t="s">
        <v>309</v>
      </c>
      <c r="D783" s="8" t="s">
        <v>310</v>
      </c>
      <c r="E783" s="8" t="s">
        <v>311</v>
      </c>
      <c r="F783" t="s">
        <v>122</v>
      </c>
      <c r="G783" t="s">
        <v>89</v>
      </c>
      <c r="H783" s="13">
        <v>1365093</v>
      </c>
      <c r="I783" s="13"/>
      <c r="J783" s="8">
        <f t="shared" si="13"/>
        <v>1365093</v>
      </c>
    </row>
    <row r="784" spans="1:10" x14ac:dyDescent="0.2">
      <c r="A784">
        <v>5102490</v>
      </c>
      <c r="B784" s="8">
        <v>2020</v>
      </c>
      <c r="C784" s="8" t="s">
        <v>309</v>
      </c>
      <c r="D784" s="8" t="s">
        <v>310</v>
      </c>
      <c r="E784" s="8" t="s">
        <v>311</v>
      </c>
      <c r="F784" t="s">
        <v>122</v>
      </c>
      <c r="G784" t="s">
        <v>89</v>
      </c>
      <c r="H784" s="13">
        <v>1386732</v>
      </c>
      <c r="I784" s="13"/>
      <c r="J784" s="8">
        <f t="shared" si="13"/>
        <v>1386732</v>
      </c>
    </row>
    <row r="785" spans="1:10" x14ac:dyDescent="0.2">
      <c r="A785">
        <v>5102490</v>
      </c>
      <c r="B785" s="8">
        <v>2021</v>
      </c>
      <c r="C785" s="8" t="s">
        <v>309</v>
      </c>
      <c r="D785" s="8" t="s">
        <v>310</v>
      </c>
      <c r="E785" s="8" t="s">
        <v>311</v>
      </c>
      <c r="F785" t="s">
        <v>122</v>
      </c>
      <c r="G785" t="s">
        <v>89</v>
      </c>
      <c r="H785" s="13">
        <v>1454393</v>
      </c>
      <c r="I785" s="13">
        <v>63062</v>
      </c>
      <c r="J785" s="8">
        <f t="shared" si="13"/>
        <v>1517455</v>
      </c>
    </row>
    <row r="786" spans="1:10" x14ac:dyDescent="0.2">
      <c r="A786">
        <v>5102490</v>
      </c>
      <c r="B786" s="8">
        <v>2022</v>
      </c>
      <c r="C786" s="8" t="s">
        <v>309</v>
      </c>
      <c r="D786" s="8" t="s">
        <v>310</v>
      </c>
      <c r="E786" s="8" t="s">
        <v>311</v>
      </c>
      <c r="F786" t="s">
        <v>122</v>
      </c>
      <c r="G786" t="s">
        <v>89</v>
      </c>
      <c r="H786" s="13">
        <v>1508888</v>
      </c>
      <c r="I786" s="13">
        <v>449316</v>
      </c>
      <c r="J786" s="8">
        <f t="shared" si="13"/>
        <v>1958204</v>
      </c>
    </row>
    <row r="787" spans="1:10" x14ac:dyDescent="0.2">
      <c r="A787">
        <v>5102490</v>
      </c>
      <c r="B787" s="8">
        <v>2023</v>
      </c>
      <c r="C787" s="8" t="s">
        <v>309</v>
      </c>
      <c r="D787" s="8" t="s">
        <v>310</v>
      </c>
      <c r="E787" s="8" t="s">
        <v>311</v>
      </c>
      <c r="F787" t="s">
        <v>122</v>
      </c>
      <c r="G787" t="s">
        <v>89</v>
      </c>
      <c r="H787" s="13">
        <v>1650637</v>
      </c>
      <c r="I787" s="13">
        <v>154196</v>
      </c>
      <c r="J787" s="8">
        <f t="shared" si="13"/>
        <v>1804833</v>
      </c>
    </row>
    <row r="788" spans="1:10" x14ac:dyDescent="0.2">
      <c r="A788">
        <v>5102460</v>
      </c>
      <c r="B788" s="8">
        <v>2015</v>
      </c>
      <c r="C788" s="8" t="s">
        <v>309</v>
      </c>
      <c r="D788" s="8" t="s">
        <v>310</v>
      </c>
      <c r="E788" s="8" t="s">
        <v>311</v>
      </c>
      <c r="F788" t="s">
        <v>121</v>
      </c>
      <c r="G788" t="s">
        <v>88</v>
      </c>
      <c r="H788" s="13">
        <v>3080844</v>
      </c>
      <c r="I788" s="13"/>
      <c r="J788" s="8">
        <f t="shared" si="13"/>
        <v>3080844</v>
      </c>
    </row>
    <row r="789" spans="1:10" x14ac:dyDescent="0.2">
      <c r="A789">
        <v>5102460</v>
      </c>
      <c r="B789" s="8">
        <v>2016</v>
      </c>
      <c r="C789" s="8" t="s">
        <v>309</v>
      </c>
      <c r="D789" s="8" t="s">
        <v>310</v>
      </c>
      <c r="E789" s="8" t="s">
        <v>311</v>
      </c>
      <c r="F789" t="s">
        <v>121</v>
      </c>
      <c r="G789" t="s">
        <v>88</v>
      </c>
      <c r="H789" s="13">
        <v>3117659</v>
      </c>
      <c r="I789" s="13"/>
      <c r="J789" s="8">
        <f t="shared" si="13"/>
        <v>3117659</v>
      </c>
    </row>
    <row r="790" spans="1:10" x14ac:dyDescent="0.2">
      <c r="A790">
        <v>5102460</v>
      </c>
      <c r="B790" s="8">
        <v>2017</v>
      </c>
      <c r="C790" s="8" t="s">
        <v>309</v>
      </c>
      <c r="D790" s="8" t="s">
        <v>310</v>
      </c>
      <c r="E790" s="8" t="s">
        <v>311</v>
      </c>
      <c r="F790" t="s">
        <v>121</v>
      </c>
      <c r="G790" t="s">
        <v>88</v>
      </c>
      <c r="H790" s="13">
        <v>3197361</v>
      </c>
      <c r="I790" s="13"/>
      <c r="J790" s="8">
        <f t="shared" si="13"/>
        <v>3197361</v>
      </c>
    </row>
    <row r="791" spans="1:10" x14ac:dyDescent="0.2">
      <c r="A791">
        <v>5102460</v>
      </c>
      <c r="B791" s="8">
        <v>2018</v>
      </c>
      <c r="C791" s="8" t="s">
        <v>309</v>
      </c>
      <c r="D791" s="8" t="s">
        <v>310</v>
      </c>
      <c r="E791" s="8" t="s">
        <v>311</v>
      </c>
      <c r="F791" t="s">
        <v>121</v>
      </c>
      <c r="G791" t="s">
        <v>88</v>
      </c>
      <c r="H791" s="13">
        <v>3674315</v>
      </c>
      <c r="I791" s="13"/>
      <c r="J791" s="8">
        <f t="shared" si="13"/>
        <v>3674315</v>
      </c>
    </row>
    <row r="792" spans="1:10" x14ac:dyDescent="0.2">
      <c r="A792">
        <v>5102460</v>
      </c>
      <c r="B792" s="8">
        <v>2019</v>
      </c>
      <c r="C792" s="8" t="s">
        <v>309</v>
      </c>
      <c r="D792" s="8" t="s">
        <v>310</v>
      </c>
      <c r="E792" s="8" t="s">
        <v>311</v>
      </c>
      <c r="F792" t="s">
        <v>121</v>
      </c>
      <c r="G792" t="s">
        <v>88</v>
      </c>
      <c r="H792" s="13">
        <v>3531727</v>
      </c>
      <c r="I792" s="13"/>
      <c r="J792" s="8">
        <f t="shared" si="13"/>
        <v>3531727</v>
      </c>
    </row>
    <row r="793" spans="1:10" x14ac:dyDescent="0.2">
      <c r="A793">
        <v>5102460</v>
      </c>
      <c r="B793" s="8">
        <v>2020</v>
      </c>
      <c r="C793" s="8" t="s">
        <v>309</v>
      </c>
      <c r="D793" s="8" t="s">
        <v>310</v>
      </c>
      <c r="E793" s="8" t="s">
        <v>311</v>
      </c>
      <c r="F793" t="s">
        <v>121</v>
      </c>
      <c r="G793" t="s">
        <v>88</v>
      </c>
      <c r="H793" s="13">
        <v>3814229</v>
      </c>
      <c r="I793" s="13"/>
      <c r="J793" s="8">
        <f t="shared" si="13"/>
        <v>3814229</v>
      </c>
    </row>
    <row r="794" spans="1:10" x14ac:dyDescent="0.2">
      <c r="A794">
        <v>5102460</v>
      </c>
      <c r="B794" s="8">
        <v>2021</v>
      </c>
      <c r="C794" s="8" t="s">
        <v>309</v>
      </c>
      <c r="D794" s="8" t="s">
        <v>310</v>
      </c>
      <c r="E794" s="8" t="s">
        <v>311</v>
      </c>
      <c r="F794" t="s">
        <v>121</v>
      </c>
      <c r="G794" t="s">
        <v>88</v>
      </c>
      <c r="H794" s="13">
        <v>3906195</v>
      </c>
      <c r="I794" s="13">
        <v>169378</v>
      </c>
      <c r="J794" s="8">
        <f t="shared" si="13"/>
        <v>4075573</v>
      </c>
    </row>
    <row r="795" spans="1:10" x14ac:dyDescent="0.2">
      <c r="A795">
        <v>5102460</v>
      </c>
      <c r="B795" s="8">
        <v>2022</v>
      </c>
      <c r="C795" s="8" t="s">
        <v>309</v>
      </c>
      <c r="D795" s="8" t="s">
        <v>310</v>
      </c>
      <c r="E795" s="8" t="s">
        <v>311</v>
      </c>
      <c r="F795" t="s">
        <v>121</v>
      </c>
      <c r="G795" t="s">
        <v>88</v>
      </c>
      <c r="H795" s="13">
        <v>4141823</v>
      </c>
      <c r="I795" s="13">
        <v>1233331</v>
      </c>
      <c r="J795" s="8">
        <f t="shared" si="13"/>
        <v>5375154</v>
      </c>
    </row>
    <row r="796" spans="1:10" x14ac:dyDescent="0.2">
      <c r="A796">
        <v>5102460</v>
      </c>
      <c r="B796" s="8">
        <v>2023</v>
      </c>
      <c r="C796" s="8" t="s">
        <v>309</v>
      </c>
      <c r="D796" s="8" t="s">
        <v>310</v>
      </c>
      <c r="E796" s="8" t="s">
        <v>311</v>
      </c>
      <c r="F796" t="s">
        <v>121</v>
      </c>
      <c r="G796" t="s">
        <v>88</v>
      </c>
      <c r="H796" s="13">
        <v>4299907</v>
      </c>
      <c r="I796" s="13">
        <v>401658</v>
      </c>
      <c r="J796" s="8">
        <f t="shared" si="13"/>
        <v>4701565</v>
      </c>
    </row>
    <row r="797" spans="1:10" x14ac:dyDescent="0.2">
      <c r="A797">
        <v>5102430</v>
      </c>
      <c r="B797" s="8">
        <v>2015</v>
      </c>
      <c r="C797" s="8" t="s">
        <v>309</v>
      </c>
      <c r="D797" s="8" t="s">
        <v>310</v>
      </c>
      <c r="E797" s="8" t="s">
        <v>311</v>
      </c>
      <c r="F797" t="s">
        <v>120</v>
      </c>
      <c r="G797" t="s">
        <v>87</v>
      </c>
      <c r="H797" s="13">
        <v>921634</v>
      </c>
      <c r="I797" s="13"/>
      <c r="J797" s="8">
        <f t="shared" si="13"/>
        <v>921634</v>
      </c>
    </row>
    <row r="798" spans="1:10" x14ac:dyDescent="0.2">
      <c r="A798">
        <v>5102430</v>
      </c>
      <c r="B798" s="8">
        <v>2016</v>
      </c>
      <c r="C798" s="8" t="s">
        <v>309</v>
      </c>
      <c r="D798" s="8" t="s">
        <v>310</v>
      </c>
      <c r="E798" s="8" t="s">
        <v>311</v>
      </c>
      <c r="F798" t="s">
        <v>120</v>
      </c>
      <c r="G798" t="s">
        <v>87</v>
      </c>
      <c r="H798" s="13">
        <v>899205</v>
      </c>
      <c r="I798" s="13"/>
      <c r="J798" s="8">
        <f t="shared" si="13"/>
        <v>899205</v>
      </c>
    </row>
    <row r="799" spans="1:10" x14ac:dyDescent="0.2">
      <c r="A799">
        <v>5102430</v>
      </c>
      <c r="B799" s="8">
        <v>2017</v>
      </c>
      <c r="C799" s="8" t="s">
        <v>309</v>
      </c>
      <c r="D799" s="8" t="s">
        <v>310</v>
      </c>
      <c r="E799" s="8" t="s">
        <v>311</v>
      </c>
      <c r="F799" t="s">
        <v>120</v>
      </c>
      <c r="G799" t="s">
        <v>87</v>
      </c>
      <c r="H799" s="13">
        <v>952823</v>
      </c>
      <c r="I799" s="13"/>
      <c r="J799" s="8">
        <f t="shared" si="13"/>
        <v>952823</v>
      </c>
    </row>
    <row r="800" spans="1:10" x14ac:dyDescent="0.2">
      <c r="A800">
        <v>5102430</v>
      </c>
      <c r="B800" s="8">
        <v>2018</v>
      </c>
      <c r="C800" s="8" t="s">
        <v>309</v>
      </c>
      <c r="D800" s="8" t="s">
        <v>310</v>
      </c>
      <c r="E800" s="8" t="s">
        <v>311</v>
      </c>
      <c r="F800" t="s">
        <v>120</v>
      </c>
      <c r="G800" t="s">
        <v>87</v>
      </c>
      <c r="H800" s="13">
        <v>1039401</v>
      </c>
      <c r="I800" s="13"/>
      <c r="J800" s="8">
        <f t="shared" si="13"/>
        <v>1039401</v>
      </c>
    </row>
    <row r="801" spans="1:10" x14ac:dyDescent="0.2">
      <c r="A801">
        <v>5102430</v>
      </c>
      <c r="B801" s="8">
        <v>2019</v>
      </c>
      <c r="C801" s="8" t="s">
        <v>309</v>
      </c>
      <c r="D801" s="8" t="s">
        <v>310</v>
      </c>
      <c r="E801" s="8" t="s">
        <v>311</v>
      </c>
      <c r="F801" t="s">
        <v>120</v>
      </c>
      <c r="G801" t="s">
        <v>87</v>
      </c>
      <c r="H801" s="13">
        <v>1017427</v>
      </c>
      <c r="I801" s="13"/>
      <c r="J801" s="8">
        <f t="shared" si="13"/>
        <v>1017427</v>
      </c>
    </row>
    <row r="802" spans="1:10" x14ac:dyDescent="0.2">
      <c r="A802">
        <v>5102430</v>
      </c>
      <c r="B802" s="8">
        <v>2020</v>
      </c>
      <c r="C802" s="8" t="s">
        <v>309</v>
      </c>
      <c r="D802" s="8" t="s">
        <v>310</v>
      </c>
      <c r="E802" s="8" t="s">
        <v>311</v>
      </c>
      <c r="F802" t="s">
        <v>120</v>
      </c>
      <c r="G802" t="s">
        <v>87</v>
      </c>
      <c r="H802" s="13">
        <v>1178080</v>
      </c>
      <c r="I802" s="13"/>
      <c r="J802" s="8">
        <f t="shared" si="13"/>
        <v>1178080</v>
      </c>
    </row>
    <row r="803" spans="1:10" x14ac:dyDescent="0.2">
      <c r="A803">
        <v>5102430</v>
      </c>
      <c r="B803" s="8">
        <v>2021</v>
      </c>
      <c r="C803" s="8" t="s">
        <v>309</v>
      </c>
      <c r="D803" s="8" t="s">
        <v>310</v>
      </c>
      <c r="E803" s="8" t="s">
        <v>311</v>
      </c>
      <c r="F803" t="s">
        <v>120</v>
      </c>
      <c r="G803" t="s">
        <v>87</v>
      </c>
      <c r="H803" s="13">
        <v>1224543</v>
      </c>
      <c r="I803" s="13">
        <v>53100</v>
      </c>
      <c r="J803" s="8">
        <f t="shared" si="13"/>
        <v>1277643</v>
      </c>
    </row>
    <row r="804" spans="1:10" x14ac:dyDescent="0.2">
      <c r="A804">
        <v>5102430</v>
      </c>
      <c r="B804" s="8">
        <v>2022</v>
      </c>
      <c r="C804" s="8" t="s">
        <v>309</v>
      </c>
      <c r="D804" s="8" t="s">
        <v>310</v>
      </c>
      <c r="E804" s="8" t="s">
        <v>311</v>
      </c>
      <c r="F804" t="s">
        <v>120</v>
      </c>
      <c r="G804" t="s">
        <v>87</v>
      </c>
      <c r="H804" s="13">
        <v>1280523</v>
      </c>
      <c r="I804" s="13">
        <v>381324</v>
      </c>
      <c r="J804" s="8">
        <f t="shared" si="13"/>
        <v>1661847</v>
      </c>
    </row>
    <row r="805" spans="1:10" x14ac:dyDescent="0.2">
      <c r="A805">
        <v>5102430</v>
      </c>
      <c r="B805" s="8">
        <v>2023</v>
      </c>
      <c r="C805" s="8" t="s">
        <v>309</v>
      </c>
      <c r="D805" s="8" t="s">
        <v>310</v>
      </c>
      <c r="E805" s="8" t="s">
        <v>311</v>
      </c>
      <c r="F805" t="s">
        <v>120</v>
      </c>
      <c r="G805" t="s">
        <v>87</v>
      </c>
      <c r="H805" s="13">
        <v>1284571</v>
      </c>
      <c r="I805" s="13">
        <v>120001</v>
      </c>
      <c r="J805" s="8">
        <f t="shared" si="13"/>
        <v>1404572</v>
      </c>
    </row>
    <row r="806" spans="1:10" x14ac:dyDescent="0.2">
      <c r="A806">
        <v>5102370</v>
      </c>
      <c r="B806" s="8">
        <v>2015</v>
      </c>
      <c r="C806" s="8" t="s">
        <v>309</v>
      </c>
      <c r="D806" s="8" t="s">
        <v>310</v>
      </c>
      <c r="E806" s="8" t="s">
        <v>311</v>
      </c>
      <c r="F806" t="s">
        <v>119</v>
      </c>
      <c r="G806" t="s">
        <v>86</v>
      </c>
      <c r="H806" s="13">
        <v>1392631</v>
      </c>
      <c r="I806" s="13"/>
      <c r="J806" s="8">
        <f t="shared" si="13"/>
        <v>1392631</v>
      </c>
    </row>
    <row r="807" spans="1:10" x14ac:dyDescent="0.2">
      <c r="A807">
        <v>5102370</v>
      </c>
      <c r="B807" s="8">
        <v>2016</v>
      </c>
      <c r="C807" s="8" t="s">
        <v>309</v>
      </c>
      <c r="D807" s="8" t="s">
        <v>310</v>
      </c>
      <c r="E807" s="8" t="s">
        <v>311</v>
      </c>
      <c r="F807" t="s">
        <v>119</v>
      </c>
      <c r="G807" t="s">
        <v>86</v>
      </c>
      <c r="H807" s="13">
        <v>1339148</v>
      </c>
      <c r="I807" s="13"/>
      <c r="J807" s="8">
        <f t="shared" si="13"/>
        <v>1339148</v>
      </c>
    </row>
    <row r="808" spans="1:10" x14ac:dyDescent="0.2">
      <c r="A808">
        <v>5102370</v>
      </c>
      <c r="B808" s="8">
        <v>2017</v>
      </c>
      <c r="C808" s="8" t="s">
        <v>309</v>
      </c>
      <c r="D808" s="8" t="s">
        <v>310</v>
      </c>
      <c r="E808" s="8" t="s">
        <v>311</v>
      </c>
      <c r="F808" t="s">
        <v>119</v>
      </c>
      <c r="G808" t="s">
        <v>86</v>
      </c>
      <c r="H808" s="13">
        <v>1435916</v>
      </c>
      <c r="I808" s="13"/>
      <c r="J808" s="8">
        <f t="shared" si="13"/>
        <v>1435916</v>
      </c>
    </row>
    <row r="809" spans="1:10" x14ac:dyDescent="0.2">
      <c r="A809">
        <v>5102370</v>
      </c>
      <c r="B809" s="8">
        <v>2018</v>
      </c>
      <c r="C809" s="8" t="s">
        <v>309</v>
      </c>
      <c r="D809" s="8" t="s">
        <v>310</v>
      </c>
      <c r="E809" s="8" t="s">
        <v>311</v>
      </c>
      <c r="F809" t="s">
        <v>119</v>
      </c>
      <c r="G809" t="s">
        <v>86</v>
      </c>
      <c r="H809" s="13">
        <v>1618780</v>
      </c>
      <c r="I809" s="13"/>
      <c r="J809" s="8">
        <f t="shared" si="13"/>
        <v>1618780</v>
      </c>
    </row>
    <row r="810" spans="1:10" x14ac:dyDescent="0.2">
      <c r="A810">
        <v>5102370</v>
      </c>
      <c r="B810" s="8">
        <v>2019</v>
      </c>
      <c r="C810" s="8" t="s">
        <v>309</v>
      </c>
      <c r="D810" s="8" t="s">
        <v>310</v>
      </c>
      <c r="E810" s="8" t="s">
        <v>311</v>
      </c>
      <c r="F810" t="s">
        <v>119</v>
      </c>
      <c r="G810" t="s">
        <v>86</v>
      </c>
      <c r="H810" s="13">
        <v>1541453</v>
      </c>
      <c r="I810" s="13"/>
      <c r="J810" s="8">
        <f t="shared" si="13"/>
        <v>1541453</v>
      </c>
    </row>
    <row r="811" spans="1:10" x14ac:dyDescent="0.2">
      <c r="A811">
        <v>5102370</v>
      </c>
      <c r="B811" s="8">
        <v>2020</v>
      </c>
      <c r="C811" s="8" t="s">
        <v>309</v>
      </c>
      <c r="D811" s="8" t="s">
        <v>310</v>
      </c>
      <c r="E811" s="8" t="s">
        <v>311</v>
      </c>
      <c r="F811" t="s">
        <v>119</v>
      </c>
      <c r="G811" t="s">
        <v>86</v>
      </c>
      <c r="H811" s="13">
        <v>1539369</v>
      </c>
      <c r="I811" s="13"/>
      <c r="J811" s="8">
        <f t="shared" si="13"/>
        <v>1539369</v>
      </c>
    </row>
    <row r="812" spans="1:10" x14ac:dyDescent="0.2">
      <c r="A812">
        <v>5102370</v>
      </c>
      <c r="B812" s="8">
        <v>2021</v>
      </c>
      <c r="C812" s="8" t="s">
        <v>309</v>
      </c>
      <c r="D812" s="8" t="s">
        <v>310</v>
      </c>
      <c r="E812" s="8" t="s">
        <v>311</v>
      </c>
      <c r="F812" t="s">
        <v>119</v>
      </c>
      <c r="G812" t="s">
        <v>86</v>
      </c>
      <c r="H812" s="13">
        <v>1609602</v>
      </c>
      <c r="I812" s="13">
        <v>69791</v>
      </c>
      <c r="J812" s="8">
        <f t="shared" si="13"/>
        <v>1679393</v>
      </c>
    </row>
    <row r="813" spans="1:10" x14ac:dyDescent="0.2">
      <c r="A813">
        <v>5102370</v>
      </c>
      <c r="B813" s="8">
        <v>2022</v>
      </c>
      <c r="C813" s="8" t="s">
        <v>309</v>
      </c>
      <c r="D813" s="8" t="s">
        <v>310</v>
      </c>
      <c r="E813" s="8" t="s">
        <v>311</v>
      </c>
      <c r="F813" t="s">
        <v>119</v>
      </c>
      <c r="G813" t="s">
        <v>86</v>
      </c>
      <c r="H813" s="13">
        <v>1721935</v>
      </c>
      <c r="I813" s="13">
        <v>512752</v>
      </c>
      <c r="J813" s="8">
        <f t="shared" si="13"/>
        <v>2234687</v>
      </c>
    </row>
    <row r="814" spans="1:10" x14ac:dyDescent="0.2">
      <c r="A814">
        <v>5102370</v>
      </c>
      <c r="B814" s="8">
        <v>2023</v>
      </c>
      <c r="C814" s="8" t="s">
        <v>309</v>
      </c>
      <c r="D814" s="8" t="s">
        <v>310</v>
      </c>
      <c r="E814" s="8" t="s">
        <v>311</v>
      </c>
      <c r="F814" t="s">
        <v>119</v>
      </c>
      <c r="G814" t="s">
        <v>86</v>
      </c>
      <c r="H814" s="13">
        <v>1862060</v>
      </c>
      <c r="I814" s="13">
        <v>173940</v>
      </c>
      <c r="J814" s="8">
        <f t="shared" si="13"/>
        <v>2036000</v>
      </c>
    </row>
    <row r="815" spans="1:10" x14ac:dyDescent="0.2">
      <c r="A815">
        <v>5102310</v>
      </c>
      <c r="B815" s="8">
        <v>2015</v>
      </c>
      <c r="C815" s="8" t="s">
        <v>309</v>
      </c>
      <c r="D815" s="8" t="s">
        <v>310</v>
      </c>
      <c r="E815" s="8" t="s">
        <v>311</v>
      </c>
      <c r="F815" t="s">
        <v>118</v>
      </c>
      <c r="G815" t="s">
        <v>85</v>
      </c>
      <c r="H815" s="13">
        <v>1130684</v>
      </c>
      <c r="I815" s="13"/>
      <c r="J815" s="8">
        <f t="shared" si="13"/>
        <v>1130684</v>
      </c>
    </row>
    <row r="816" spans="1:10" x14ac:dyDescent="0.2">
      <c r="A816">
        <v>5102310</v>
      </c>
      <c r="B816" s="8">
        <v>2016</v>
      </c>
      <c r="C816" s="8" t="s">
        <v>309</v>
      </c>
      <c r="D816" s="8" t="s">
        <v>310</v>
      </c>
      <c r="E816" s="8" t="s">
        <v>311</v>
      </c>
      <c r="F816" t="s">
        <v>118</v>
      </c>
      <c r="G816" t="s">
        <v>85</v>
      </c>
      <c r="H816" s="13">
        <v>1157313</v>
      </c>
      <c r="I816" s="13"/>
      <c r="J816" s="8">
        <f t="shared" si="13"/>
        <v>1157313</v>
      </c>
    </row>
    <row r="817" spans="1:10" x14ac:dyDescent="0.2">
      <c r="A817">
        <v>5102310</v>
      </c>
      <c r="B817" s="8">
        <v>2017</v>
      </c>
      <c r="C817" s="8" t="s">
        <v>309</v>
      </c>
      <c r="D817" s="8" t="s">
        <v>310</v>
      </c>
      <c r="E817" s="8" t="s">
        <v>311</v>
      </c>
      <c r="F817" t="s">
        <v>118</v>
      </c>
      <c r="G817" t="s">
        <v>85</v>
      </c>
      <c r="H817" s="13">
        <v>1105072</v>
      </c>
      <c r="I817" s="13"/>
      <c r="J817" s="8">
        <f t="shared" si="13"/>
        <v>1105072</v>
      </c>
    </row>
    <row r="818" spans="1:10" x14ac:dyDescent="0.2">
      <c r="A818">
        <v>5102310</v>
      </c>
      <c r="B818" s="8">
        <v>2018</v>
      </c>
      <c r="C818" s="8" t="s">
        <v>309</v>
      </c>
      <c r="D818" s="8" t="s">
        <v>310</v>
      </c>
      <c r="E818" s="8" t="s">
        <v>311</v>
      </c>
      <c r="F818" t="s">
        <v>118</v>
      </c>
      <c r="G818" t="s">
        <v>85</v>
      </c>
      <c r="H818" s="13">
        <v>1252508</v>
      </c>
      <c r="I818" s="13"/>
      <c r="J818" s="8">
        <f t="shared" si="13"/>
        <v>1252508</v>
      </c>
    </row>
    <row r="819" spans="1:10" x14ac:dyDescent="0.2">
      <c r="A819">
        <v>5102310</v>
      </c>
      <c r="B819" s="8">
        <v>2019</v>
      </c>
      <c r="C819" s="8" t="s">
        <v>309</v>
      </c>
      <c r="D819" s="8" t="s">
        <v>310</v>
      </c>
      <c r="E819" s="8" t="s">
        <v>311</v>
      </c>
      <c r="F819" t="s">
        <v>118</v>
      </c>
      <c r="G819" t="s">
        <v>85</v>
      </c>
      <c r="H819" s="13">
        <v>1254083</v>
      </c>
      <c r="I819" s="13"/>
      <c r="J819" s="8">
        <f t="shared" si="13"/>
        <v>1254083</v>
      </c>
    </row>
    <row r="820" spans="1:10" x14ac:dyDescent="0.2">
      <c r="A820">
        <v>5102310</v>
      </c>
      <c r="B820" s="8">
        <v>2020</v>
      </c>
      <c r="C820" s="8" t="s">
        <v>309</v>
      </c>
      <c r="D820" s="8" t="s">
        <v>310</v>
      </c>
      <c r="E820" s="8" t="s">
        <v>311</v>
      </c>
      <c r="F820" t="s">
        <v>118</v>
      </c>
      <c r="G820" t="s">
        <v>85</v>
      </c>
      <c r="H820" s="13">
        <v>1376948</v>
      </c>
      <c r="I820" s="13"/>
      <c r="J820" s="8">
        <f t="shared" si="13"/>
        <v>1376948</v>
      </c>
    </row>
    <row r="821" spans="1:10" x14ac:dyDescent="0.2">
      <c r="A821">
        <v>5102310</v>
      </c>
      <c r="B821" s="8">
        <v>2021</v>
      </c>
      <c r="C821" s="8" t="s">
        <v>309</v>
      </c>
      <c r="D821" s="8" t="s">
        <v>310</v>
      </c>
      <c r="E821" s="8" t="s">
        <v>311</v>
      </c>
      <c r="F821" t="s">
        <v>118</v>
      </c>
      <c r="G821" t="s">
        <v>85</v>
      </c>
      <c r="H821" s="13">
        <v>1425309</v>
      </c>
      <c r="I821" s="13">
        <v>61804</v>
      </c>
      <c r="J821" s="8">
        <f t="shared" si="13"/>
        <v>1487113</v>
      </c>
    </row>
    <row r="822" spans="1:10" x14ac:dyDescent="0.2">
      <c r="A822">
        <v>5102310</v>
      </c>
      <c r="B822" s="8">
        <v>2022</v>
      </c>
      <c r="C822" s="8" t="s">
        <v>309</v>
      </c>
      <c r="D822" s="8" t="s">
        <v>310</v>
      </c>
      <c r="E822" s="8" t="s">
        <v>311</v>
      </c>
      <c r="F822" t="s">
        <v>118</v>
      </c>
      <c r="G822" t="s">
        <v>85</v>
      </c>
      <c r="H822" s="13">
        <v>1535748</v>
      </c>
      <c r="I822" s="13">
        <v>457323</v>
      </c>
      <c r="J822" s="8">
        <f t="shared" si="13"/>
        <v>1993071</v>
      </c>
    </row>
    <row r="823" spans="1:10" x14ac:dyDescent="0.2">
      <c r="A823">
        <v>5102310</v>
      </c>
      <c r="B823" s="8">
        <v>2023</v>
      </c>
      <c r="C823" s="8" t="s">
        <v>309</v>
      </c>
      <c r="D823" s="8" t="s">
        <v>310</v>
      </c>
      <c r="E823" s="8" t="s">
        <v>311</v>
      </c>
      <c r="F823" t="s">
        <v>118</v>
      </c>
      <c r="G823" t="s">
        <v>85</v>
      </c>
      <c r="H823" s="13">
        <v>1695521</v>
      </c>
      <c r="I823" s="13">
        <v>158384</v>
      </c>
      <c r="J823" s="8">
        <f t="shared" si="13"/>
        <v>1853905</v>
      </c>
    </row>
    <row r="824" spans="1:10" x14ac:dyDescent="0.2">
      <c r="A824">
        <v>5102280</v>
      </c>
      <c r="B824" s="8">
        <v>2015</v>
      </c>
      <c r="C824" s="8" t="s">
        <v>309</v>
      </c>
      <c r="D824" s="8" t="s">
        <v>310</v>
      </c>
      <c r="E824" s="8" t="s">
        <v>311</v>
      </c>
      <c r="F824" t="s">
        <v>117</v>
      </c>
      <c r="G824" t="s">
        <v>84</v>
      </c>
      <c r="H824" s="13">
        <v>3721891</v>
      </c>
      <c r="I824" s="13"/>
      <c r="J824" s="8">
        <f t="shared" si="13"/>
        <v>3721891</v>
      </c>
    </row>
    <row r="825" spans="1:10" x14ac:dyDescent="0.2">
      <c r="A825">
        <v>5102280</v>
      </c>
      <c r="B825" s="8">
        <v>2016</v>
      </c>
      <c r="C825" s="8" t="s">
        <v>309</v>
      </c>
      <c r="D825" s="8" t="s">
        <v>310</v>
      </c>
      <c r="E825" s="8" t="s">
        <v>311</v>
      </c>
      <c r="F825" t="s">
        <v>117</v>
      </c>
      <c r="G825" t="s">
        <v>84</v>
      </c>
      <c r="H825" s="13">
        <v>3712539</v>
      </c>
      <c r="I825" s="13"/>
      <c r="J825" s="8">
        <f t="shared" si="13"/>
        <v>3712539</v>
      </c>
    </row>
    <row r="826" spans="1:10" x14ac:dyDescent="0.2">
      <c r="A826">
        <v>5102280</v>
      </c>
      <c r="B826" s="8">
        <v>2017</v>
      </c>
      <c r="C826" s="8" t="s">
        <v>309</v>
      </c>
      <c r="D826" s="8" t="s">
        <v>310</v>
      </c>
      <c r="E826" s="8" t="s">
        <v>311</v>
      </c>
      <c r="F826" t="s">
        <v>117</v>
      </c>
      <c r="G826" t="s">
        <v>84</v>
      </c>
      <c r="H826" s="13">
        <v>3903095</v>
      </c>
      <c r="I826" s="13"/>
      <c r="J826" s="8">
        <f t="shared" si="13"/>
        <v>3903095</v>
      </c>
    </row>
    <row r="827" spans="1:10" x14ac:dyDescent="0.2">
      <c r="A827">
        <v>5102280</v>
      </c>
      <c r="B827" s="8">
        <v>2018</v>
      </c>
      <c r="C827" s="8" t="s">
        <v>309</v>
      </c>
      <c r="D827" s="8" t="s">
        <v>310</v>
      </c>
      <c r="E827" s="8" t="s">
        <v>311</v>
      </c>
      <c r="F827" t="s">
        <v>117</v>
      </c>
      <c r="G827" t="s">
        <v>84</v>
      </c>
      <c r="H827" s="13">
        <v>4540070</v>
      </c>
      <c r="I827" s="13"/>
      <c r="J827" s="8">
        <f t="shared" si="13"/>
        <v>4540070</v>
      </c>
    </row>
    <row r="828" spans="1:10" x14ac:dyDescent="0.2">
      <c r="A828">
        <v>5102280</v>
      </c>
      <c r="B828" s="8">
        <v>2019</v>
      </c>
      <c r="C828" s="8" t="s">
        <v>309</v>
      </c>
      <c r="D828" s="8" t="s">
        <v>310</v>
      </c>
      <c r="E828" s="8" t="s">
        <v>311</v>
      </c>
      <c r="F828" t="s">
        <v>117</v>
      </c>
      <c r="G828" t="s">
        <v>84</v>
      </c>
      <c r="H828" s="13">
        <v>4471730</v>
      </c>
      <c r="I828" s="13"/>
      <c r="J828" s="8">
        <f t="shared" si="13"/>
        <v>4471730</v>
      </c>
    </row>
    <row r="829" spans="1:10" x14ac:dyDescent="0.2">
      <c r="A829">
        <v>5102280</v>
      </c>
      <c r="B829" s="8">
        <v>2020</v>
      </c>
      <c r="C829" s="8" t="s">
        <v>309</v>
      </c>
      <c r="D829" s="8" t="s">
        <v>310</v>
      </c>
      <c r="E829" s="8" t="s">
        <v>311</v>
      </c>
      <c r="F829" t="s">
        <v>117</v>
      </c>
      <c r="G829" t="s">
        <v>84</v>
      </c>
      <c r="H829" s="13">
        <v>4683607</v>
      </c>
      <c r="I829" s="13"/>
      <c r="J829" s="8">
        <f t="shared" si="13"/>
        <v>4683607</v>
      </c>
    </row>
    <row r="830" spans="1:10" x14ac:dyDescent="0.2">
      <c r="A830">
        <v>5102280</v>
      </c>
      <c r="B830" s="8">
        <v>2021</v>
      </c>
      <c r="C830" s="8" t="s">
        <v>309</v>
      </c>
      <c r="D830" s="8" t="s">
        <v>310</v>
      </c>
      <c r="E830" s="8" t="s">
        <v>311</v>
      </c>
      <c r="F830" t="s">
        <v>117</v>
      </c>
      <c r="G830" t="s">
        <v>84</v>
      </c>
      <c r="H830" s="13">
        <v>5200642</v>
      </c>
      <c r="I830" s="13">
        <v>225508</v>
      </c>
      <c r="J830" s="8">
        <f t="shared" si="13"/>
        <v>5426150</v>
      </c>
    </row>
    <row r="831" spans="1:10" x14ac:dyDescent="0.2">
      <c r="A831">
        <v>5102280</v>
      </c>
      <c r="B831" s="8">
        <v>2022</v>
      </c>
      <c r="C831" s="8" t="s">
        <v>309</v>
      </c>
      <c r="D831" s="8" t="s">
        <v>310</v>
      </c>
      <c r="E831" s="8" t="s">
        <v>311</v>
      </c>
      <c r="F831" t="s">
        <v>117</v>
      </c>
      <c r="G831" t="s">
        <v>84</v>
      </c>
      <c r="H831" s="13">
        <v>5622815</v>
      </c>
      <c r="I831" s="13">
        <v>1674375</v>
      </c>
      <c r="J831" s="8">
        <f t="shared" si="13"/>
        <v>7297190</v>
      </c>
    </row>
    <row r="832" spans="1:10" x14ac:dyDescent="0.2">
      <c r="A832">
        <v>5102280</v>
      </c>
      <c r="B832" s="8">
        <v>2023</v>
      </c>
      <c r="C832" s="8" t="s">
        <v>309</v>
      </c>
      <c r="D832" s="8" t="s">
        <v>310</v>
      </c>
      <c r="E832" s="8" t="s">
        <v>311</v>
      </c>
      <c r="F832" t="s">
        <v>117</v>
      </c>
      <c r="G832" t="s">
        <v>84</v>
      </c>
      <c r="H832" s="13">
        <v>6071620</v>
      </c>
      <c r="I832" s="13">
        <v>567164</v>
      </c>
      <c r="J832" s="8">
        <f t="shared" si="13"/>
        <v>6638784</v>
      </c>
    </row>
    <row r="833" spans="1:10" x14ac:dyDescent="0.2">
      <c r="A833">
        <v>5102250</v>
      </c>
      <c r="B833" s="8">
        <v>2015</v>
      </c>
      <c r="C833" s="8" t="s">
        <v>309</v>
      </c>
      <c r="D833" s="8" t="s">
        <v>310</v>
      </c>
      <c r="E833" s="8" t="s">
        <v>311</v>
      </c>
      <c r="F833" t="s">
        <v>116</v>
      </c>
      <c r="G833" t="s">
        <v>83</v>
      </c>
      <c r="H833" s="13">
        <v>68719088</v>
      </c>
      <c r="I833" s="13"/>
      <c r="J833" s="8">
        <f t="shared" si="13"/>
        <v>68719088</v>
      </c>
    </row>
    <row r="834" spans="1:10" x14ac:dyDescent="0.2">
      <c r="A834">
        <v>5102250</v>
      </c>
      <c r="B834" s="8">
        <v>2016</v>
      </c>
      <c r="C834" s="8" t="s">
        <v>309</v>
      </c>
      <c r="D834" s="8" t="s">
        <v>310</v>
      </c>
      <c r="E834" s="8" t="s">
        <v>311</v>
      </c>
      <c r="F834" t="s">
        <v>116</v>
      </c>
      <c r="G834" t="s">
        <v>83</v>
      </c>
      <c r="H834" s="13">
        <v>70938164</v>
      </c>
      <c r="I834" s="13"/>
      <c r="J834" s="8">
        <f t="shared" si="13"/>
        <v>70938164</v>
      </c>
    </row>
    <row r="835" spans="1:10" x14ac:dyDescent="0.2">
      <c r="A835">
        <v>5102250</v>
      </c>
      <c r="B835" s="8">
        <v>2017</v>
      </c>
      <c r="C835" s="8" t="s">
        <v>309</v>
      </c>
      <c r="D835" s="8" t="s">
        <v>310</v>
      </c>
      <c r="E835" s="8" t="s">
        <v>311</v>
      </c>
      <c r="F835" t="s">
        <v>116</v>
      </c>
      <c r="G835" t="s">
        <v>83</v>
      </c>
      <c r="H835" s="13">
        <v>78008862</v>
      </c>
      <c r="I835" s="13"/>
      <c r="J835" s="8">
        <f t="shared" ref="J835:J898" si="14">SUM(H835:I835)</f>
        <v>78008862</v>
      </c>
    </row>
    <row r="836" spans="1:10" x14ac:dyDescent="0.2">
      <c r="A836">
        <v>5102250</v>
      </c>
      <c r="B836" s="8">
        <v>2018</v>
      </c>
      <c r="C836" s="8" t="s">
        <v>309</v>
      </c>
      <c r="D836" s="8" t="s">
        <v>310</v>
      </c>
      <c r="E836" s="8" t="s">
        <v>311</v>
      </c>
      <c r="F836" t="s">
        <v>116</v>
      </c>
      <c r="G836" t="s">
        <v>83</v>
      </c>
      <c r="H836" s="13">
        <v>92691913</v>
      </c>
      <c r="I836" s="13"/>
      <c r="J836" s="8">
        <f t="shared" si="14"/>
        <v>92691913</v>
      </c>
    </row>
    <row r="837" spans="1:10" x14ac:dyDescent="0.2">
      <c r="A837">
        <v>5102250</v>
      </c>
      <c r="B837" s="8">
        <v>2019</v>
      </c>
      <c r="C837" s="8" t="s">
        <v>309</v>
      </c>
      <c r="D837" s="8" t="s">
        <v>310</v>
      </c>
      <c r="E837" s="8" t="s">
        <v>311</v>
      </c>
      <c r="F837" t="s">
        <v>116</v>
      </c>
      <c r="G837" t="s">
        <v>83</v>
      </c>
      <c r="H837" s="13">
        <v>95362004</v>
      </c>
      <c r="I837" s="13"/>
      <c r="J837" s="8">
        <f t="shared" si="14"/>
        <v>95362004</v>
      </c>
    </row>
    <row r="838" spans="1:10" x14ac:dyDescent="0.2">
      <c r="A838">
        <v>5102250</v>
      </c>
      <c r="B838" s="8">
        <v>2020</v>
      </c>
      <c r="C838" s="8" t="s">
        <v>309</v>
      </c>
      <c r="D838" s="8" t="s">
        <v>310</v>
      </c>
      <c r="E838" s="8" t="s">
        <v>311</v>
      </c>
      <c r="F838" t="s">
        <v>116</v>
      </c>
      <c r="G838" t="s">
        <v>83</v>
      </c>
      <c r="H838" s="13">
        <v>105864382</v>
      </c>
      <c r="I838" s="13"/>
      <c r="J838" s="8">
        <f t="shared" si="14"/>
        <v>105864382</v>
      </c>
    </row>
    <row r="839" spans="1:10" x14ac:dyDescent="0.2">
      <c r="A839">
        <v>5102250</v>
      </c>
      <c r="B839" s="8">
        <v>2021</v>
      </c>
      <c r="C839" s="8" t="s">
        <v>309</v>
      </c>
      <c r="D839" s="8" t="s">
        <v>310</v>
      </c>
      <c r="E839" s="8" t="s">
        <v>311</v>
      </c>
      <c r="F839" t="s">
        <v>116</v>
      </c>
      <c r="G839" t="s">
        <v>83</v>
      </c>
      <c r="H839" s="13">
        <v>115569628</v>
      </c>
      <c r="I839" s="13">
        <v>5011238</v>
      </c>
      <c r="J839" s="8">
        <f t="shared" si="14"/>
        <v>120580866</v>
      </c>
    </row>
    <row r="840" spans="1:10" x14ac:dyDescent="0.2">
      <c r="A840">
        <v>5102250</v>
      </c>
      <c r="B840" s="8">
        <v>2022</v>
      </c>
      <c r="C840" s="8" t="s">
        <v>309</v>
      </c>
      <c r="D840" s="8" t="s">
        <v>310</v>
      </c>
      <c r="E840" s="8" t="s">
        <v>311</v>
      </c>
      <c r="F840" t="s">
        <v>116</v>
      </c>
      <c r="G840" t="s">
        <v>83</v>
      </c>
      <c r="H840" s="13">
        <v>125912501</v>
      </c>
      <c r="I840" s="13">
        <v>37494090</v>
      </c>
      <c r="J840" s="8">
        <f t="shared" si="14"/>
        <v>163406591</v>
      </c>
    </row>
    <row r="841" spans="1:10" x14ac:dyDescent="0.2">
      <c r="A841">
        <v>5102250</v>
      </c>
      <c r="B841" s="8">
        <v>2023</v>
      </c>
      <c r="C841" s="8" t="s">
        <v>309</v>
      </c>
      <c r="D841" s="8" t="s">
        <v>310</v>
      </c>
      <c r="E841" s="8" t="s">
        <v>311</v>
      </c>
      <c r="F841" t="s">
        <v>116</v>
      </c>
      <c r="G841" t="s">
        <v>83</v>
      </c>
      <c r="H841" s="13">
        <v>130822489</v>
      </c>
      <c r="I841" s="13">
        <v>12220457</v>
      </c>
      <c r="J841" s="8">
        <f t="shared" si="14"/>
        <v>143042946</v>
      </c>
    </row>
    <row r="842" spans="1:10" x14ac:dyDescent="0.2">
      <c r="A842">
        <v>5102190</v>
      </c>
      <c r="B842" s="8">
        <v>2015</v>
      </c>
      <c r="C842" s="8" t="s">
        <v>309</v>
      </c>
      <c r="D842" s="8" t="s">
        <v>310</v>
      </c>
      <c r="E842" s="8" t="s">
        <v>311</v>
      </c>
      <c r="F842" t="s">
        <v>115</v>
      </c>
      <c r="G842" t="s">
        <v>82</v>
      </c>
      <c r="H842" s="13">
        <v>2594337</v>
      </c>
      <c r="I842" s="13"/>
      <c r="J842" s="8">
        <f t="shared" si="14"/>
        <v>2594337</v>
      </c>
    </row>
    <row r="843" spans="1:10" x14ac:dyDescent="0.2">
      <c r="A843">
        <v>5102190</v>
      </c>
      <c r="B843" s="8">
        <v>2016</v>
      </c>
      <c r="C843" s="8" t="s">
        <v>309</v>
      </c>
      <c r="D843" s="8" t="s">
        <v>310</v>
      </c>
      <c r="E843" s="8" t="s">
        <v>311</v>
      </c>
      <c r="F843" t="s">
        <v>115</v>
      </c>
      <c r="G843" t="s">
        <v>82</v>
      </c>
      <c r="H843" s="13">
        <v>2493705</v>
      </c>
      <c r="I843" s="13"/>
      <c r="J843" s="8">
        <f t="shared" si="14"/>
        <v>2493705</v>
      </c>
    </row>
    <row r="844" spans="1:10" x14ac:dyDescent="0.2">
      <c r="A844">
        <v>5102190</v>
      </c>
      <c r="B844" s="8">
        <v>2017</v>
      </c>
      <c r="C844" s="8" t="s">
        <v>309</v>
      </c>
      <c r="D844" s="8" t="s">
        <v>310</v>
      </c>
      <c r="E844" s="8" t="s">
        <v>311</v>
      </c>
      <c r="F844" t="s">
        <v>115</v>
      </c>
      <c r="G844" t="s">
        <v>82</v>
      </c>
      <c r="H844" s="13">
        <v>2656179</v>
      </c>
      <c r="I844" s="13"/>
      <c r="J844" s="8">
        <f t="shared" si="14"/>
        <v>2656179</v>
      </c>
    </row>
    <row r="845" spans="1:10" x14ac:dyDescent="0.2">
      <c r="A845">
        <v>5102190</v>
      </c>
      <c r="B845" s="8">
        <v>2018</v>
      </c>
      <c r="C845" s="8" t="s">
        <v>309</v>
      </c>
      <c r="D845" s="8" t="s">
        <v>310</v>
      </c>
      <c r="E845" s="8" t="s">
        <v>311</v>
      </c>
      <c r="F845" t="s">
        <v>115</v>
      </c>
      <c r="G845" t="s">
        <v>82</v>
      </c>
      <c r="H845" s="13">
        <v>3020036</v>
      </c>
      <c r="I845" s="13"/>
      <c r="J845" s="8">
        <f t="shared" si="14"/>
        <v>3020036</v>
      </c>
    </row>
    <row r="846" spans="1:10" x14ac:dyDescent="0.2">
      <c r="A846">
        <v>5102190</v>
      </c>
      <c r="B846" s="8">
        <v>2019</v>
      </c>
      <c r="C846" s="8" t="s">
        <v>309</v>
      </c>
      <c r="D846" s="8" t="s">
        <v>310</v>
      </c>
      <c r="E846" s="8" t="s">
        <v>311</v>
      </c>
      <c r="F846" t="s">
        <v>115</v>
      </c>
      <c r="G846" t="s">
        <v>82</v>
      </c>
      <c r="H846" s="13">
        <v>2852616</v>
      </c>
      <c r="I846" s="13"/>
      <c r="J846" s="8">
        <f t="shared" si="14"/>
        <v>2852616</v>
      </c>
    </row>
    <row r="847" spans="1:10" x14ac:dyDescent="0.2">
      <c r="A847">
        <v>5102190</v>
      </c>
      <c r="B847" s="8">
        <v>2020</v>
      </c>
      <c r="C847" s="8" t="s">
        <v>309</v>
      </c>
      <c r="D847" s="8" t="s">
        <v>310</v>
      </c>
      <c r="E847" s="8" t="s">
        <v>311</v>
      </c>
      <c r="F847" t="s">
        <v>115</v>
      </c>
      <c r="G847" t="s">
        <v>82</v>
      </c>
      <c r="H847" s="13">
        <v>3026059</v>
      </c>
      <c r="I847" s="13"/>
      <c r="J847" s="8">
        <f t="shared" si="14"/>
        <v>3026059</v>
      </c>
    </row>
    <row r="848" spans="1:10" x14ac:dyDescent="0.2">
      <c r="A848">
        <v>5102190</v>
      </c>
      <c r="B848" s="8">
        <v>2021</v>
      </c>
      <c r="C848" s="8" t="s">
        <v>309</v>
      </c>
      <c r="D848" s="8" t="s">
        <v>310</v>
      </c>
      <c r="E848" s="8" t="s">
        <v>311</v>
      </c>
      <c r="F848" t="s">
        <v>115</v>
      </c>
      <c r="G848" t="s">
        <v>82</v>
      </c>
      <c r="H848" s="13">
        <v>3023744</v>
      </c>
      <c r="I848" s="13">
        <v>131111</v>
      </c>
      <c r="J848" s="8">
        <f t="shared" si="14"/>
        <v>3154855</v>
      </c>
    </row>
    <row r="849" spans="1:10" x14ac:dyDescent="0.2">
      <c r="A849">
        <v>5102190</v>
      </c>
      <c r="B849" s="8">
        <v>2022</v>
      </c>
      <c r="C849" s="8" t="s">
        <v>309</v>
      </c>
      <c r="D849" s="8" t="s">
        <v>310</v>
      </c>
      <c r="E849" s="8" t="s">
        <v>311</v>
      </c>
      <c r="F849" t="s">
        <v>115</v>
      </c>
      <c r="G849" t="s">
        <v>82</v>
      </c>
      <c r="H849" s="13">
        <v>3184036</v>
      </c>
      <c r="I849" s="13">
        <v>948134</v>
      </c>
      <c r="J849" s="8">
        <f t="shared" si="14"/>
        <v>4132170</v>
      </c>
    </row>
    <row r="850" spans="1:10" x14ac:dyDescent="0.2">
      <c r="A850">
        <v>5102190</v>
      </c>
      <c r="B850" s="8">
        <v>2023</v>
      </c>
      <c r="C850" s="8" t="s">
        <v>309</v>
      </c>
      <c r="D850" s="8" t="s">
        <v>310</v>
      </c>
      <c r="E850" s="8" t="s">
        <v>311</v>
      </c>
      <c r="F850" t="s">
        <v>115</v>
      </c>
      <c r="G850" t="s">
        <v>82</v>
      </c>
      <c r="H850" s="13">
        <v>3290299</v>
      </c>
      <c r="I850" s="13">
        <v>307359</v>
      </c>
      <c r="J850" s="8">
        <f t="shared" si="14"/>
        <v>3597658</v>
      </c>
    </row>
    <row r="851" spans="1:10" x14ac:dyDescent="0.2">
      <c r="A851">
        <v>5102160</v>
      </c>
      <c r="B851" s="8">
        <v>2015</v>
      </c>
      <c r="C851" s="8" t="s">
        <v>309</v>
      </c>
      <c r="D851" s="8" t="s">
        <v>310</v>
      </c>
      <c r="E851" s="8" t="s">
        <v>311</v>
      </c>
      <c r="F851" t="s">
        <v>114</v>
      </c>
      <c r="G851" t="s">
        <v>81</v>
      </c>
      <c r="H851" s="13">
        <v>1066056</v>
      </c>
      <c r="I851" s="13"/>
      <c r="J851" s="8">
        <f t="shared" si="14"/>
        <v>1066056</v>
      </c>
    </row>
    <row r="852" spans="1:10" x14ac:dyDescent="0.2">
      <c r="A852">
        <v>5102160</v>
      </c>
      <c r="B852" s="8">
        <v>2016</v>
      </c>
      <c r="C852" s="8" t="s">
        <v>309</v>
      </c>
      <c r="D852" s="8" t="s">
        <v>310</v>
      </c>
      <c r="E852" s="8" t="s">
        <v>311</v>
      </c>
      <c r="F852" t="s">
        <v>114</v>
      </c>
      <c r="G852" t="s">
        <v>81</v>
      </c>
      <c r="H852" s="13">
        <v>1043017</v>
      </c>
      <c r="I852" s="13"/>
      <c r="J852" s="8">
        <f t="shared" si="14"/>
        <v>1043017</v>
      </c>
    </row>
    <row r="853" spans="1:10" x14ac:dyDescent="0.2">
      <c r="A853">
        <v>5102160</v>
      </c>
      <c r="B853" s="8">
        <v>2017</v>
      </c>
      <c r="C853" s="8" t="s">
        <v>309</v>
      </c>
      <c r="D853" s="8" t="s">
        <v>310</v>
      </c>
      <c r="E853" s="8" t="s">
        <v>311</v>
      </c>
      <c r="F853" t="s">
        <v>114</v>
      </c>
      <c r="G853" t="s">
        <v>81</v>
      </c>
      <c r="H853" s="13">
        <v>1097411</v>
      </c>
      <c r="I853" s="13"/>
      <c r="J853" s="8">
        <f t="shared" si="14"/>
        <v>1097411</v>
      </c>
    </row>
    <row r="854" spans="1:10" x14ac:dyDescent="0.2">
      <c r="A854">
        <v>5102160</v>
      </c>
      <c r="B854" s="8">
        <v>2018</v>
      </c>
      <c r="C854" s="8" t="s">
        <v>309</v>
      </c>
      <c r="D854" s="8" t="s">
        <v>310</v>
      </c>
      <c r="E854" s="8" t="s">
        <v>311</v>
      </c>
      <c r="F854" t="s">
        <v>114</v>
      </c>
      <c r="G854" t="s">
        <v>81</v>
      </c>
      <c r="H854" s="13">
        <v>1226426</v>
      </c>
      <c r="I854" s="13"/>
      <c r="J854" s="8">
        <f t="shared" si="14"/>
        <v>1226426</v>
      </c>
    </row>
    <row r="855" spans="1:10" x14ac:dyDescent="0.2">
      <c r="A855">
        <v>5102160</v>
      </c>
      <c r="B855" s="8">
        <v>2019</v>
      </c>
      <c r="C855" s="8" t="s">
        <v>309</v>
      </c>
      <c r="D855" s="8" t="s">
        <v>310</v>
      </c>
      <c r="E855" s="8" t="s">
        <v>311</v>
      </c>
      <c r="F855" t="s">
        <v>114</v>
      </c>
      <c r="G855" t="s">
        <v>81</v>
      </c>
      <c r="H855" s="13">
        <v>1164160</v>
      </c>
      <c r="I855" s="13"/>
      <c r="J855" s="8">
        <f t="shared" si="14"/>
        <v>1164160</v>
      </c>
    </row>
    <row r="856" spans="1:10" x14ac:dyDescent="0.2">
      <c r="A856">
        <v>5102160</v>
      </c>
      <c r="B856" s="8">
        <v>2020</v>
      </c>
      <c r="C856" s="8" t="s">
        <v>309</v>
      </c>
      <c r="D856" s="8" t="s">
        <v>310</v>
      </c>
      <c r="E856" s="8" t="s">
        <v>311</v>
      </c>
      <c r="F856" t="s">
        <v>114</v>
      </c>
      <c r="G856" t="s">
        <v>81</v>
      </c>
      <c r="H856" s="13">
        <v>1104482</v>
      </c>
      <c r="I856" s="13"/>
      <c r="J856" s="8">
        <f t="shared" si="14"/>
        <v>1104482</v>
      </c>
    </row>
    <row r="857" spans="1:10" x14ac:dyDescent="0.2">
      <c r="A857">
        <v>5102160</v>
      </c>
      <c r="B857" s="8">
        <v>2021</v>
      </c>
      <c r="C857" s="8" t="s">
        <v>309</v>
      </c>
      <c r="D857" s="8" t="s">
        <v>310</v>
      </c>
      <c r="E857" s="8" t="s">
        <v>311</v>
      </c>
      <c r="F857" t="s">
        <v>114</v>
      </c>
      <c r="G857" t="s">
        <v>81</v>
      </c>
      <c r="H857" s="13">
        <v>1097148</v>
      </c>
      <c r="I857" s="13">
        <v>47572</v>
      </c>
      <c r="J857" s="8">
        <f t="shared" si="14"/>
        <v>1144720</v>
      </c>
    </row>
    <row r="858" spans="1:10" x14ac:dyDescent="0.2">
      <c r="A858">
        <v>5102160</v>
      </c>
      <c r="B858" s="8">
        <v>2022</v>
      </c>
      <c r="C858" s="8" t="s">
        <v>309</v>
      </c>
      <c r="D858" s="8" t="s">
        <v>310</v>
      </c>
      <c r="E858" s="8" t="s">
        <v>311</v>
      </c>
      <c r="F858" t="s">
        <v>114</v>
      </c>
      <c r="G858" t="s">
        <v>81</v>
      </c>
      <c r="H858" s="13">
        <v>1146164</v>
      </c>
      <c r="I858" s="13">
        <v>341289</v>
      </c>
      <c r="J858" s="8">
        <f t="shared" si="14"/>
        <v>1487453</v>
      </c>
    </row>
    <row r="859" spans="1:10" x14ac:dyDescent="0.2">
      <c r="A859">
        <v>5102160</v>
      </c>
      <c r="B859" s="8">
        <v>2023</v>
      </c>
      <c r="C859" s="8" t="s">
        <v>309</v>
      </c>
      <c r="D859" s="8" t="s">
        <v>310</v>
      </c>
      <c r="E859" s="8" t="s">
        <v>311</v>
      </c>
      <c r="F859" t="s">
        <v>114</v>
      </c>
      <c r="G859" t="s">
        <v>81</v>
      </c>
      <c r="H859" s="13">
        <v>1087695</v>
      </c>
      <c r="I859" s="13">
        <v>101598</v>
      </c>
      <c r="J859" s="8">
        <f t="shared" si="14"/>
        <v>1189293</v>
      </c>
    </row>
    <row r="860" spans="1:10" x14ac:dyDescent="0.2">
      <c r="A860">
        <v>5102120</v>
      </c>
      <c r="B860" s="8">
        <v>2015</v>
      </c>
      <c r="C860" s="8" t="s">
        <v>309</v>
      </c>
      <c r="D860" s="8" t="s">
        <v>310</v>
      </c>
      <c r="E860" s="8" t="s">
        <v>311</v>
      </c>
      <c r="F860" t="s">
        <v>113</v>
      </c>
      <c r="G860" t="s">
        <v>80</v>
      </c>
      <c r="H860" s="13">
        <v>1700649</v>
      </c>
      <c r="I860" s="13"/>
      <c r="J860" s="8">
        <f t="shared" si="14"/>
        <v>1700649</v>
      </c>
    </row>
    <row r="861" spans="1:10" x14ac:dyDescent="0.2">
      <c r="A861">
        <v>5102120</v>
      </c>
      <c r="B861" s="8">
        <v>2016</v>
      </c>
      <c r="C861" s="8" t="s">
        <v>309</v>
      </c>
      <c r="D861" s="8" t="s">
        <v>310</v>
      </c>
      <c r="E861" s="8" t="s">
        <v>311</v>
      </c>
      <c r="F861" t="s">
        <v>113</v>
      </c>
      <c r="G861" t="s">
        <v>80</v>
      </c>
      <c r="H861" s="13">
        <v>1637009</v>
      </c>
      <c r="I861" s="13"/>
      <c r="J861" s="8">
        <f t="shared" si="14"/>
        <v>1637009</v>
      </c>
    </row>
    <row r="862" spans="1:10" x14ac:dyDescent="0.2">
      <c r="A862">
        <v>5102120</v>
      </c>
      <c r="B862" s="8">
        <v>2017</v>
      </c>
      <c r="C862" s="8" t="s">
        <v>309</v>
      </c>
      <c r="D862" s="8" t="s">
        <v>310</v>
      </c>
      <c r="E862" s="8" t="s">
        <v>311</v>
      </c>
      <c r="F862" t="s">
        <v>113</v>
      </c>
      <c r="G862" t="s">
        <v>80</v>
      </c>
      <c r="H862" s="13">
        <v>1706234</v>
      </c>
      <c r="I862" s="13"/>
      <c r="J862" s="8">
        <f t="shared" si="14"/>
        <v>1706234</v>
      </c>
    </row>
    <row r="863" spans="1:10" x14ac:dyDescent="0.2">
      <c r="A863">
        <v>5102120</v>
      </c>
      <c r="B863" s="8">
        <v>2018</v>
      </c>
      <c r="C863" s="8" t="s">
        <v>309</v>
      </c>
      <c r="D863" s="8" t="s">
        <v>310</v>
      </c>
      <c r="E863" s="8" t="s">
        <v>311</v>
      </c>
      <c r="F863" t="s">
        <v>113</v>
      </c>
      <c r="G863" t="s">
        <v>80</v>
      </c>
      <c r="H863" s="13">
        <v>1915948</v>
      </c>
      <c r="I863" s="13"/>
      <c r="J863" s="8">
        <f t="shared" si="14"/>
        <v>1915948</v>
      </c>
    </row>
    <row r="864" spans="1:10" x14ac:dyDescent="0.2">
      <c r="A864">
        <v>5102120</v>
      </c>
      <c r="B864" s="8">
        <v>2019</v>
      </c>
      <c r="C864" s="8" t="s">
        <v>309</v>
      </c>
      <c r="D864" s="8" t="s">
        <v>310</v>
      </c>
      <c r="E864" s="8" t="s">
        <v>311</v>
      </c>
      <c r="F864" t="s">
        <v>113</v>
      </c>
      <c r="G864" t="s">
        <v>80</v>
      </c>
      <c r="H864" s="13">
        <v>1862772</v>
      </c>
      <c r="I864" s="13"/>
      <c r="J864" s="8">
        <f t="shared" si="14"/>
        <v>1862772</v>
      </c>
    </row>
    <row r="865" spans="1:12" x14ac:dyDescent="0.2">
      <c r="A865">
        <v>5102120</v>
      </c>
      <c r="B865" s="8">
        <v>2020</v>
      </c>
      <c r="C865" s="8" t="s">
        <v>309</v>
      </c>
      <c r="D865" s="8" t="s">
        <v>310</v>
      </c>
      <c r="E865" s="8" t="s">
        <v>311</v>
      </c>
      <c r="F865" t="s">
        <v>113</v>
      </c>
      <c r="G865" t="s">
        <v>80</v>
      </c>
      <c r="H865" s="13">
        <v>1901973</v>
      </c>
      <c r="I865" s="13"/>
      <c r="J865" s="8">
        <f t="shared" si="14"/>
        <v>1901973</v>
      </c>
    </row>
    <row r="866" spans="1:12" x14ac:dyDescent="0.2">
      <c r="A866">
        <v>5102120</v>
      </c>
      <c r="B866" s="8">
        <v>2021</v>
      </c>
      <c r="C866" s="8" t="s">
        <v>309</v>
      </c>
      <c r="D866" s="8" t="s">
        <v>310</v>
      </c>
      <c r="E866" s="8" t="s">
        <v>311</v>
      </c>
      <c r="F866" t="s">
        <v>113</v>
      </c>
      <c r="G866" t="s">
        <v>80</v>
      </c>
      <c r="H866" s="13">
        <v>1967188</v>
      </c>
      <c r="I866" s="13">
        <v>85299</v>
      </c>
      <c r="J866" s="8">
        <f t="shared" si="14"/>
        <v>2052487</v>
      </c>
    </row>
    <row r="867" spans="1:12" x14ac:dyDescent="0.2">
      <c r="A867">
        <v>5102120</v>
      </c>
      <c r="B867" s="8">
        <v>2022</v>
      </c>
      <c r="C867" s="8" t="s">
        <v>309</v>
      </c>
      <c r="D867" s="8" t="s">
        <v>310</v>
      </c>
      <c r="E867" s="8" t="s">
        <v>311</v>
      </c>
      <c r="F867" t="s">
        <v>113</v>
      </c>
      <c r="G867" t="s">
        <v>80</v>
      </c>
      <c r="H867" s="13">
        <v>2073166</v>
      </c>
      <c r="I867" s="13">
        <v>617329</v>
      </c>
      <c r="J867" s="8">
        <f t="shared" si="14"/>
        <v>2690495</v>
      </c>
    </row>
    <row r="868" spans="1:12" x14ac:dyDescent="0.2">
      <c r="A868">
        <v>5102120</v>
      </c>
      <c r="B868" s="8">
        <v>2023</v>
      </c>
      <c r="C868" s="8" t="s">
        <v>309</v>
      </c>
      <c r="D868" s="8" t="s">
        <v>310</v>
      </c>
      <c r="E868" s="8" t="s">
        <v>311</v>
      </c>
      <c r="F868" t="s">
        <v>113</v>
      </c>
      <c r="G868" t="s">
        <v>80</v>
      </c>
      <c r="H868" s="13">
        <v>2017579</v>
      </c>
      <c r="I868" s="13">
        <v>188465</v>
      </c>
      <c r="J868" s="8">
        <f t="shared" si="14"/>
        <v>2206044</v>
      </c>
    </row>
    <row r="869" spans="1:12" x14ac:dyDescent="0.2">
      <c r="A869">
        <v>5102070</v>
      </c>
      <c r="B869" s="8">
        <v>2015</v>
      </c>
      <c r="C869" s="8" t="s">
        <v>309</v>
      </c>
      <c r="D869" s="8" t="s">
        <v>310</v>
      </c>
      <c r="E869" s="8" t="s">
        <v>311</v>
      </c>
      <c r="F869" t="s">
        <v>112</v>
      </c>
      <c r="G869" t="s">
        <v>79</v>
      </c>
      <c r="H869" s="13">
        <v>642501</v>
      </c>
      <c r="I869" s="13"/>
      <c r="J869" s="8">
        <f t="shared" si="14"/>
        <v>642501</v>
      </c>
    </row>
    <row r="870" spans="1:12" x14ac:dyDescent="0.2">
      <c r="A870">
        <v>5102070</v>
      </c>
      <c r="B870" s="8">
        <v>2016</v>
      </c>
      <c r="C870" s="8" t="s">
        <v>309</v>
      </c>
      <c r="D870" s="8" t="s">
        <v>310</v>
      </c>
      <c r="E870" s="8" t="s">
        <v>311</v>
      </c>
      <c r="F870" t="s">
        <v>112</v>
      </c>
      <c r="G870" t="s">
        <v>79</v>
      </c>
      <c r="H870" s="13">
        <v>599585</v>
      </c>
      <c r="I870" s="13"/>
      <c r="J870" s="8">
        <f t="shared" si="14"/>
        <v>599585</v>
      </c>
    </row>
    <row r="871" spans="1:12" x14ac:dyDescent="0.2">
      <c r="A871">
        <v>5102070</v>
      </c>
      <c r="B871" s="8">
        <v>2017</v>
      </c>
      <c r="C871" s="8" t="s">
        <v>309</v>
      </c>
      <c r="D871" s="8" t="s">
        <v>310</v>
      </c>
      <c r="E871" s="8" t="s">
        <v>311</v>
      </c>
      <c r="F871" t="s">
        <v>112</v>
      </c>
      <c r="G871" t="s">
        <v>79</v>
      </c>
      <c r="H871" s="13">
        <v>640689</v>
      </c>
      <c r="I871" s="13"/>
      <c r="J871" s="8">
        <f t="shared" si="14"/>
        <v>640689</v>
      </c>
      <c r="K871" s="11"/>
      <c r="L871" s="2"/>
    </row>
    <row r="872" spans="1:12" x14ac:dyDescent="0.2">
      <c r="A872">
        <v>5102070</v>
      </c>
      <c r="B872" s="8">
        <v>2018</v>
      </c>
      <c r="C872" s="8" t="s">
        <v>309</v>
      </c>
      <c r="D872" s="8" t="s">
        <v>310</v>
      </c>
      <c r="E872" s="8" t="s">
        <v>311</v>
      </c>
      <c r="F872" t="s">
        <v>112</v>
      </c>
      <c r="G872" t="s">
        <v>79</v>
      </c>
      <c r="H872" s="13">
        <v>733041</v>
      </c>
      <c r="I872" s="13"/>
      <c r="J872" s="8">
        <f t="shared" si="14"/>
        <v>733041</v>
      </c>
      <c r="K872" s="11"/>
      <c r="L872" s="3"/>
    </row>
    <row r="873" spans="1:12" x14ac:dyDescent="0.2">
      <c r="A873">
        <v>5102070</v>
      </c>
      <c r="B873" s="8">
        <v>2019</v>
      </c>
      <c r="C873" s="8" t="s">
        <v>309</v>
      </c>
      <c r="D873" s="8" t="s">
        <v>310</v>
      </c>
      <c r="E873" s="8" t="s">
        <v>311</v>
      </c>
      <c r="F873" t="s">
        <v>112</v>
      </c>
      <c r="G873" t="s">
        <v>79</v>
      </c>
      <c r="H873" s="13">
        <v>708396</v>
      </c>
      <c r="I873" s="13"/>
      <c r="J873" s="8">
        <f t="shared" si="14"/>
        <v>708396</v>
      </c>
      <c r="K873" s="11"/>
      <c r="L873" s="3"/>
    </row>
    <row r="874" spans="1:12" x14ac:dyDescent="0.2">
      <c r="A874">
        <v>5102070</v>
      </c>
      <c r="B874" s="8">
        <v>2020</v>
      </c>
      <c r="C874" s="8" t="s">
        <v>309</v>
      </c>
      <c r="D874" s="8" t="s">
        <v>310</v>
      </c>
      <c r="E874" s="8" t="s">
        <v>311</v>
      </c>
      <c r="F874" t="s">
        <v>112</v>
      </c>
      <c r="G874" t="s">
        <v>79</v>
      </c>
      <c r="H874" s="13">
        <v>726655</v>
      </c>
      <c r="I874" s="13"/>
      <c r="J874" s="8">
        <f t="shared" si="14"/>
        <v>726655</v>
      </c>
      <c r="K874" s="11"/>
      <c r="L874" s="3"/>
    </row>
    <row r="875" spans="1:12" x14ac:dyDescent="0.2">
      <c r="A875">
        <v>5102070</v>
      </c>
      <c r="B875" s="8">
        <v>2021</v>
      </c>
      <c r="C875" s="8" t="s">
        <v>309</v>
      </c>
      <c r="D875" s="8" t="s">
        <v>310</v>
      </c>
      <c r="E875" s="8" t="s">
        <v>311</v>
      </c>
      <c r="F875" t="s">
        <v>112</v>
      </c>
      <c r="G875" t="s">
        <v>79</v>
      </c>
      <c r="H875" s="13">
        <v>783067</v>
      </c>
      <c r="I875" s="13">
        <v>33954</v>
      </c>
      <c r="J875" s="8">
        <f t="shared" si="14"/>
        <v>817021</v>
      </c>
      <c r="K875" s="11"/>
      <c r="L875" s="3"/>
    </row>
    <row r="876" spans="1:12" x14ac:dyDescent="0.2">
      <c r="A876">
        <v>5102070</v>
      </c>
      <c r="B876" s="8">
        <v>2022</v>
      </c>
      <c r="C876" s="8" t="s">
        <v>309</v>
      </c>
      <c r="D876" s="8" t="s">
        <v>310</v>
      </c>
      <c r="E876" s="8" t="s">
        <v>311</v>
      </c>
      <c r="F876" t="s">
        <v>112</v>
      </c>
      <c r="G876" t="s">
        <v>79</v>
      </c>
      <c r="H876" s="13">
        <v>865720</v>
      </c>
      <c r="I876" s="13">
        <v>257814</v>
      </c>
      <c r="J876" s="8">
        <f t="shared" si="14"/>
        <v>1123534</v>
      </c>
      <c r="K876" s="11"/>
      <c r="L876" s="3"/>
    </row>
    <row r="877" spans="1:12" x14ac:dyDescent="0.2">
      <c r="A877">
        <v>5102070</v>
      </c>
      <c r="B877" s="8">
        <v>2023</v>
      </c>
      <c r="C877" s="8" t="s">
        <v>309</v>
      </c>
      <c r="D877" s="8" t="s">
        <v>310</v>
      </c>
      <c r="E877" s="8" t="s">
        <v>311</v>
      </c>
      <c r="F877" t="s">
        <v>112</v>
      </c>
      <c r="G877" t="s">
        <v>79</v>
      </c>
      <c r="H877" s="13">
        <v>924359</v>
      </c>
      <c r="I877" s="13">
        <v>86351</v>
      </c>
      <c r="J877" s="8">
        <f t="shared" si="14"/>
        <v>1010710</v>
      </c>
      <c r="K877" s="11"/>
      <c r="L877" s="3"/>
    </row>
    <row r="878" spans="1:12" x14ac:dyDescent="0.2">
      <c r="A878">
        <v>5102100</v>
      </c>
      <c r="B878" s="8">
        <v>2015</v>
      </c>
      <c r="C878" s="8" t="s">
        <v>309</v>
      </c>
      <c r="D878" s="8" t="s">
        <v>310</v>
      </c>
      <c r="E878" s="8" t="s">
        <v>311</v>
      </c>
      <c r="F878" t="s">
        <v>111</v>
      </c>
      <c r="G878" t="s">
        <v>78</v>
      </c>
      <c r="H878" s="13">
        <v>2792933</v>
      </c>
      <c r="I878" s="13"/>
      <c r="J878" s="8">
        <f t="shared" si="14"/>
        <v>2792933</v>
      </c>
      <c r="K878" s="11"/>
      <c r="L878" s="3"/>
    </row>
    <row r="879" spans="1:12" x14ac:dyDescent="0.2">
      <c r="A879">
        <v>5102100</v>
      </c>
      <c r="B879" s="8">
        <v>2016</v>
      </c>
      <c r="C879" s="8" t="s">
        <v>309</v>
      </c>
      <c r="D879" s="8" t="s">
        <v>310</v>
      </c>
      <c r="E879" s="8" t="s">
        <v>311</v>
      </c>
      <c r="F879" t="s">
        <v>111</v>
      </c>
      <c r="G879" t="s">
        <v>78</v>
      </c>
      <c r="H879" s="13">
        <v>2848950</v>
      </c>
      <c r="I879" s="13"/>
      <c r="J879" s="8">
        <f t="shared" si="14"/>
        <v>2848950</v>
      </c>
      <c r="K879" s="11"/>
      <c r="L879" s="3"/>
    </row>
    <row r="880" spans="1:12" x14ac:dyDescent="0.2">
      <c r="A880">
        <v>5102100</v>
      </c>
      <c r="B880" s="8">
        <v>2017</v>
      </c>
      <c r="C880" s="8" t="s">
        <v>309</v>
      </c>
      <c r="D880" s="8" t="s">
        <v>310</v>
      </c>
      <c r="E880" s="8" t="s">
        <v>311</v>
      </c>
      <c r="F880" t="s">
        <v>111</v>
      </c>
      <c r="G880" t="s">
        <v>78</v>
      </c>
      <c r="H880" s="13">
        <v>3250530</v>
      </c>
      <c r="I880" s="13"/>
      <c r="J880" s="8">
        <f t="shared" si="14"/>
        <v>3250530</v>
      </c>
      <c r="K880" s="11"/>
      <c r="L880" s="3"/>
    </row>
    <row r="881" spans="1:12" x14ac:dyDescent="0.2">
      <c r="A881">
        <v>5102100</v>
      </c>
      <c r="B881" s="8">
        <v>2018</v>
      </c>
      <c r="C881" s="8" t="s">
        <v>309</v>
      </c>
      <c r="D881" s="8" t="s">
        <v>310</v>
      </c>
      <c r="E881" s="8" t="s">
        <v>311</v>
      </c>
      <c r="F881" t="s">
        <v>111</v>
      </c>
      <c r="G881" t="s">
        <v>78</v>
      </c>
      <c r="H881" s="13">
        <v>3617476</v>
      </c>
      <c r="I881" s="13"/>
      <c r="J881" s="8">
        <f t="shared" si="14"/>
        <v>3617476</v>
      </c>
      <c r="K881" s="11"/>
      <c r="L881" s="3"/>
    </row>
    <row r="882" spans="1:12" x14ac:dyDescent="0.2">
      <c r="A882">
        <v>5102100</v>
      </c>
      <c r="B882" s="8">
        <v>2019</v>
      </c>
      <c r="C882" s="8" t="s">
        <v>309</v>
      </c>
      <c r="D882" s="8" t="s">
        <v>310</v>
      </c>
      <c r="E882" s="8" t="s">
        <v>311</v>
      </c>
      <c r="F882" t="s">
        <v>111</v>
      </c>
      <c r="G882" t="s">
        <v>78</v>
      </c>
      <c r="H882" s="13">
        <v>3599745</v>
      </c>
      <c r="I882" s="13"/>
      <c r="J882" s="8">
        <f t="shared" si="14"/>
        <v>3599745</v>
      </c>
      <c r="K882" s="11"/>
      <c r="L882" s="3"/>
    </row>
    <row r="883" spans="1:12" x14ac:dyDescent="0.2">
      <c r="A883">
        <v>5102100</v>
      </c>
      <c r="B883" s="8">
        <v>2020</v>
      </c>
      <c r="C883" s="8" t="s">
        <v>309</v>
      </c>
      <c r="D883" s="8" t="s">
        <v>310</v>
      </c>
      <c r="E883" s="8" t="s">
        <v>311</v>
      </c>
      <c r="F883" t="s">
        <v>111</v>
      </c>
      <c r="G883" t="s">
        <v>78</v>
      </c>
      <c r="H883" s="13">
        <v>3753673</v>
      </c>
      <c r="I883" s="13"/>
      <c r="J883" s="8">
        <f t="shared" si="14"/>
        <v>3753673</v>
      </c>
      <c r="K883" s="11"/>
      <c r="L883" s="3"/>
    </row>
    <row r="884" spans="1:12" x14ac:dyDescent="0.2">
      <c r="A884">
        <v>5102100</v>
      </c>
      <c r="B884" s="8">
        <v>2021</v>
      </c>
      <c r="C884" s="8" t="s">
        <v>309</v>
      </c>
      <c r="D884" s="8" t="s">
        <v>310</v>
      </c>
      <c r="E884" s="8" t="s">
        <v>311</v>
      </c>
      <c r="F884" t="s">
        <v>111</v>
      </c>
      <c r="G884" t="s">
        <v>78</v>
      </c>
      <c r="H884" s="13">
        <v>3900160</v>
      </c>
      <c r="I884" s="13">
        <v>169114</v>
      </c>
      <c r="J884" s="8">
        <f t="shared" si="14"/>
        <v>4069274</v>
      </c>
      <c r="K884" s="11"/>
      <c r="L884" s="3"/>
    </row>
    <row r="885" spans="1:12" x14ac:dyDescent="0.2">
      <c r="A885">
        <v>5102100</v>
      </c>
      <c r="B885" s="8">
        <v>2022</v>
      </c>
      <c r="C885" s="8" t="s">
        <v>309</v>
      </c>
      <c r="D885" s="8" t="s">
        <v>310</v>
      </c>
      <c r="E885" s="8" t="s">
        <v>311</v>
      </c>
      <c r="F885" t="s">
        <v>111</v>
      </c>
      <c r="G885" t="s">
        <v>78</v>
      </c>
      <c r="H885" s="13">
        <v>4104125</v>
      </c>
      <c r="I885" s="13">
        <v>1222139</v>
      </c>
      <c r="J885" s="8">
        <f t="shared" si="14"/>
        <v>5326264</v>
      </c>
      <c r="K885" s="11"/>
      <c r="L885" s="3"/>
    </row>
    <row r="886" spans="1:12" x14ac:dyDescent="0.2">
      <c r="A886">
        <v>5102100</v>
      </c>
      <c r="B886" s="8">
        <v>2023</v>
      </c>
      <c r="C886" s="8" t="s">
        <v>309</v>
      </c>
      <c r="D886" s="8" t="s">
        <v>310</v>
      </c>
      <c r="E886" s="8" t="s">
        <v>311</v>
      </c>
      <c r="F886" t="s">
        <v>111</v>
      </c>
      <c r="G886" t="s">
        <v>78</v>
      </c>
      <c r="H886" s="13">
        <v>4544689</v>
      </c>
      <c r="I886" s="13">
        <v>424529</v>
      </c>
      <c r="J886" s="8">
        <f t="shared" si="14"/>
        <v>4969218</v>
      </c>
      <c r="K886" s="11"/>
      <c r="L886" s="3"/>
    </row>
    <row r="887" spans="1:12" x14ac:dyDescent="0.2">
      <c r="A887">
        <v>5102010</v>
      </c>
      <c r="B887" s="8">
        <v>2015</v>
      </c>
      <c r="C887" s="8" t="s">
        <v>309</v>
      </c>
      <c r="D887" s="8" t="s">
        <v>310</v>
      </c>
      <c r="E887" s="8" t="s">
        <v>311</v>
      </c>
      <c r="F887" t="s">
        <v>110</v>
      </c>
      <c r="G887" t="s">
        <v>77</v>
      </c>
      <c r="H887" s="13">
        <v>4071417</v>
      </c>
      <c r="I887" s="13"/>
      <c r="J887" s="8">
        <f t="shared" si="14"/>
        <v>4071417</v>
      </c>
      <c r="K887" s="11"/>
      <c r="L887" s="3"/>
    </row>
    <row r="888" spans="1:12" x14ac:dyDescent="0.2">
      <c r="A888">
        <v>5102010</v>
      </c>
      <c r="B888" s="8">
        <v>2016</v>
      </c>
      <c r="C888" s="8" t="s">
        <v>309</v>
      </c>
      <c r="D888" s="8" t="s">
        <v>310</v>
      </c>
      <c r="E888" s="8" t="s">
        <v>311</v>
      </c>
      <c r="F888" t="s">
        <v>110</v>
      </c>
      <c r="G888" t="s">
        <v>77</v>
      </c>
      <c r="H888" s="13">
        <v>3977579</v>
      </c>
      <c r="I888" s="13"/>
      <c r="J888" s="8">
        <f t="shared" si="14"/>
        <v>3977579</v>
      </c>
      <c r="K888" s="11"/>
      <c r="L888" s="3"/>
    </row>
    <row r="889" spans="1:12" x14ac:dyDescent="0.2">
      <c r="A889">
        <v>5102010</v>
      </c>
      <c r="B889" s="8">
        <v>2017</v>
      </c>
      <c r="C889" s="8" t="s">
        <v>309</v>
      </c>
      <c r="D889" s="8" t="s">
        <v>310</v>
      </c>
      <c r="E889" s="8" t="s">
        <v>311</v>
      </c>
      <c r="F889" t="s">
        <v>110</v>
      </c>
      <c r="G889" t="s">
        <v>77</v>
      </c>
      <c r="H889" s="13">
        <v>4194927</v>
      </c>
      <c r="I889" s="13"/>
      <c r="J889" s="8">
        <f t="shared" si="14"/>
        <v>4194927</v>
      </c>
      <c r="K889" s="11"/>
      <c r="L889" s="3"/>
    </row>
    <row r="890" spans="1:12" x14ac:dyDescent="0.2">
      <c r="A890">
        <v>5102010</v>
      </c>
      <c r="B890" s="8">
        <v>2018</v>
      </c>
      <c r="C890" s="8" t="s">
        <v>309</v>
      </c>
      <c r="D890" s="8" t="s">
        <v>310</v>
      </c>
      <c r="E890" s="8" t="s">
        <v>311</v>
      </c>
      <c r="F890" t="s">
        <v>110</v>
      </c>
      <c r="G890" t="s">
        <v>77</v>
      </c>
      <c r="H890" s="13">
        <v>4764070</v>
      </c>
      <c r="I890" s="13"/>
      <c r="J890" s="8">
        <f t="shared" si="14"/>
        <v>4764070</v>
      </c>
      <c r="K890" s="11"/>
      <c r="L890" s="3"/>
    </row>
    <row r="891" spans="1:12" x14ac:dyDescent="0.2">
      <c r="A891">
        <v>5102010</v>
      </c>
      <c r="B891" s="8">
        <v>2019</v>
      </c>
      <c r="C891" s="8" t="s">
        <v>309</v>
      </c>
      <c r="D891" s="8" t="s">
        <v>310</v>
      </c>
      <c r="E891" s="8" t="s">
        <v>311</v>
      </c>
      <c r="F891" t="s">
        <v>110</v>
      </c>
      <c r="G891" t="s">
        <v>77</v>
      </c>
      <c r="H891" s="13">
        <v>4771129</v>
      </c>
      <c r="I891" s="13"/>
      <c r="J891" s="8">
        <f t="shared" si="14"/>
        <v>4771129</v>
      </c>
      <c r="K891" s="11"/>
      <c r="L891" s="3"/>
    </row>
    <row r="892" spans="1:12" x14ac:dyDescent="0.2">
      <c r="A892">
        <v>5102010</v>
      </c>
      <c r="B892" s="8">
        <v>2020</v>
      </c>
      <c r="C892" s="8" t="s">
        <v>309</v>
      </c>
      <c r="D892" s="8" t="s">
        <v>310</v>
      </c>
      <c r="E892" s="8" t="s">
        <v>311</v>
      </c>
      <c r="F892" t="s">
        <v>110</v>
      </c>
      <c r="G892" t="s">
        <v>77</v>
      </c>
      <c r="H892" s="13">
        <v>4961648</v>
      </c>
      <c r="I892" s="13"/>
      <c r="J892" s="8">
        <f t="shared" si="14"/>
        <v>4961648</v>
      </c>
      <c r="K892" s="11"/>
      <c r="L892" s="3"/>
    </row>
    <row r="893" spans="1:12" x14ac:dyDescent="0.2">
      <c r="A893">
        <v>5102010</v>
      </c>
      <c r="B893" s="8">
        <v>2021</v>
      </c>
      <c r="C893" s="8" t="s">
        <v>309</v>
      </c>
      <c r="D893" s="8" t="s">
        <v>310</v>
      </c>
      <c r="E893" s="8" t="s">
        <v>311</v>
      </c>
      <c r="F893" t="s">
        <v>110</v>
      </c>
      <c r="G893" t="s">
        <v>77</v>
      </c>
      <c r="H893" s="13">
        <v>5135443</v>
      </c>
      <c r="I893" s="13">
        <v>222680</v>
      </c>
      <c r="J893" s="8">
        <f t="shared" si="14"/>
        <v>5358123</v>
      </c>
      <c r="K893" s="11"/>
      <c r="L893" s="3"/>
    </row>
    <row r="894" spans="1:12" x14ac:dyDescent="0.2">
      <c r="A894">
        <v>5102010</v>
      </c>
      <c r="B894" s="8">
        <v>2022</v>
      </c>
      <c r="C894" s="8" t="s">
        <v>309</v>
      </c>
      <c r="D894" s="8" t="s">
        <v>310</v>
      </c>
      <c r="E894" s="8" t="s">
        <v>311</v>
      </c>
      <c r="F894" t="s">
        <v>110</v>
      </c>
      <c r="G894" t="s">
        <v>77</v>
      </c>
      <c r="H894" s="13">
        <v>5570195</v>
      </c>
      <c r="I894" s="13">
        <v>1658670</v>
      </c>
      <c r="J894" s="8">
        <f t="shared" si="14"/>
        <v>7228865</v>
      </c>
      <c r="K894" s="11"/>
      <c r="L894" s="3"/>
    </row>
    <row r="895" spans="1:12" x14ac:dyDescent="0.2">
      <c r="A895">
        <v>5102010</v>
      </c>
      <c r="B895" s="8">
        <v>2023</v>
      </c>
      <c r="C895" s="8" t="s">
        <v>309</v>
      </c>
      <c r="D895" s="8" t="s">
        <v>310</v>
      </c>
      <c r="E895" s="8" t="s">
        <v>311</v>
      </c>
      <c r="F895" t="s">
        <v>110</v>
      </c>
      <c r="G895" t="s">
        <v>77</v>
      </c>
      <c r="H895" s="13">
        <v>5984651</v>
      </c>
      <c r="I895" s="13">
        <v>559039</v>
      </c>
      <c r="J895" s="8">
        <f t="shared" si="14"/>
        <v>6543690</v>
      </c>
      <c r="K895" s="11"/>
      <c r="L895" s="3"/>
    </row>
    <row r="896" spans="1:12" x14ac:dyDescent="0.2">
      <c r="A896">
        <v>5101950</v>
      </c>
      <c r="B896" s="8">
        <v>2015</v>
      </c>
      <c r="C896" s="8" t="s">
        <v>309</v>
      </c>
      <c r="D896" s="8" t="s">
        <v>310</v>
      </c>
      <c r="E896" s="8" t="s">
        <v>311</v>
      </c>
      <c r="F896" t="s">
        <v>109</v>
      </c>
      <c r="G896" t="s">
        <v>76</v>
      </c>
      <c r="H896" s="13">
        <v>259163</v>
      </c>
      <c r="I896" s="13"/>
      <c r="J896" s="8">
        <f t="shared" si="14"/>
        <v>259163</v>
      </c>
      <c r="K896" s="11"/>
      <c r="L896" s="3"/>
    </row>
    <row r="897" spans="1:12" x14ac:dyDescent="0.2">
      <c r="A897">
        <v>5101950</v>
      </c>
      <c r="B897" s="8">
        <v>2016</v>
      </c>
      <c r="C897" s="8" t="s">
        <v>309</v>
      </c>
      <c r="D897" s="8" t="s">
        <v>310</v>
      </c>
      <c r="E897" s="8" t="s">
        <v>311</v>
      </c>
      <c r="F897" t="s">
        <v>109</v>
      </c>
      <c r="G897" t="s">
        <v>76</v>
      </c>
      <c r="H897" s="13">
        <v>251238</v>
      </c>
      <c r="I897" s="13"/>
      <c r="J897" s="8">
        <f t="shared" si="14"/>
        <v>251238</v>
      </c>
      <c r="K897" s="11"/>
      <c r="L897" s="3"/>
    </row>
    <row r="898" spans="1:12" x14ac:dyDescent="0.2">
      <c r="A898">
        <v>5101950</v>
      </c>
      <c r="B898" s="8">
        <v>2017</v>
      </c>
      <c r="C898" s="8" t="s">
        <v>309</v>
      </c>
      <c r="D898" s="8" t="s">
        <v>310</v>
      </c>
      <c r="E898" s="8" t="s">
        <v>311</v>
      </c>
      <c r="F898" t="s">
        <v>109</v>
      </c>
      <c r="G898" t="s">
        <v>76</v>
      </c>
      <c r="H898" s="13">
        <v>277134</v>
      </c>
      <c r="I898" s="13"/>
      <c r="J898" s="8">
        <f t="shared" si="14"/>
        <v>277134</v>
      </c>
      <c r="K898" s="11"/>
      <c r="L898" s="3"/>
    </row>
    <row r="899" spans="1:12" x14ac:dyDescent="0.2">
      <c r="A899">
        <v>5101950</v>
      </c>
      <c r="B899" s="8">
        <v>2018</v>
      </c>
      <c r="C899" s="8" t="s">
        <v>309</v>
      </c>
      <c r="D899" s="8" t="s">
        <v>310</v>
      </c>
      <c r="E899" s="8" t="s">
        <v>311</v>
      </c>
      <c r="F899" t="s">
        <v>109</v>
      </c>
      <c r="G899" t="s">
        <v>76</v>
      </c>
      <c r="H899" s="13">
        <v>314729</v>
      </c>
      <c r="I899" s="13"/>
      <c r="J899" s="8">
        <f t="shared" ref="J899:J962" si="15">SUM(H899:I899)</f>
        <v>314729</v>
      </c>
      <c r="K899" s="11"/>
      <c r="L899" s="3"/>
    </row>
    <row r="900" spans="1:12" x14ac:dyDescent="0.2">
      <c r="A900">
        <v>5101950</v>
      </c>
      <c r="B900" s="8">
        <v>2019</v>
      </c>
      <c r="C900" s="8" t="s">
        <v>309</v>
      </c>
      <c r="D900" s="8" t="s">
        <v>310</v>
      </c>
      <c r="E900" s="8" t="s">
        <v>311</v>
      </c>
      <c r="F900" t="s">
        <v>109</v>
      </c>
      <c r="G900" t="s">
        <v>76</v>
      </c>
      <c r="H900" s="13">
        <v>291131</v>
      </c>
      <c r="I900" s="13"/>
      <c r="J900" s="8">
        <f t="shared" si="15"/>
        <v>291131</v>
      </c>
      <c r="K900" s="11"/>
      <c r="L900" s="3"/>
    </row>
    <row r="901" spans="1:12" x14ac:dyDescent="0.2">
      <c r="A901">
        <v>5101950</v>
      </c>
      <c r="B901" s="8">
        <v>2020</v>
      </c>
      <c r="C901" s="8" t="s">
        <v>309</v>
      </c>
      <c r="D901" s="8" t="s">
        <v>310</v>
      </c>
      <c r="E901" s="8" t="s">
        <v>311</v>
      </c>
      <c r="F901" t="s">
        <v>109</v>
      </c>
      <c r="G901" t="s">
        <v>76</v>
      </c>
      <c r="H901" s="13">
        <v>283796</v>
      </c>
      <c r="I901" s="13"/>
      <c r="J901" s="8">
        <f t="shared" si="15"/>
        <v>283796</v>
      </c>
      <c r="K901" s="11"/>
      <c r="L901" s="3"/>
    </row>
    <row r="902" spans="1:12" x14ac:dyDescent="0.2">
      <c r="A902">
        <v>5101950</v>
      </c>
      <c r="B902" s="8">
        <v>2021</v>
      </c>
      <c r="C902" s="8" t="s">
        <v>309</v>
      </c>
      <c r="D902" s="8" t="s">
        <v>310</v>
      </c>
      <c r="E902" s="8" t="s">
        <v>311</v>
      </c>
      <c r="F902" t="s">
        <v>109</v>
      </c>
      <c r="G902" t="s">
        <v>76</v>
      </c>
      <c r="H902" s="13">
        <v>304153</v>
      </c>
      <c r="I902" s="13">
        <v>13189</v>
      </c>
      <c r="J902" s="8">
        <f t="shared" si="15"/>
        <v>317342</v>
      </c>
      <c r="K902" s="11"/>
      <c r="L902" s="3"/>
    </row>
    <row r="903" spans="1:12" x14ac:dyDescent="0.2">
      <c r="A903">
        <v>5101950</v>
      </c>
      <c r="B903" s="8">
        <v>2022</v>
      </c>
      <c r="C903" s="8" t="s">
        <v>309</v>
      </c>
      <c r="D903" s="8" t="s">
        <v>310</v>
      </c>
      <c r="E903" s="8" t="s">
        <v>311</v>
      </c>
      <c r="F903" t="s">
        <v>109</v>
      </c>
      <c r="G903" t="s">
        <v>76</v>
      </c>
      <c r="H903" s="13">
        <v>314581</v>
      </c>
      <c r="I903" s="13">
        <v>93694</v>
      </c>
      <c r="J903" s="8">
        <f t="shared" si="15"/>
        <v>408275</v>
      </c>
      <c r="K903" s="11"/>
      <c r="L903" s="3"/>
    </row>
    <row r="904" spans="1:12" x14ac:dyDescent="0.2">
      <c r="A904">
        <v>5101950</v>
      </c>
      <c r="B904" s="8">
        <v>2023</v>
      </c>
      <c r="C904" s="8" t="s">
        <v>309</v>
      </c>
      <c r="D904" s="8" t="s">
        <v>310</v>
      </c>
      <c r="E904" s="8" t="s">
        <v>311</v>
      </c>
      <c r="F904" t="s">
        <v>109</v>
      </c>
      <c r="G904" t="s">
        <v>76</v>
      </c>
      <c r="H904" s="13">
        <v>318617</v>
      </c>
      <c r="I904" s="13">
        <v>29757</v>
      </c>
      <c r="J904" s="8">
        <f t="shared" si="15"/>
        <v>348374</v>
      </c>
      <c r="K904" s="11"/>
      <c r="L904" s="3"/>
    </row>
    <row r="905" spans="1:12" x14ac:dyDescent="0.2">
      <c r="A905">
        <v>5101920</v>
      </c>
      <c r="B905" s="8">
        <v>2015</v>
      </c>
      <c r="C905" s="8" t="s">
        <v>309</v>
      </c>
      <c r="D905" s="8" t="s">
        <v>310</v>
      </c>
      <c r="E905" s="8" t="s">
        <v>311</v>
      </c>
      <c r="F905" t="s">
        <v>108</v>
      </c>
      <c r="G905" t="s">
        <v>75</v>
      </c>
      <c r="H905" s="13">
        <v>5011944</v>
      </c>
      <c r="I905" s="13"/>
      <c r="J905" s="8">
        <f t="shared" si="15"/>
        <v>5011944</v>
      </c>
      <c r="K905" s="11"/>
      <c r="L905" s="3"/>
    </row>
    <row r="906" spans="1:12" x14ac:dyDescent="0.2">
      <c r="A906">
        <v>5101920</v>
      </c>
      <c r="B906" s="8">
        <v>2016</v>
      </c>
      <c r="C906" s="8" t="s">
        <v>309</v>
      </c>
      <c r="D906" s="8" t="s">
        <v>310</v>
      </c>
      <c r="E906" s="8" t="s">
        <v>311</v>
      </c>
      <c r="F906" t="s">
        <v>108</v>
      </c>
      <c r="G906" t="s">
        <v>75</v>
      </c>
      <c r="H906" s="13">
        <v>4936601</v>
      </c>
      <c r="I906" s="13"/>
      <c r="J906" s="8">
        <f t="shared" si="15"/>
        <v>4936601</v>
      </c>
      <c r="K906" s="11"/>
      <c r="L906" s="3"/>
    </row>
    <row r="907" spans="1:12" x14ac:dyDescent="0.2">
      <c r="A907">
        <v>5101920</v>
      </c>
      <c r="B907" s="8">
        <v>2017</v>
      </c>
      <c r="C907" s="8" t="s">
        <v>309</v>
      </c>
      <c r="D907" s="8" t="s">
        <v>310</v>
      </c>
      <c r="E907" s="8" t="s">
        <v>311</v>
      </c>
      <c r="F907" t="s">
        <v>108</v>
      </c>
      <c r="G907" t="s">
        <v>75</v>
      </c>
      <c r="H907" s="13">
        <v>5250139</v>
      </c>
      <c r="I907" s="13"/>
      <c r="J907" s="8">
        <f t="shared" si="15"/>
        <v>5250139</v>
      </c>
      <c r="K907" s="11"/>
      <c r="L907" s="3"/>
    </row>
    <row r="908" spans="1:12" x14ac:dyDescent="0.2">
      <c r="A908">
        <v>5101920</v>
      </c>
      <c r="B908" s="8">
        <v>2018</v>
      </c>
      <c r="C908" s="8" t="s">
        <v>309</v>
      </c>
      <c r="D908" s="8" t="s">
        <v>310</v>
      </c>
      <c r="E908" s="8" t="s">
        <v>311</v>
      </c>
      <c r="F908" t="s">
        <v>108</v>
      </c>
      <c r="G908" t="s">
        <v>75</v>
      </c>
      <c r="H908" s="13">
        <v>5904175</v>
      </c>
      <c r="I908" s="13"/>
      <c r="J908" s="8">
        <f t="shared" si="15"/>
        <v>5904175</v>
      </c>
      <c r="K908" s="11"/>
      <c r="L908" s="3"/>
    </row>
    <row r="909" spans="1:12" x14ac:dyDescent="0.2">
      <c r="A909">
        <v>5101920</v>
      </c>
      <c r="B909" s="8">
        <v>2019</v>
      </c>
      <c r="C909" s="8" t="s">
        <v>309</v>
      </c>
      <c r="D909" s="8" t="s">
        <v>310</v>
      </c>
      <c r="E909" s="8" t="s">
        <v>311</v>
      </c>
      <c r="F909" t="s">
        <v>108</v>
      </c>
      <c r="G909" t="s">
        <v>75</v>
      </c>
      <c r="H909" s="13">
        <v>5742495</v>
      </c>
      <c r="I909" s="13"/>
      <c r="J909" s="8">
        <f t="shared" si="15"/>
        <v>5742495</v>
      </c>
      <c r="K909" s="11"/>
      <c r="L909" s="3"/>
    </row>
    <row r="910" spans="1:12" x14ac:dyDescent="0.2">
      <c r="A910">
        <v>5101920</v>
      </c>
      <c r="B910" s="8">
        <v>2020</v>
      </c>
      <c r="C910" s="8" t="s">
        <v>309</v>
      </c>
      <c r="D910" s="8" t="s">
        <v>310</v>
      </c>
      <c r="E910" s="8" t="s">
        <v>311</v>
      </c>
      <c r="F910" t="s">
        <v>108</v>
      </c>
      <c r="G910" t="s">
        <v>75</v>
      </c>
      <c r="H910" s="13">
        <v>5940124</v>
      </c>
      <c r="I910" s="13"/>
      <c r="J910" s="8">
        <f t="shared" si="15"/>
        <v>5940124</v>
      </c>
      <c r="K910" s="11"/>
      <c r="L910" s="3"/>
    </row>
    <row r="911" spans="1:12" x14ac:dyDescent="0.2">
      <c r="A911">
        <v>5101920</v>
      </c>
      <c r="B911" s="8">
        <v>2021</v>
      </c>
      <c r="C911" s="8" t="s">
        <v>309</v>
      </c>
      <c r="D911" s="8" t="s">
        <v>310</v>
      </c>
      <c r="E911" s="8" t="s">
        <v>311</v>
      </c>
      <c r="F911" t="s">
        <v>108</v>
      </c>
      <c r="G911" t="s">
        <v>75</v>
      </c>
      <c r="H911" s="13">
        <v>6280112</v>
      </c>
      <c r="I911" s="13">
        <v>272313</v>
      </c>
      <c r="J911" s="8">
        <f t="shared" si="15"/>
        <v>6552425</v>
      </c>
      <c r="K911" s="11"/>
      <c r="L911" s="3"/>
    </row>
    <row r="912" spans="1:12" x14ac:dyDescent="0.2">
      <c r="A912">
        <v>5101920</v>
      </c>
      <c r="B912" s="8">
        <v>2022</v>
      </c>
      <c r="C912" s="8" t="s">
        <v>309</v>
      </c>
      <c r="D912" s="8" t="s">
        <v>310</v>
      </c>
      <c r="E912" s="8" t="s">
        <v>311</v>
      </c>
      <c r="F912" t="s">
        <v>108</v>
      </c>
      <c r="G912" t="s">
        <v>75</v>
      </c>
      <c r="H912" s="13">
        <v>6563139</v>
      </c>
      <c r="I912" s="13">
        <v>1954351</v>
      </c>
      <c r="J912" s="8">
        <f t="shared" si="15"/>
        <v>8517490</v>
      </c>
      <c r="K912" s="11"/>
      <c r="L912" s="3"/>
    </row>
    <row r="913" spans="1:12" x14ac:dyDescent="0.2">
      <c r="A913">
        <v>5101920</v>
      </c>
      <c r="B913" s="8">
        <v>2023</v>
      </c>
      <c r="C913" s="8" t="s">
        <v>309</v>
      </c>
      <c r="D913" s="8" t="s">
        <v>310</v>
      </c>
      <c r="E913" s="8" t="s">
        <v>311</v>
      </c>
      <c r="F913" t="s">
        <v>108</v>
      </c>
      <c r="G913" t="s">
        <v>75</v>
      </c>
      <c r="H913" s="13">
        <v>7149234</v>
      </c>
      <c r="I913" s="13">
        <v>667833</v>
      </c>
      <c r="J913" s="8">
        <f t="shared" si="15"/>
        <v>7817067</v>
      </c>
      <c r="K913" s="11"/>
      <c r="L913" s="3"/>
    </row>
    <row r="914" spans="1:12" x14ac:dyDescent="0.2">
      <c r="A914">
        <v>5101890</v>
      </c>
      <c r="B914" s="8">
        <v>2015</v>
      </c>
      <c r="C914" s="8" t="s">
        <v>309</v>
      </c>
      <c r="D914" s="8" t="s">
        <v>310</v>
      </c>
      <c r="E914" s="8" t="s">
        <v>311</v>
      </c>
      <c r="F914" t="s">
        <v>107</v>
      </c>
      <c r="G914" t="s">
        <v>74</v>
      </c>
      <c r="H914" s="13">
        <v>35384284</v>
      </c>
      <c r="I914" s="13"/>
      <c r="J914" s="8">
        <f t="shared" si="15"/>
        <v>35384284</v>
      </c>
      <c r="K914" s="11"/>
      <c r="L914" s="3"/>
    </row>
    <row r="915" spans="1:12" x14ac:dyDescent="0.2">
      <c r="A915">
        <v>5101890</v>
      </c>
      <c r="B915" s="8">
        <v>2016</v>
      </c>
      <c r="C915" s="8" t="s">
        <v>309</v>
      </c>
      <c r="D915" s="8" t="s">
        <v>310</v>
      </c>
      <c r="E915" s="8" t="s">
        <v>311</v>
      </c>
      <c r="F915" t="s">
        <v>107</v>
      </c>
      <c r="G915" t="s">
        <v>74</v>
      </c>
      <c r="H915" s="13">
        <v>35423318</v>
      </c>
      <c r="I915" s="13"/>
      <c r="J915" s="8">
        <f t="shared" si="15"/>
        <v>35423318</v>
      </c>
      <c r="K915" s="11"/>
      <c r="L915" s="3"/>
    </row>
    <row r="916" spans="1:12" x14ac:dyDescent="0.2">
      <c r="A916">
        <v>5101890</v>
      </c>
      <c r="B916" s="8">
        <v>2017</v>
      </c>
      <c r="C916" s="8" t="s">
        <v>309</v>
      </c>
      <c r="D916" s="8" t="s">
        <v>310</v>
      </c>
      <c r="E916" s="8" t="s">
        <v>311</v>
      </c>
      <c r="F916" t="s">
        <v>107</v>
      </c>
      <c r="G916" t="s">
        <v>74</v>
      </c>
      <c r="H916" s="13">
        <v>37325862</v>
      </c>
      <c r="I916" s="13"/>
      <c r="J916" s="8">
        <f t="shared" si="15"/>
        <v>37325862</v>
      </c>
      <c r="K916" s="11"/>
      <c r="L916" s="3"/>
    </row>
    <row r="917" spans="1:12" x14ac:dyDescent="0.2">
      <c r="A917">
        <v>5101890</v>
      </c>
      <c r="B917" s="8">
        <v>2018</v>
      </c>
      <c r="C917" s="8" t="s">
        <v>309</v>
      </c>
      <c r="D917" s="8" t="s">
        <v>310</v>
      </c>
      <c r="E917" s="8" t="s">
        <v>311</v>
      </c>
      <c r="F917" t="s">
        <v>107</v>
      </c>
      <c r="G917" t="s">
        <v>74</v>
      </c>
      <c r="H917" s="13">
        <v>42546236</v>
      </c>
      <c r="I917" s="13"/>
      <c r="J917" s="8">
        <f t="shared" si="15"/>
        <v>42546236</v>
      </c>
      <c r="K917" s="11"/>
      <c r="L917" s="3"/>
    </row>
    <row r="918" spans="1:12" x14ac:dyDescent="0.2">
      <c r="A918">
        <v>5101890</v>
      </c>
      <c r="B918" s="8">
        <v>2019</v>
      </c>
      <c r="C918" s="8" t="s">
        <v>309</v>
      </c>
      <c r="D918" s="8" t="s">
        <v>310</v>
      </c>
      <c r="E918" s="8" t="s">
        <v>311</v>
      </c>
      <c r="F918" t="s">
        <v>107</v>
      </c>
      <c r="G918" t="s">
        <v>74</v>
      </c>
      <c r="H918" s="13">
        <v>42375570</v>
      </c>
      <c r="I918" s="13"/>
      <c r="J918" s="8">
        <f t="shared" si="15"/>
        <v>42375570</v>
      </c>
      <c r="K918" s="11"/>
      <c r="L918" s="3"/>
    </row>
    <row r="919" spans="1:12" x14ac:dyDescent="0.2">
      <c r="A919">
        <v>5101890</v>
      </c>
      <c r="B919" s="8">
        <v>2020</v>
      </c>
      <c r="C919" s="8" t="s">
        <v>309</v>
      </c>
      <c r="D919" s="8" t="s">
        <v>310</v>
      </c>
      <c r="E919" s="8" t="s">
        <v>311</v>
      </c>
      <c r="F919" t="s">
        <v>107</v>
      </c>
      <c r="G919" t="s">
        <v>74</v>
      </c>
      <c r="H919" s="13">
        <v>44318177</v>
      </c>
      <c r="I919" s="13"/>
      <c r="J919" s="8">
        <f t="shared" si="15"/>
        <v>44318177</v>
      </c>
      <c r="K919" s="11"/>
      <c r="L919" s="3"/>
    </row>
    <row r="920" spans="1:12" x14ac:dyDescent="0.2">
      <c r="A920">
        <v>5101890</v>
      </c>
      <c r="B920" s="8">
        <v>2021</v>
      </c>
      <c r="C920" s="8" t="s">
        <v>309</v>
      </c>
      <c r="D920" s="8" t="s">
        <v>310</v>
      </c>
      <c r="E920" s="8" t="s">
        <v>311</v>
      </c>
      <c r="F920" t="s">
        <v>107</v>
      </c>
      <c r="G920" t="s">
        <v>74</v>
      </c>
      <c r="H920" s="13">
        <v>46941987</v>
      </c>
      <c r="I920" s="13">
        <v>2035464</v>
      </c>
      <c r="J920" s="8">
        <f t="shared" si="15"/>
        <v>48977451</v>
      </c>
      <c r="K920" s="11"/>
      <c r="L920" s="3"/>
    </row>
    <row r="921" spans="1:12" x14ac:dyDescent="0.2">
      <c r="A921">
        <v>5101890</v>
      </c>
      <c r="B921" s="8">
        <v>2022</v>
      </c>
      <c r="C921" s="8" t="s">
        <v>309</v>
      </c>
      <c r="D921" s="8" t="s">
        <v>310</v>
      </c>
      <c r="E921" s="8" t="s">
        <v>311</v>
      </c>
      <c r="F921" t="s">
        <v>107</v>
      </c>
      <c r="G921" t="s">
        <v>74</v>
      </c>
      <c r="H921" s="13">
        <v>49915832</v>
      </c>
      <c r="I921" s="13">
        <v>14863890</v>
      </c>
      <c r="J921" s="8">
        <f t="shared" si="15"/>
        <v>64779722</v>
      </c>
      <c r="K921" s="11"/>
      <c r="L921" s="3"/>
    </row>
    <row r="922" spans="1:12" x14ac:dyDescent="0.2">
      <c r="A922">
        <v>5101890</v>
      </c>
      <c r="B922" s="8">
        <v>2023</v>
      </c>
      <c r="C922" s="8" t="s">
        <v>309</v>
      </c>
      <c r="D922" s="8" t="s">
        <v>310</v>
      </c>
      <c r="E922" s="8" t="s">
        <v>311</v>
      </c>
      <c r="F922" t="s">
        <v>107</v>
      </c>
      <c r="G922" t="s">
        <v>74</v>
      </c>
      <c r="H922" s="13">
        <v>52190635</v>
      </c>
      <c r="I922" s="13">
        <v>4875254</v>
      </c>
      <c r="J922" s="8">
        <f t="shared" si="15"/>
        <v>57065889</v>
      </c>
      <c r="K922" s="11"/>
      <c r="L922" s="3"/>
    </row>
    <row r="923" spans="1:12" x14ac:dyDescent="0.2">
      <c r="A923">
        <v>5101830</v>
      </c>
      <c r="B923" s="8">
        <v>2015</v>
      </c>
      <c r="C923" s="8" t="s">
        <v>309</v>
      </c>
      <c r="D923" s="8" t="s">
        <v>310</v>
      </c>
      <c r="E923" s="8" t="s">
        <v>311</v>
      </c>
      <c r="F923" t="s">
        <v>106</v>
      </c>
      <c r="G923" t="s">
        <v>73</v>
      </c>
      <c r="H923" s="13">
        <v>13712156</v>
      </c>
      <c r="I923" s="13"/>
      <c r="J923" s="8">
        <f t="shared" si="15"/>
        <v>13712156</v>
      </c>
      <c r="K923" s="11"/>
      <c r="L923" s="3"/>
    </row>
    <row r="924" spans="1:12" x14ac:dyDescent="0.2">
      <c r="A924">
        <v>5101830</v>
      </c>
      <c r="B924" s="8">
        <v>2016</v>
      </c>
      <c r="C924" s="8" t="s">
        <v>309</v>
      </c>
      <c r="D924" s="8" t="s">
        <v>310</v>
      </c>
      <c r="E924" s="8" t="s">
        <v>311</v>
      </c>
      <c r="F924" t="s">
        <v>106</v>
      </c>
      <c r="G924" t="s">
        <v>73</v>
      </c>
      <c r="H924" s="13">
        <v>13567678</v>
      </c>
      <c r="I924" s="13"/>
      <c r="J924" s="8">
        <f t="shared" si="15"/>
        <v>13567678</v>
      </c>
      <c r="K924" s="11"/>
      <c r="L924" s="3"/>
    </row>
    <row r="925" spans="1:12" x14ac:dyDescent="0.2">
      <c r="A925">
        <v>5101830</v>
      </c>
      <c r="B925" s="8">
        <v>2017</v>
      </c>
      <c r="C925" s="8" t="s">
        <v>309</v>
      </c>
      <c r="D925" s="8" t="s">
        <v>310</v>
      </c>
      <c r="E925" s="8" t="s">
        <v>311</v>
      </c>
      <c r="F925" t="s">
        <v>106</v>
      </c>
      <c r="G925" t="s">
        <v>73</v>
      </c>
      <c r="H925" s="13">
        <v>14428450</v>
      </c>
      <c r="I925" s="13"/>
      <c r="J925" s="8">
        <f t="shared" si="15"/>
        <v>14428450</v>
      </c>
      <c r="K925" s="11"/>
      <c r="L925" s="3"/>
    </row>
    <row r="926" spans="1:12" x14ac:dyDescent="0.2">
      <c r="A926">
        <v>5101830</v>
      </c>
      <c r="B926" s="8">
        <v>2018</v>
      </c>
      <c r="C926" s="8" t="s">
        <v>309</v>
      </c>
      <c r="D926" s="8" t="s">
        <v>310</v>
      </c>
      <c r="E926" s="8" t="s">
        <v>311</v>
      </c>
      <c r="F926" t="s">
        <v>106</v>
      </c>
      <c r="G926" t="s">
        <v>73</v>
      </c>
      <c r="H926" s="13">
        <v>16251147</v>
      </c>
      <c r="I926" s="13"/>
      <c r="J926" s="8">
        <f t="shared" si="15"/>
        <v>16251147</v>
      </c>
      <c r="K926" s="11"/>
      <c r="L926" s="3"/>
    </row>
    <row r="927" spans="1:12" x14ac:dyDescent="0.2">
      <c r="A927">
        <v>5101830</v>
      </c>
      <c r="B927" s="8">
        <v>2019</v>
      </c>
      <c r="C927" s="8" t="s">
        <v>309</v>
      </c>
      <c r="D927" s="8" t="s">
        <v>310</v>
      </c>
      <c r="E927" s="8" t="s">
        <v>311</v>
      </c>
      <c r="F927" t="s">
        <v>106</v>
      </c>
      <c r="G927" t="s">
        <v>73</v>
      </c>
      <c r="H927" s="13">
        <v>15837890</v>
      </c>
      <c r="I927" s="13"/>
      <c r="J927" s="8">
        <f t="shared" si="15"/>
        <v>15837890</v>
      </c>
      <c r="K927" s="11"/>
      <c r="L927" s="3"/>
    </row>
    <row r="928" spans="1:12" x14ac:dyDescent="0.2">
      <c r="A928">
        <v>5101830</v>
      </c>
      <c r="B928" s="8">
        <v>2020</v>
      </c>
      <c r="C928" s="8" t="s">
        <v>309</v>
      </c>
      <c r="D928" s="8" t="s">
        <v>310</v>
      </c>
      <c r="E928" s="8" t="s">
        <v>311</v>
      </c>
      <c r="F928" t="s">
        <v>106</v>
      </c>
      <c r="G928" t="s">
        <v>73</v>
      </c>
      <c r="H928" s="13">
        <v>16260682</v>
      </c>
      <c r="I928" s="13"/>
      <c r="J928" s="8">
        <f t="shared" si="15"/>
        <v>16260682</v>
      </c>
      <c r="K928" s="11"/>
      <c r="L928" s="3"/>
    </row>
    <row r="929" spans="1:12" x14ac:dyDescent="0.2">
      <c r="A929">
        <v>5101830</v>
      </c>
      <c r="B929" s="8">
        <v>2021</v>
      </c>
      <c r="C929" s="8" t="s">
        <v>309</v>
      </c>
      <c r="D929" s="8" t="s">
        <v>310</v>
      </c>
      <c r="E929" s="8" t="s">
        <v>311</v>
      </c>
      <c r="F929" t="s">
        <v>106</v>
      </c>
      <c r="G929" t="s">
        <v>73</v>
      </c>
      <c r="H929" s="13">
        <v>16898709</v>
      </c>
      <c r="I929" s="13">
        <v>732751</v>
      </c>
      <c r="J929" s="8">
        <f t="shared" si="15"/>
        <v>17631460</v>
      </c>
      <c r="K929" s="11"/>
      <c r="L929" s="3"/>
    </row>
    <row r="930" spans="1:12" x14ac:dyDescent="0.2">
      <c r="A930">
        <v>5101830</v>
      </c>
      <c r="B930" s="8">
        <v>2022</v>
      </c>
      <c r="C930" s="8" t="s">
        <v>309</v>
      </c>
      <c r="D930" s="8" t="s">
        <v>310</v>
      </c>
      <c r="E930" s="8" t="s">
        <v>311</v>
      </c>
      <c r="F930" t="s">
        <v>106</v>
      </c>
      <c r="G930" t="s">
        <v>73</v>
      </c>
      <c r="H930" s="13">
        <v>18116183</v>
      </c>
      <c r="I930" s="13">
        <v>5394627</v>
      </c>
      <c r="J930" s="8">
        <f t="shared" si="15"/>
        <v>23510810</v>
      </c>
      <c r="K930" s="11"/>
      <c r="L930" s="3"/>
    </row>
    <row r="931" spans="1:12" x14ac:dyDescent="0.2">
      <c r="A931">
        <v>5101830</v>
      </c>
      <c r="B931" s="8">
        <v>2023</v>
      </c>
      <c r="C931" s="8" t="s">
        <v>309</v>
      </c>
      <c r="D931" s="8" t="s">
        <v>310</v>
      </c>
      <c r="E931" s="8" t="s">
        <v>311</v>
      </c>
      <c r="F931" t="s">
        <v>106</v>
      </c>
      <c r="G931" t="s">
        <v>73</v>
      </c>
      <c r="H931" s="13">
        <v>19237292</v>
      </c>
      <c r="I931" s="13">
        <v>1797000</v>
      </c>
      <c r="J931" s="8">
        <f t="shared" si="15"/>
        <v>21034292</v>
      </c>
      <c r="K931" s="11"/>
      <c r="L931" s="3"/>
    </row>
    <row r="932" spans="1:12" x14ac:dyDescent="0.2">
      <c r="A932">
        <v>5101770</v>
      </c>
      <c r="B932" s="8">
        <v>2015</v>
      </c>
      <c r="C932" s="8" t="s">
        <v>309</v>
      </c>
      <c r="D932" s="8" t="s">
        <v>310</v>
      </c>
      <c r="E932" s="8" t="s">
        <v>311</v>
      </c>
      <c r="F932" t="s">
        <v>105</v>
      </c>
      <c r="G932" t="s">
        <v>72</v>
      </c>
      <c r="H932" s="13">
        <v>3939674</v>
      </c>
      <c r="I932" s="13"/>
      <c r="J932" s="8">
        <f t="shared" si="15"/>
        <v>3939674</v>
      </c>
      <c r="K932" s="11"/>
      <c r="L932" s="3"/>
    </row>
    <row r="933" spans="1:12" x14ac:dyDescent="0.2">
      <c r="A933">
        <v>5101770</v>
      </c>
      <c r="B933" s="8">
        <v>2016</v>
      </c>
      <c r="C933" s="8" t="s">
        <v>309</v>
      </c>
      <c r="D933" s="8" t="s">
        <v>310</v>
      </c>
      <c r="E933" s="8" t="s">
        <v>311</v>
      </c>
      <c r="F933" t="s">
        <v>105</v>
      </c>
      <c r="G933" t="s">
        <v>72</v>
      </c>
      <c r="H933" s="13">
        <v>3963667</v>
      </c>
      <c r="I933" s="13"/>
      <c r="J933" s="8">
        <f t="shared" si="15"/>
        <v>3963667</v>
      </c>
      <c r="K933" s="11"/>
      <c r="L933" s="3"/>
    </row>
    <row r="934" spans="1:12" x14ac:dyDescent="0.2">
      <c r="A934">
        <v>5101770</v>
      </c>
      <c r="B934" s="8">
        <v>2017</v>
      </c>
      <c r="C934" s="8" t="s">
        <v>309</v>
      </c>
      <c r="D934" s="8" t="s">
        <v>310</v>
      </c>
      <c r="E934" s="8" t="s">
        <v>311</v>
      </c>
      <c r="F934" t="s">
        <v>105</v>
      </c>
      <c r="G934" t="s">
        <v>72</v>
      </c>
      <c r="H934" s="13">
        <v>4073400</v>
      </c>
      <c r="I934" s="13"/>
      <c r="J934" s="8">
        <f t="shared" si="15"/>
        <v>4073400</v>
      </c>
      <c r="K934" s="11"/>
      <c r="L934" s="3"/>
    </row>
    <row r="935" spans="1:12" x14ac:dyDescent="0.2">
      <c r="A935">
        <v>5101770</v>
      </c>
      <c r="B935" s="8">
        <v>2018</v>
      </c>
      <c r="C935" s="8" t="s">
        <v>309</v>
      </c>
      <c r="D935" s="8" t="s">
        <v>310</v>
      </c>
      <c r="E935" s="8" t="s">
        <v>311</v>
      </c>
      <c r="F935" t="s">
        <v>105</v>
      </c>
      <c r="G935" t="s">
        <v>72</v>
      </c>
      <c r="H935" s="13">
        <v>4378863</v>
      </c>
      <c r="I935" s="13"/>
      <c r="J935" s="8">
        <f t="shared" si="15"/>
        <v>4378863</v>
      </c>
      <c r="K935" s="11"/>
      <c r="L935" s="3"/>
    </row>
    <row r="936" spans="1:12" x14ac:dyDescent="0.2">
      <c r="A936">
        <v>5101770</v>
      </c>
      <c r="B936" s="8">
        <v>2019</v>
      </c>
      <c r="C936" s="8" t="s">
        <v>309</v>
      </c>
      <c r="D936" s="8" t="s">
        <v>310</v>
      </c>
      <c r="E936" s="8" t="s">
        <v>311</v>
      </c>
      <c r="F936" t="s">
        <v>105</v>
      </c>
      <c r="G936" t="s">
        <v>72</v>
      </c>
      <c r="H936" s="13">
        <v>4246045</v>
      </c>
      <c r="I936" s="13"/>
      <c r="J936" s="8">
        <f t="shared" si="15"/>
        <v>4246045</v>
      </c>
      <c r="K936" s="11"/>
      <c r="L936" s="3"/>
    </row>
    <row r="937" spans="1:12" x14ac:dyDescent="0.2">
      <c r="A937">
        <v>5101770</v>
      </c>
      <c r="B937" s="8">
        <v>2020</v>
      </c>
      <c r="C937" s="8" t="s">
        <v>309</v>
      </c>
      <c r="D937" s="8" t="s">
        <v>310</v>
      </c>
      <c r="E937" s="8" t="s">
        <v>311</v>
      </c>
      <c r="F937" t="s">
        <v>105</v>
      </c>
      <c r="G937" t="s">
        <v>72</v>
      </c>
      <c r="H937" s="13">
        <v>4260898</v>
      </c>
      <c r="I937" s="13"/>
      <c r="J937" s="8">
        <f t="shared" si="15"/>
        <v>4260898</v>
      </c>
      <c r="K937" s="11"/>
      <c r="L937" s="3"/>
    </row>
    <row r="938" spans="1:12" x14ac:dyDescent="0.2">
      <c r="A938">
        <v>5101770</v>
      </c>
      <c r="B938" s="8">
        <v>2021</v>
      </c>
      <c r="C938" s="8" t="s">
        <v>309</v>
      </c>
      <c r="D938" s="8" t="s">
        <v>310</v>
      </c>
      <c r="E938" s="8" t="s">
        <v>311</v>
      </c>
      <c r="F938" t="s">
        <v>105</v>
      </c>
      <c r="G938" t="s">
        <v>72</v>
      </c>
      <c r="H938" s="13">
        <v>4471486</v>
      </c>
      <c r="I938" s="13">
        <v>193891</v>
      </c>
      <c r="J938" s="8">
        <f t="shared" si="15"/>
        <v>4665377</v>
      </c>
      <c r="K938" s="11"/>
      <c r="L938" s="3"/>
    </row>
    <row r="939" spans="1:12" x14ac:dyDescent="0.2">
      <c r="A939">
        <v>5101770</v>
      </c>
      <c r="B939" s="8">
        <v>2022</v>
      </c>
      <c r="C939" s="8" t="s">
        <v>309</v>
      </c>
      <c r="D939" s="8" t="s">
        <v>310</v>
      </c>
      <c r="E939" s="8" t="s">
        <v>311</v>
      </c>
      <c r="F939" t="s">
        <v>105</v>
      </c>
      <c r="G939" t="s">
        <v>72</v>
      </c>
      <c r="H939" s="13">
        <v>4919371</v>
      </c>
      <c r="I939" s="13">
        <v>1464868</v>
      </c>
      <c r="J939" s="8">
        <f t="shared" si="15"/>
        <v>6384239</v>
      </c>
      <c r="K939" s="11"/>
      <c r="L939" s="3"/>
    </row>
    <row r="940" spans="1:12" x14ac:dyDescent="0.2">
      <c r="A940">
        <v>5101770</v>
      </c>
      <c r="B940" s="8">
        <v>2023</v>
      </c>
      <c r="C940" s="8" t="s">
        <v>309</v>
      </c>
      <c r="D940" s="8" t="s">
        <v>310</v>
      </c>
      <c r="E940" s="8" t="s">
        <v>311</v>
      </c>
      <c r="F940" t="s">
        <v>105</v>
      </c>
      <c r="G940" t="s">
        <v>72</v>
      </c>
      <c r="H940" s="13">
        <v>5205983</v>
      </c>
      <c r="I940" s="13">
        <v>486299</v>
      </c>
      <c r="J940" s="8">
        <f t="shared" si="15"/>
        <v>5692282</v>
      </c>
      <c r="K940" s="11"/>
      <c r="L940" s="3"/>
    </row>
    <row r="941" spans="1:12" x14ac:dyDescent="0.2">
      <c r="A941">
        <v>5101740</v>
      </c>
      <c r="B941" s="8">
        <v>2015</v>
      </c>
      <c r="C941" s="8" t="s">
        <v>309</v>
      </c>
      <c r="D941" s="8" t="s">
        <v>310</v>
      </c>
      <c r="E941" s="8" t="s">
        <v>311</v>
      </c>
      <c r="F941" t="s">
        <v>104</v>
      </c>
      <c r="G941" t="s">
        <v>71</v>
      </c>
      <c r="H941" s="13">
        <v>1791304</v>
      </c>
      <c r="I941" s="13"/>
      <c r="J941" s="8">
        <f t="shared" si="15"/>
        <v>1791304</v>
      </c>
      <c r="K941" s="11"/>
      <c r="L941" s="3"/>
    </row>
    <row r="942" spans="1:12" x14ac:dyDescent="0.2">
      <c r="A942">
        <v>5101740</v>
      </c>
      <c r="B942" s="8">
        <v>2016</v>
      </c>
      <c r="C942" s="8" t="s">
        <v>309</v>
      </c>
      <c r="D942" s="8" t="s">
        <v>310</v>
      </c>
      <c r="E942" s="8" t="s">
        <v>311</v>
      </c>
      <c r="F942" t="s">
        <v>104</v>
      </c>
      <c r="G942" t="s">
        <v>71</v>
      </c>
      <c r="H942" s="13">
        <v>1717176</v>
      </c>
      <c r="I942" s="13"/>
      <c r="J942" s="8">
        <f t="shared" si="15"/>
        <v>1717176</v>
      </c>
      <c r="K942" s="11"/>
      <c r="L942" s="3"/>
    </row>
    <row r="943" spans="1:12" x14ac:dyDescent="0.2">
      <c r="A943">
        <v>5101740</v>
      </c>
      <c r="B943" s="8">
        <v>2017</v>
      </c>
      <c r="C943" s="8" t="s">
        <v>309</v>
      </c>
      <c r="D943" s="8" t="s">
        <v>310</v>
      </c>
      <c r="E943" s="8" t="s">
        <v>311</v>
      </c>
      <c r="F943" t="s">
        <v>104</v>
      </c>
      <c r="G943" t="s">
        <v>71</v>
      </c>
      <c r="H943" s="13">
        <v>1774972</v>
      </c>
      <c r="I943" s="13"/>
      <c r="J943" s="8">
        <f t="shared" si="15"/>
        <v>1774972</v>
      </c>
      <c r="K943" s="11"/>
      <c r="L943" s="3"/>
    </row>
    <row r="944" spans="1:12" x14ac:dyDescent="0.2">
      <c r="A944">
        <v>5101740</v>
      </c>
      <c r="B944" s="8">
        <v>2018</v>
      </c>
      <c r="C944" s="8" t="s">
        <v>309</v>
      </c>
      <c r="D944" s="8" t="s">
        <v>310</v>
      </c>
      <c r="E944" s="8" t="s">
        <v>311</v>
      </c>
      <c r="F944" t="s">
        <v>104</v>
      </c>
      <c r="G944" t="s">
        <v>71</v>
      </c>
      <c r="H944" s="13">
        <v>2075741</v>
      </c>
      <c r="I944" s="13"/>
      <c r="J944" s="8">
        <f t="shared" si="15"/>
        <v>2075741</v>
      </c>
      <c r="K944" s="11"/>
      <c r="L944" s="3"/>
    </row>
    <row r="945" spans="1:12" x14ac:dyDescent="0.2">
      <c r="A945">
        <v>5101740</v>
      </c>
      <c r="B945" s="8">
        <v>2019</v>
      </c>
      <c r="C945" s="8" t="s">
        <v>309</v>
      </c>
      <c r="D945" s="8" t="s">
        <v>310</v>
      </c>
      <c r="E945" s="8" t="s">
        <v>311</v>
      </c>
      <c r="F945" t="s">
        <v>104</v>
      </c>
      <c r="G945" t="s">
        <v>71</v>
      </c>
      <c r="H945" s="13">
        <v>2047927</v>
      </c>
      <c r="I945" s="13"/>
      <c r="J945" s="8">
        <f t="shared" si="15"/>
        <v>2047927</v>
      </c>
      <c r="K945" s="11"/>
      <c r="L945" s="3"/>
    </row>
    <row r="946" spans="1:12" x14ac:dyDescent="0.2">
      <c r="A946">
        <v>5101740</v>
      </c>
      <c r="B946" s="8">
        <v>2020</v>
      </c>
      <c r="C946" s="8" t="s">
        <v>309</v>
      </c>
      <c r="D946" s="8" t="s">
        <v>310</v>
      </c>
      <c r="E946" s="8" t="s">
        <v>311</v>
      </c>
      <c r="F946" t="s">
        <v>104</v>
      </c>
      <c r="G946" t="s">
        <v>71</v>
      </c>
      <c r="H946" s="13">
        <v>2066682</v>
      </c>
      <c r="I946" s="13"/>
      <c r="J946" s="8">
        <f t="shared" si="15"/>
        <v>2066682</v>
      </c>
      <c r="K946" s="11"/>
      <c r="L946" s="3"/>
    </row>
    <row r="947" spans="1:12" x14ac:dyDescent="0.2">
      <c r="A947">
        <v>5101740</v>
      </c>
      <c r="B947" s="8">
        <v>2021</v>
      </c>
      <c r="C947" s="8" t="s">
        <v>309</v>
      </c>
      <c r="D947" s="8" t="s">
        <v>310</v>
      </c>
      <c r="E947" s="8" t="s">
        <v>311</v>
      </c>
      <c r="F947" t="s">
        <v>104</v>
      </c>
      <c r="G947" t="s">
        <v>71</v>
      </c>
      <c r="H947" s="13">
        <v>2164345</v>
      </c>
      <c r="I947" s="13">
        <v>93851</v>
      </c>
      <c r="J947" s="8">
        <f t="shared" si="15"/>
        <v>2258196</v>
      </c>
      <c r="K947" s="11"/>
      <c r="L947" s="3"/>
    </row>
    <row r="948" spans="1:12" x14ac:dyDescent="0.2">
      <c r="A948">
        <v>5101740</v>
      </c>
      <c r="B948" s="8">
        <v>2022</v>
      </c>
      <c r="C948" s="8" t="s">
        <v>309</v>
      </c>
      <c r="D948" s="8" t="s">
        <v>310</v>
      </c>
      <c r="E948" s="8" t="s">
        <v>311</v>
      </c>
      <c r="F948" t="s">
        <v>104</v>
      </c>
      <c r="G948" t="s">
        <v>71</v>
      </c>
      <c r="H948" s="13">
        <v>2195925</v>
      </c>
      <c r="I948" s="13">
        <v>653913</v>
      </c>
      <c r="J948" s="8">
        <f t="shared" si="15"/>
        <v>2849838</v>
      </c>
      <c r="K948" s="11"/>
      <c r="L948" s="3"/>
    </row>
    <row r="949" spans="1:12" x14ac:dyDescent="0.2">
      <c r="A949">
        <v>5101740</v>
      </c>
      <c r="B949" s="8">
        <v>2023</v>
      </c>
      <c r="C949" s="8" t="s">
        <v>309</v>
      </c>
      <c r="D949" s="8" t="s">
        <v>310</v>
      </c>
      <c r="E949" s="8" t="s">
        <v>311</v>
      </c>
      <c r="F949" t="s">
        <v>104</v>
      </c>
      <c r="G949" t="s">
        <v>71</v>
      </c>
      <c r="H949" s="13">
        <v>2389333</v>
      </c>
      <c r="I949" s="13">
        <v>223191</v>
      </c>
      <c r="J949" s="8">
        <f t="shared" si="15"/>
        <v>2612524</v>
      </c>
      <c r="K949" s="11"/>
      <c r="L949" s="3"/>
    </row>
    <row r="950" spans="1:12" x14ac:dyDescent="0.2">
      <c r="A950">
        <v>5101710</v>
      </c>
      <c r="B950" s="8">
        <v>2015</v>
      </c>
      <c r="C950" s="8" t="s">
        <v>309</v>
      </c>
      <c r="D950" s="8" t="s">
        <v>310</v>
      </c>
      <c r="E950" s="8" t="s">
        <v>311</v>
      </c>
      <c r="F950" t="s">
        <v>103</v>
      </c>
      <c r="G950" t="s">
        <v>70</v>
      </c>
      <c r="H950" s="13">
        <v>2311993</v>
      </c>
      <c r="I950" s="13"/>
      <c r="J950" s="8">
        <f t="shared" si="15"/>
        <v>2311993</v>
      </c>
      <c r="K950" s="11"/>
      <c r="L950" s="3"/>
    </row>
    <row r="951" spans="1:12" x14ac:dyDescent="0.2">
      <c r="A951">
        <v>5101710</v>
      </c>
      <c r="B951" s="8">
        <v>2016</v>
      </c>
      <c r="C951" s="8" t="s">
        <v>309</v>
      </c>
      <c r="D951" s="8" t="s">
        <v>310</v>
      </c>
      <c r="E951" s="8" t="s">
        <v>311</v>
      </c>
      <c r="F951" t="s">
        <v>103</v>
      </c>
      <c r="G951" t="s">
        <v>70</v>
      </c>
      <c r="H951" s="13">
        <v>2339053</v>
      </c>
      <c r="I951" s="13"/>
      <c r="J951" s="8">
        <f t="shared" si="15"/>
        <v>2339053</v>
      </c>
      <c r="K951" s="11"/>
      <c r="L951" s="3"/>
    </row>
    <row r="952" spans="1:12" x14ac:dyDescent="0.2">
      <c r="A952">
        <v>5101710</v>
      </c>
      <c r="B952" s="8">
        <v>2017</v>
      </c>
      <c r="C952" s="8" t="s">
        <v>309</v>
      </c>
      <c r="D952" s="8" t="s">
        <v>310</v>
      </c>
      <c r="E952" s="8" t="s">
        <v>311</v>
      </c>
      <c r="F952" t="s">
        <v>103</v>
      </c>
      <c r="G952" t="s">
        <v>70</v>
      </c>
      <c r="H952" s="13">
        <v>2466470</v>
      </c>
      <c r="I952" s="13"/>
      <c r="J952" s="8">
        <f t="shared" si="15"/>
        <v>2466470</v>
      </c>
      <c r="K952" s="11"/>
      <c r="L952" s="3"/>
    </row>
    <row r="953" spans="1:12" x14ac:dyDescent="0.2">
      <c r="A953">
        <v>5101710</v>
      </c>
      <c r="B953" s="8">
        <v>2018</v>
      </c>
      <c r="C953" s="8" t="s">
        <v>309</v>
      </c>
      <c r="D953" s="8" t="s">
        <v>310</v>
      </c>
      <c r="E953" s="8" t="s">
        <v>311</v>
      </c>
      <c r="F953" t="s">
        <v>103</v>
      </c>
      <c r="G953" t="s">
        <v>70</v>
      </c>
      <c r="H953" s="13">
        <v>2777909</v>
      </c>
      <c r="I953" s="13"/>
      <c r="J953" s="8">
        <f t="shared" si="15"/>
        <v>2777909</v>
      </c>
      <c r="K953" s="11"/>
      <c r="L953" s="3"/>
    </row>
    <row r="954" spans="1:12" x14ac:dyDescent="0.2">
      <c r="A954">
        <v>5101710</v>
      </c>
      <c r="B954" s="8">
        <v>2019</v>
      </c>
      <c r="C954" s="8" t="s">
        <v>309</v>
      </c>
      <c r="D954" s="8" t="s">
        <v>310</v>
      </c>
      <c r="E954" s="8" t="s">
        <v>311</v>
      </c>
      <c r="F954" t="s">
        <v>103</v>
      </c>
      <c r="G954" t="s">
        <v>70</v>
      </c>
      <c r="H954" s="13">
        <v>2684578</v>
      </c>
      <c r="I954" s="13"/>
      <c r="J954" s="8">
        <f t="shared" si="15"/>
        <v>2684578</v>
      </c>
      <c r="K954" s="11"/>
      <c r="L954" s="3"/>
    </row>
    <row r="955" spans="1:12" x14ac:dyDescent="0.2">
      <c r="A955">
        <v>5101710</v>
      </c>
      <c r="B955" s="8">
        <v>2020</v>
      </c>
      <c r="C955" s="8" t="s">
        <v>309</v>
      </c>
      <c r="D955" s="8" t="s">
        <v>310</v>
      </c>
      <c r="E955" s="8" t="s">
        <v>311</v>
      </c>
      <c r="F955" t="s">
        <v>103</v>
      </c>
      <c r="G955" t="s">
        <v>70</v>
      </c>
      <c r="H955" s="13">
        <v>2696332</v>
      </c>
      <c r="I955" s="13"/>
      <c r="J955" s="8">
        <f t="shared" si="15"/>
        <v>2696332</v>
      </c>
      <c r="K955" s="11"/>
      <c r="L955" s="3"/>
    </row>
    <row r="956" spans="1:12" x14ac:dyDescent="0.2">
      <c r="A956">
        <v>5101710</v>
      </c>
      <c r="B956" s="8">
        <v>2021</v>
      </c>
      <c r="C956" s="8" t="s">
        <v>309</v>
      </c>
      <c r="D956" s="8" t="s">
        <v>310</v>
      </c>
      <c r="E956" s="8" t="s">
        <v>311</v>
      </c>
      <c r="F956" t="s">
        <v>103</v>
      </c>
      <c r="G956" t="s">
        <v>70</v>
      </c>
      <c r="H956" s="13">
        <v>2774168</v>
      </c>
      <c r="I956" s="13">
        <v>120290</v>
      </c>
      <c r="J956" s="8">
        <f t="shared" si="15"/>
        <v>2894458</v>
      </c>
      <c r="K956" s="11"/>
      <c r="L956" s="3"/>
    </row>
    <row r="957" spans="1:12" x14ac:dyDescent="0.2">
      <c r="A957">
        <v>5101710</v>
      </c>
      <c r="B957" s="8">
        <v>2022</v>
      </c>
      <c r="C957" s="8" t="s">
        <v>309</v>
      </c>
      <c r="D957" s="8" t="s">
        <v>310</v>
      </c>
      <c r="E957" s="8" t="s">
        <v>311</v>
      </c>
      <c r="F957" t="s">
        <v>103</v>
      </c>
      <c r="G957" t="s">
        <v>70</v>
      </c>
      <c r="H957" s="13">
        <v>3040946</v>
      </c>
      <c r="I957" s="13">
        <v>905534</v>
      </c>
      <c r="J957" s="8">
        <f t="shared" si="15"/>
        <v>3946480</v>
      </c>
      <c r="K957" s="11"/>
      <c r="L957" s="3"/>
    </row>
    <row r="958" spans="1:12" x14ac:dyDescent="0.2">
      <c r="A958">
        <v>5101710</v>
      </c>
      <c r="B958" s="8">
        <v>2023</v>
      </c>
      <c r="C958" s="8" t="s">
        <v>309</v>
      </c>
      <c r="D958" s="8" t="s">
        <v>310</v>
      </c>
      <c r="E958" s="8" t="s">
        <v>311</v>
      </c>
      <c r="F958" t="s">
        <v>103</v>
      </c>
      <c r="G958" t="s">
        <v>70</v>
      </c>
      <c r="H958" s="13">
        <v>3256252</v>
      </c>
      <c r="I958" s="13">
        <v>304174</v>
      </c>
      <c r="J958" s="8">
        <f t="shared" si="15"/>
        <v>3560426</v>
      </c>
      <c r="K958" s="11"/>
      <c r="L958" s="3"/>
    </row>
    <row r="959" spans="1:12" x14ac:dyDescent="0.2">
      <c r="A959">
        <v>5101690</v>
      </c>
      <c r="B959" s="8">
        <v>2015</v>
      </c>
      <c r="C959" s="8" t="s">
        <v>309</v>
      </c>
      <c r="D959" s="8" t="s">
        <v>310</v>
      </c>
      <c r="E959" s="8" t="s">
        <v>311</v>
      </c>
      <c r="F959" t="s">
        <v>102</v>
      </c>
      <c r="G959" t="s">
        <v>69</v>
      </c>
      <c r="H959" s="13">
        <v>1378781</v>
      </c>
      <c r="I959" s="13"/>
      <c r="J959" s="8">
        <f t="shared" si="15"/>
        <v>1378781</v>
      </c>
      <c r="K959" s="11"/>
      <c r="L959" s="3"/>
    </row>
    <row r="960" spans="1:12" x14ac:dyDescent="0.2">
      <c r="A960">
        <v>5101690</v>
      </c>
      <c r="B960" s="8">
        <v>2016</v>
      </c>
      <c r="C960" s="8" t="s">
        <v>309</v>
      </c>
      <c r="D960" s="8" t="s">
        <v>310</v>
      </c>
      <c r="E960" s="8" t="s">
        <v>311</v>
      </c>
      <c r="F960" t="s">
        <v>102</v>
      </c>
      <c r="G960" t="s">
        <v>69</v>
      </c>
      <c r="H960" s="13">
        <v>1179216</v>
      </c>
      <c r="I960" s="13"/>
      <c r="J960" s="8">
        <f t="shared" si="15"/>
        <v>1179216</v>
      </c>
      <c r="K960" s="11"/>
      <c r="L960" s="3"/>
    </row>
    <row r="961" spans="1:12" x14ac:dyDescent="0.2">
      <c r="A961">
        <v>5101690</v>
      </c>
      <c r="B961" s="8">
        <v>2017</v>
      </c>
      <c r="C961" s="8" t="s">
        <v>309</v>
      </c>
      <c r="D961" s="8" t="s">
        <v>310</v>
      </c>
      <c r="E961" s="8" t="s">
        <v>311</v>
      </c>
      <c r="F961" t="s">
        <v>102</v>
      </c>
      <c r="G961" t="s">
        <v>69</v>
      </c>
      <c r="H961" s="13">
        <v>1289686</v>
      </c>
      <c r="I961" s="13"/>
      <c r="J961" s="8">
        <f t="shared" si="15"/>
        <v>1289686</v>
      </c>
      <c r="K961" s="11"/>
      <c r="L961" s="3"/>
    </row>
    <row r="962" spans="1:12" x14ac:dyDescent="0.2">
      <c r="A962">
        <v>5101690</v>
      </c>
      <c r="B962" s="8">
        <v>2018</v>
      </c>
      <c r="C962" s="8" t="s">
        <v>309</v>
      </c>
      <c r="D962" s="8" t="s">
        <v>310</v>
      </c>
      <c r="E962" s="8" t="s">
        <v>311</v>
      </c>
      <c r="F962" t="s">
        <v>102</v>
      </c>
      <c r="G962" t="s">
        <v>69</v>
      </c>
      <c r="H962" s="13">
        <v>1444372</v>
      </c>
      <c r="I962" s="13"/>
      <c r="J962" s="8">
        <f t="shared" si="15"/>
        <v>1444372</v>
      </c>
      <c r="K962" s="11"/>
      <c r="L962" s="3"/>
    </row>
    <row r="963" spans="1:12" x14ac:dyDescent="0.2">
      <c r="A963">
        <v>5101690</v>
      </c>
      <c r="B963" s="8">
        <v>2019</v>
      </c>
      <c r="C963" s="8" t="s">
        <v>309</v>
      </c>
      <c r="D963" s="8" t="s">
        <v>310</v>
      </c>
      <c r="E963" s="8" t="s">
        <v>311</v>
      </c>
      <c r="F963" t="s">
        <v>102</v>
      </c>
      <c r="G963" t="s">
        <v>69</v>
      </c>
      <c r="H963" s="13">
        <v>1337975</v>
      </c>
      <c r="I963" s="13"/>
      <c r="J963" s="8">
        <f t="shared" ref="J963:J1026" si="16">SUM(H963:I963)</f>
        <v>1337975</v>
      </c>
      <c r="K963" s="11"/>
      <c r="L963" s="3"/>
    </row>
    <row r="964" spans="1:12" x14ac:dyDescent="0.2">
      <c r="A964">
        <v>5101690</v>
      </c>
      <c r="B964" s="8">
        <v>2020</v>
      </c>
      <c r="C964" s="8" t="s">
        <v>309</v>
      </c>
      <c r="D964" s="8" t="s">
        <v>310</v>
      </c>
      <c r="E964" s="8" t="s">
        <v>311</v>
      </c>
      <c r="F964" t="s">
        <v>102</v>
      </c>
      <c r="G964" t="s">
        <v>69</v>
      </c>
      <c r="H964" s="13">
        <v>1438534</v>
      </c>
      <c r="I964" s="13"/>
      <c r="J964" s="8">
        <f t="shared" si="16"/>
        <v>1438534</v>
      </c>
      <c r="K964" s="11"/>
      <c r="L964" s="3"/>
    </row>
    <row r="965" spans="1:12" x14ac:dyDescent="0.2">
      <c r="A965">
        <v>5101690</v>
      </c>
      <c r="B965" s="8">
        <v>2021</v>
      </c>
      <c r="C965" s="8" t="s">
        <v>309</v>
      </c>
      <c r="D965" s="8" t="s">
        <v>310</v>
      </c>
      <c r="E965" s="8" t="s">
        <v>311</v>
      </c>
      <c r="F965" t="s">
        <v>102</v>
      </c>
      <c r="G965" t="s">
        <v>69</v>
      </c>
      <c r="H965" s="13">
        <v>1556314</v>
      </c>
      <c r="I965" s="13">
        <v>67485</v>
      </c>
      <c r="J965" s="8">
        <f t="shared" si="16"/>
        <v>1623799</v>
      </c>
      <c r="K965" s="11"/>
      <c r="L965" s="3"/>
    </row>
    <row r="966" spans="1:12" x14ac:dyDescent="0.2">
      <c r="A966">
        <v>5101690</v>
      </c>
      <c r="B966" s="8">
        <v>2022</v>
      </c>
      <c r="C966" s="8" t="s">
        <v>309</v>
      </c>
      <c r="D966" s="8" t="s">
        <v>310</v>
      </c>
      <c r="E966" s="8" t="s">
        <v>311</v>
      </c>
      <c r="F966" t="s">
        <v>102</v>
      </c>
      <c r="G966" t="s">
        <v>69</v>
      </c>
      <c r="H966" s="13">
        <v>1646490</v>
      </c>
      <c r="I966" s="13">
        <v>490280</v>
      </c>
      <c r="J966" s="8">
        <f t="shared" si="16"/>
        <v>2136770</v>
      </c>
      <c r="K966" s="11"/>
      <c r="L966" s="3"/>
    </row>
    <row r="967" spans="1:12" x14ac:dyDescent="0.2">
      <c r="A967">
        <v>5101690</v>
      </c>
      <c r="B967" s="8">
        <v>2023</v>
      </c>
      <c r="C967" s="8" t="s">
        <v>309</v>
      </c>
      <c r="D967" s="8" t="s">
        <v>310</v>
      </c>
      <c r="E967" s="8" t="s">
        <v>311</v>
      </c>
      <c r="F967" t="s">
        <v>102</v>
      </c>
      <c r="G967" t="s">
        <v>69</v>
      </c>
      <c r="H967" s="13">
        <v>1783777</v>
      </c>
      <c r="I967" s="13">
        <v>166626</v>
      </c>
      <c r="J967" s="8">
        <f t="shared" si="16"/>
        <v>1950403</v>
      </c>
      <c r="K967" s="11"/>
      <c r="L967" s="3"/>
    </row>
    <row r="968" spans="1:12" x14ac:dyDescent="0.2">
      <c r="A968">
        <v>5101650</v>
      </c>
      <c r="B968" s="8">
        <v>2015</v>
      </c>
      <c r="C968" s="8" t="s">
        <v>309</v>
      </c>
      <c r="D968" s="8" t="s">
        <v>310</v>
      </c>
      <c r="E968" s="8" t="s">
        <v>311</v>
      </c>
      <c r="F968" t="s">
        <v>101</v>
      </c>
      <c r="G968" t="s">
        <v>68</v>
      </c>
      <c r="H968" s="13">
        <v>2033789</v>
      </c>
      <c r="I968" s="13"/>
      <c r="J968" s="8">
        <f t="shared" si="16"/>
        <v>2033789</v>
      </c>
      <c r="K968" s="11"/>
      <c r="L968" s="3"/>
    </row>
    <row r="969" spans="1:12" x14ac:dyDescent="0.2">
      <c r="A969">
        <v>5101650</v>
      </c>
      <c r="B969" s="8">
        <v>2016</v>
      </c>
      <c r="C969" s="8" t="s">
        <v>309</v>
      </c>
      <c r="D969" s="8" t="s">
        <v>310</v>
      </c>
      <c r="E969" s="8" t="s">
        <v>311</v>
      </c>
      <c r="F969" t="s">
        <v>101</v>
      </c>
      <c r="G969" t="s">
        <v>68</v>
      </c>
      <c r="H969" s="13">
        <v>2016616</v>
      </c>
      <c r="I969" s="13"/>
      <c r="J969" s="8">
        <f t="shared" si="16"/>
        <v>2016616</v>
      </c>
      <c r="K969" s="11"/>
      <c r="L969" s="3"/>
    </row>
    <row r="970" spans="1:12" x14ac:dyDescent="0.2">
      <c r="A970">
        <v>5101650</v>
      </c>
      <c r="B970" s="8">
        <v>2017</v>
      </c>
      <c r="C970" s="8" t="s">
        <v>309</v>
      </c>
      <c r="D970" s="8" t="s">
        <v>310</v>
      </c>
      <c r="E970" s="8" t="s">
        <v>311</v>
      </c>
      <c r="F970" t="s">
        <v>101</v>
      </c>
      <c r="G970" t="s">
        <v>68</v>
      </c>
      <c r="H970" s="13">
        <v>2111572</v>
      </c>
      <c r="I970" s="13"/>
      <c r="J970" s="8">
        <f t="shared" si="16"/>
        <v>2111572</v>
      </c>
      <c r="K970" s="11"/>
      <c r="L970" s="3"/>
    </row>
    <row r="971" spans="1:12" x14ac:dyDescent="0.2">
      <c r="A971">
        <v>5101650</v>
      </c>
      <c r="B971" s="8">
        <v>2018</v>
      </c>
      <c r="C971" s="8" t="s">
        <v>309</v>
      </c>
      <c r="D971" s="8" t="s">
        <v>310</v>
      </c>
      <c r="E971" s="8" t="s">
        <v>311</v>
      </c>
      <c r="F971" t="s">
        <v>101</v>
      </c>
      <c r="G971" t="s">
        <v>68</v>
      </c>
      <c r="H971" s="13">
        <v>2431334</v>
      </c>
      <c r="I971" s="13"/>
      <c r="J971" s="8">
        <f t="shared" si="16"/>
        <v>2431334</v>
      </c>
      <c r="K971" s="11"/>
      <c r="L971" s="3"/>
    </row>
    <row r="972" spans="1:12" x14ac:dyDescent="0.2">
      <c r="A972">
        <v>5101650</v>
      </c>
      <c r="B972" s="8">
        <v>2019</v>
      </c>
      <c r="C972" s="8" t="s">
        <v>309</v>
      </c>
      <c r="D972" s="8" t="s">
        <v>310</v>
      </c>
      <c r="E972" s="8" t="s">
        <v>311</v>
      </c>
      <c r="F972" t="s">
        <v>101</v>
      </c>
      <c r="G972" t="s">
        <v>68</v>
      </c>
      <c r="H972" s="13">
        <v>2373459</v>
      </c>
      <c r="I972" s="13"/>
      <c r="J972" s="8">
        <f t="shared" si="16"/>
        <v>2373459</v>
      </c>
      <c r="K972" s="11"/>
      <c r="L972" s="3"/>
    </row>
    <row r="973" spans="1:12" x14ac:dyDescent="0.2">
      <c r="A973">
        <v>5101650</v>
      </c>
      <c r="B973" s="8">
        <v>2020</v>
      </c>
      <c r="C973" s="8" t="s">
        <v>309</v>
      </c>
      <c r="D973" s="8" t="s">
        <v>310</v>
      </c>
      <c r="E973" s="8" t="s">
        <v>311</v>
      </c>
      <c r="F973" t="s">
        <v>101</v>
      </c>
      <c r="G973" t="s">
        <v>68</v>
      </c>
      <c r="H973" s="13">
        <v>2471825</v>
      </c>
      <c r="I973" s="13"/>
      <c r="J973" s="8">
        <f t="shared" si="16"/>
        <v>2471825</v>
      </c>
      <c r="K973" s="11"/>
      <c r="L973" s="3"/>
    </row>
    <row r="974" spans="1:12" x14ac:dyDescent="0.2">
      <c r="A974">
        <v>5101650</v>
      </c>
      <c r="B974" s="8">
        <v>2021</v>
      </c>
      <c r="C974" s="8" t="s">
        <v>309</v>
      </c>
      <c r="D974" s="8" t="s">
        <v>310</v>
      </c>
      <c r="E974" s="8" t="s">
        <v>311</v>
      </c>
      <c r="F974" t="s">
        <v>101</v>
      </c>
      <c r="G974" t="s">
        <v>68</v>
      </c>
      <c r="H974" s="13">
        <v>2579373</v>
      </c>
      <c r="I974" s="13">
        <v>111843</v>
      </c>
      <c r="J974" s="8">
        <f t="shared" si="16"/>
        <v>2691216</v>
      </c>
      <c r="K974" s="11"/>
      <c r="L974" s="3"/>
    </row>
    <row r="975" spans="1:12" x14ac:dyDescent="0.2">
      <c r="A975">
        <v>5101650</v>
      </c>
      <c r="B975" s="8">
        <v>2022</v>
      </c>
      <c r="C975" s="8" t="s">
        <v>309</v>
      </c>
      <c r="D975" s="8" t="s">
        <v>310</v>
      </c>
      <c r="E975" s="8" t="s">
        <v>311</v>
      </c>
      <c r="F975" t="s">
        <v>101</v>
      </c>
      <c r="G975" t="s">
        <v>68</v>
      </c>
      <c r="H975" s="13">
        <v>2771234</v>
      </c>
      <c r="I975" s="13">
        <v>825199</v>
      </c>
      <c r="J975" s="8">
        <f t="shared" si="16"/>
        <v>3596433</v>
      </c>
      <c r="K975" s="11"/>
      <c r="L975" s="3"/>
    </row>
    <row r="976" spans="1:12" x14ac:dyDescent="0.2">
      <c r="A976">
        <v>5101650</v>
      </c>
      <c r="B976" s="8">
        <v>2023</v>
      </c>
      <c r="C976" s="8" t="s">
        <v>309</v>
      </c>
      <c r="D976" s="8" t="s">
        <v>310</v>
      </c>
      <c r="E976" s="8" t="s">
        <v>311</v>
      </c>
      <c r="F976" t="s">
        <v>101</v>
      </c>
      <c r="G976" t="s">
        <v>68</v>
      </c>
      <c r="H976" s="13">
        <v>2985048</v>
      </c>
      <c r="I976" s="13">
        <v>278841</v>
      </c>
      <c r="J976" s="8">
        <f t="shared" si="16"/>
        <v>3263889</v>
      </c>
      <c r="K976" s="11"/>
      <c r="L976" s="3"/>
    </row>
    <row r="977" spans="1:12" x14ac:dyDescent="0.2">
      <c r="A977">
        <v>5101620</v>
      </c>
      <c r="B977" s="8">
        <v>2015</v>
      </c>
      <c r="C977" s="8" t="s">
        <v>309</v>
      </c>
      <c r="D977" s="8" t="s">
        <v>310</v>
      </c>
      <c r="E977" s="8" t="s">
        <v>311</v>
      </c>
      <c r="F977" t="s">
        <v>100</v>
      </c>
      <c r="G977" t="s">
        <v>67</v>
      </c>
      <c r="H977" s="13">
        <v>4063900</v>
      </c>
      <c r="I977" s="13"/>
      <c r="J977" s="8">
        <f t="shared" si="16"/>
        <v>4063900</v>
      </c>
      <c r="K977" s="11"/>
      <c r="L977" s="3"/>
    </row>
    <row r="978" spans="1:12" x14ac:dyDescent="0.2">
      <c r="A978">
        <v>5101620</v>
      </c>
      <c r="B978" s="8">
        <v>2016</v>
      </c>
      <c r="C978" s="8" t="s">
        <v>309</v>
      </c>
      <c r="D978" s="8" t="s">
        <v>310</v>
      </c>
      <c r="E978" s="8" t="s">
        <v>311</v>
      </c>
      <c r="F978" t="s">
        <v>100</v>
      </c>
      <c r="G978" t="s">
        <v>67</v>
      </c>
      <c r="H978" s="13">
        <v>3973956</v>
      </c>
      <c r="I978" s="13"/>
      <c r="J978" s="8">
        <f t="shared" si="16"/>
        <v>3973956</v>
      </c>
      <c r="K978" s="11"/>
      <c r="L978" s="3"/>
    </row>
    <row r="979" spans="1:12" x14ac:dyDescent="0.2">
      <c r="A979">
        <v>5101620</v>
      </c>
      <c r="B979" s="8">
        <v>2017</v>
      </c>
      <c r="C979" s="8" t="s">
        <v>309</v>
      </c>
      <c r="D979" s="8" t="s">
        <v>310</v>
      </c>
      <c r="E979" s="8" t="s">
        <v>311</v>
      </c>
      <c r="F979" t="s">
        <v>100</v>
      </c>
      <c r="G979" t="s">
        <v>67</v>
      </c>
      <c r="H979" s="13">
        <v>4335827</v>
      </c>
      <c r="I979" s="13"/>
      <c r="J979" s="8">
        <f t="shared" si="16"/>
        <v>4335827</v>
      </c>
      <c r="K979" s="11"/>
      <c r="L979" s="3"/>
    </row>
    <row r="980" spans="1:12" x14ac:dyDescent="0.2">
      <c r="A980">
        <v>5101620</v>
      </c>
      <c r="B980" s="8">
        <v>2018</v>
      </c>
      <c r="C980" s="8" t="s">
        <v>309</v>
      </c>
      <c r="D980" s="8" t="s">
        <v>310</v>
      </c>
      <c r="E980" s="8" t="s">
        <v>311</v>
      </c>
      <c r="F980" t="s">
        <v>100</v>
      </c>
      <c r="G980" t="s">
        <v>67</v>
      </c>
      <c r="H980" s="13">
        <v>4786828</v>
      </c>
      <c r="I980" s="13"/>
      <c r="J980" s="8">
        <f t="shared" si="16"/>
        <v>4786828</v>
      </c>
      <c r="K980" s="11"/>
      <c r="L980" s="3"/>
    </row>
    <row r="981" spans="1:12" x14ac:dyDescent="0.2">
      <c r="A981">
        <v>5101620</v>
      </c>
      <c r="B981" s="8">
        <v>2019</v>
      </c>
      <c r="C981" s="8" t="s">
        <v>309</v>
      </c>
      <c r="D981" s="8" t="s">
        <v>310</v>
      </c>
      <c r="E981" s="8" t="s">
        <v>311</v>
      </c>
      <c r="F981" t="s">
        <v>100</v>
      </c>
      <c r="G981" t="s">
        <v>67</v>
      </c>
      <c r="H981" s="13">
        <v>4784384</v>
      </c>
      <c r="I981" s="13"/>
      <c r="J981" s="8">
        <f t="shared" si="16"/>
        <v>4784384</v>
      </c>
      <c r="K981" s="11"/>
      <c r="L981" s="3"/>
    </row>
    <row r="982" spans="1:12" x14ac:dyDescent="0.2">
      <c r="A982">
        <v>5101620</v>
      </c>
      <c r="B982" s="8">
        <v>2020</v>
      </c>
      <c r="C982" s="8" t="s">
        <v>309</v>
      </c>
      <c r="D982" s="8" t="s">
        <v>310</v>
      </c>
      <c r="E982" s="8" t="s">
        <v>311</v>
      </c>
      <c r="F982" t="s">
        <v>100</v>
      </c>
      <c r="G982" t="s">
        <v>67</v>
      </c>
      <c r="H982" s="13">
        <v>4984888</v>
      </c>
      <c r="I982" s="13"/>
      <c r="J982" s="8">
        <f t="shared" si="16"/>
        <v>4984888</v>
      </c>
      <c r="K982" s="11"/>
      <c r="L982" s="3"/>
    </row>
    <row r="983" spans="1:12" x14ac:dyDescent="0.2">
      <c r="A983">
        <v>5101620</v>
      </c>
      <c r="B983" s="8">
        <v>2021</v>
      </c>
      <c r="C983" s="8" t="s">
        <v>309</v>
      </c>
      <c r="D983" s="8" t="s">
        <v>310</v>
      </c>
      <c r="E983" s="8" t="s">
        <v>311</v>
      </c>
      <c r="F983" t="s">
        <v>100</v>
      </c>
      <c r="G983" t="s">
        <v>67</v>
      </c>
      <c r="H983" s="13">
        <v>5012876</v>
      </c>
      <c r="I983" s="13">
        <v>217367</v>
      </c>
      <c r="J983" s="8">
        <f t="shared" si="16"/>
        <v>5230243</v>
      </c>
      <c r="K983" s="11"/>
      <c r="L983" s="3"/>
    </row>
    <row r="984" spans="1:12" x14ac:dyDescent="0.2">
      <c r="A984">
        <v>5101620</v>
      </c>
      <c r="B984" s="8">
        <v>2022</v>
      </c>
      <c r="C984" s="8" t="s">
        <v>309</v>
      </c>
      <c r="D984" s="8" t="s">
        <v>310</v>
      </c>
      <c r="E984" s="8" t="s">
        <v>311</v>
      </c>
      <c r="F984" t="s">
        <v>100</v>
      </c>
      <c r="G984" t="s">
        <v>67</v>
      </c>
      <c r="H984" s="13">
        <v>5586102</v>
      </c>
      <c r="I984" s="13">
        <v>1663404</v>
      </c>
      <c r="J984" s="8">
        <f t="shared" si="16"/>
        <v>7249506</v>
      </c>
      <c r="K984" s="11"/>
      <c r="L984" s="3"/>
    </row>
    <row r="985" spans="1:12" x14ac:dyDescent="0.2">
      <c r="A985">
        <v>5101620</v>
      </c>
      <c r="B985" s="8">
        <v>2023</v>
      </c>
      <c r="C985" s="8" t="s">
        <v>309</v>
      </c>
      <c r="D985" s="8" t="s">
        <v>310</v>
      </c>
      <c r="E985" s="8" t="s">
        <v>311</v>
      </c>
      <c r="F985" t="s">
        <v>100</v>
      </c>
      <c r="G985" t="s">
        <v>67</v>
      </c>
      <c r="H985" s="13">
        <v>5887191</v>
      </c>
      <c r="I985" s="13">
        <v>549941</v>
      </c>
      <c r="J985" s="8">
        <f t="shared" si="16"/>
        <v>6437132</v>
      </c>
      <c r="K985" s="11"/>
      <c r="L985" s="3"/>
    </row>
    <row r="986" spans="1:12" x14ac:dyDescent="0.2">
      <c r="A986">
        <v>5101590</v>
      </c>
      <c r="B986" s="8">
        <v>2015</v>
      </c>
      <c r="C986" s="8" t="s">
        <v>309</v>
      </c>
      <c r="D986" s="8" t="s">
        <v>310</v>
      </c>
      <c r="E986" s="8" t="s">
        <v>311</v>
      </c>
      <c r="F986" t="s">
        <v>99</v>
      </c>
      <c r="G986" t="s">
        <v>66</v>
      </c>
      <c r="H986" s="13">
        <v>1688277</v>
      </c>
      <c r="I986" s="13"/>
      <c r="J986" s="8">
        <f t="shared" si="16"/>
        <v>1688277</v>
      </c>
      <c r="K986" s="11"/>
      <c r="L986" s="3"/>
    </row>
    <row r="987" spans="1:12" x14ac:dyDescent="0.2">
      <c r="A987">
        <v>5101590</v>
      </c>
      <c r="B987" s="8">
        <v>2016</v>
      </c>
      <c r="C987" s="8" t="s">
        <v>309</v>
      </c>
      <c r="D987" s="8" t="s">
        <v>310</v>
      </c>
      <c r="E987" s="8" t="s">
        <v>311</v>
      </c>
      <c r="F987" t="s">
        <v>99</v>
      </c>
      <c r="G987" t="s">
        <v>66</v>
      </c>
      <c r="H987" s="13">
        <v>1675004</v>
      </c>
      <c r="I987" s="13"/>
      <c r="J987" s="8">
        <f t="shared" si="16"/>
        <v>1675004</v>
      </c>
      <c r="K987" s="11"/>
      <c r="L987" s="3"/>
    </row>
    <row r="988" spans="1:12" x14ac:dyDescent="0.2">
      <c r="A988">
        <v>5101590</v>
      </c>
      <c r="B988" s="8">
        <v>2017</v>
      </c>
      <c r="C988" s="8" t="s">
        <v>309</v>
      </c>
      <c r="D988" s="8" t="s">
        <v>310</v>
      </c>
      <c r="E988" s="8" t="s">
        <v>311</v>
      </c>
      <c r="F988" t="s">
        <v>99</v>
      </c>
      <c r="G988" t="s">
        <v>66</v>
      </c>
      <c r="H988" s="13">
        <v>1751588</v>
      </c>
      <c r="I988" s="13"/>
      <c r="J988" s="8">
        <f t="shared" si="16"/>
        <v>1751588</v>
      </c>
      <c r="K988" s="11"/>
      <c r="L988" s="3"/>
    </row>
    <row r="989" spans="1:12" x14ac:dyDescent="0.2">
      <c r="A989">
        <v>5101590</v>
      </c>
      <c r="B989" s="8">
        <v>2018</v>
      </c>
      <c r="C989" s="8" t="s">
        <v>309</v>
      </c>
      <c r="D989" s="8" t="s">
        <v>310</v>
      </c>
      <c r="E989" s="8" t="s">
        <v>311</v>
      </c>
      <c r="F989" t="s">
        <v>99</v>
      </c>
      <c r="G989" t="s">
        <v>66</v>
      </c>
      <c r="H989" s="13">
        <v>2009254</v>
      </c>
      <c r="I989" s="13"/>
      <c r="J989" s="8">
        <f t="shared" si="16"/>
        <v>2009254</v>
      </c>
      <c r="K989" s="11"/>
    </row>
    <row r="990" spans="1:12" x14ac:dyDescent="0.2">
      <c r="A990">
        <v>5101590</v>
      </c>
      <c r="B990" s="8">
        <v>2019</v>
      </c>
      <c r="C990" s="8" t="s">
        <v>309</v>
      </c>
      <c r="D990" s="8" t="s">
        <v>310</v>
      </c>
      <c r="E990" s="8" t="s">
        <v>311</v>
      </c>
      <c r="F990" t="s">
        <v>99</v>
      </c>
      <c r="G990" t="s">
        <v>66</v>
      </c>
      <c r="H990" s="13">
        <v>1933433</v>
      </c>
      <c r="I990" s="13"/>
      <c r="J990" s="8">
        <f t="shared" si="16"/>
        <v>1933433</v>
      </c>
      <c r="K990" s="11"/>
      <c r="L990" s="3"/>
    </row>
    <row r="991" spans="1:12" x14ac:dyDescent="0.2">
      <c r="A991">
        <v>5101590</v>
      </c>
      <c r="B991" s="8">
        <v>2020</v>
      </c>
      <c r="C991" s="8" t="s">
        <v>309</v>
      </c>
      <c r="D991" s="8" t="s">
        <v>310</v>
      </c>
      <c r="E991" s="8" t="s">
        <v>311</v>
      </c>
      <c r="F991" t="s">
        <v>99</v>
      </c>
      <c r="G991" t="s">
        <v>66</v>
      </c>
      <c r="H991" s="13">
        <v>2018914</v>
      </c>
      <c r="I991" s="13"/>
      <c r="J991" s="8">
        <f t="shared" si="16"/>
        <v>2018914</v>
      </c>
      <c r="K991" s="11"/>
      <c r="L991" s="3"/>
    </row>
    <row r="992" spans="1:12" x14ac:dyDescent="0.2">
      <c r="A992">
        <v>5101590</v>
      </c>
      <c r="B992" s="8">
        <v>2021</v>
      </c>
      <c r="C992" s="8" t="s">
        <v>309</v>
      </c>
      <c r="D992" s="8" t="s">
        <v>310</v>
      </c>
      <c r="E992" s="8" t="s">
        <v>311</v>
      </c>
      <c r="F992" t="s">
        <v>99</v>
      </c>
      <c r="G992" t="s">
        <v>66</v>
      </c>
      <c r="H992" s="13">
        <v>2077175</v>
      </c>
      <c r="I992" s="13">
        <v>90072</v>
      </c>
      <c r="J992" s="8">
        <f t="shared" si="16"/>
        <v>2167247</v>
      </c>
      <c r="K992" s="11"/>
      <c r="L992" s="3"/>
    </row>
    <row r="993" spans="1:12" x14ac:dyDescent="0.2">
      <c r="A993">
        <v>5101590</v>
      </c>
      <c r="B993" s="8">
        <v>2022</v>
      </c>
      <c r="C993" s="8" t="s">
        <v>309</v>
      </c>
      <c r="D993" s="8" t="s">
        <v>310</v>
      </c>
      <c r="E993" s="8" t="s">
        <v>311</v>
      </c>
      <c r="F993" t="s">
        <v>99</v>
      </c>
      <c r="G993" t="s">
        <v>66</v>
      </c>
      <c r="H993" s="13">
        <v>2152212</v>
      </c>
      <c r="I993" s="13">
        <v>640863</v>
      </c>
      <c r="J993" s="8">
        <f t="shared" si="16"/>
        <v>2793075</v>
      </c>
      <c r="K993" s="11"/>
      <c r="L993" s="3"/>
    </row>
    <row r="994" spans="1:12" x14ac:dyDescent="0.2">
      <c r="A994">
        <v>5101590</v>
      </c>
      <c r="B994" s="8">
        <v>2023</v>
      </c>
      <c r="C994" s="8" t="s">
        <v>309</v>
      </c>
      <c r="D994" s="8" t="s">
        <v>310</v>
      </c>
      <c r="E994" s="8" t="s">
        <v>311</v>
      </c>
      <c r="F994" t="s">
        <v>99</v>
      </c>
      <c r="G994" t="s">
        <v>66</v>
      </c>
      <c r="H994" s="13">
        <v>2449772</v>
      </c>
      <c r="I994" s="13">
        <v>228839</v>
      </c>
      <c r="J994" s="8">
        <f t="shared" si="16"/>
        <v>2678611</v>
      </c>
      <c r="K994" s="11"/>
      <c r="L994" s="3"/>
    </row>
    <row r="995" spans="1:12" x14ac:dyDescent="0.2">
      <c r="A995">
        <v>5101470</v>
      </c>
      <c r="B995" s="8">
        <v>2015</v>
      </c>
      <c r="C995" s="8" t="s">
        <v>309</v>
      </c>
      <c r="D995" s="8" t="s">
        <v>310</v>
      </c>
      <c r="E995" s="8" t="s">
        <v>311</v>
      </c>
      <c r="F995" t="s">
        <v>98</v>
      </c>
      <c r="G995" t="s">
        <v>65</v>
      </c>
      <c r="H995" s="13">
        <v>11542407</v>
      </c>
      <c r="I995" s="13"/>
      <c r="J995" s="8">
        <f t="shared" si="16"/>
        <v>11542407</v>
      </c>
      <c r="K995" s="11"/>
      <c r="L995" s="3"/>
    </row>
    <row r="996" spans="1:12" x14ac:dyDescent="0.2">
      <c r="A996">
        <v>5101470</v>
      </c>
      <c r="B996" s="8">
        <v>2016</v>
      </c>
      <c r="C996" s="8" t="s">
        <v>309</v>
      </c>
      <c r="D996" s="8" t="s">
        <v>310</v>
      </c>
      <c r="E996" s="8" t="s">
        <v>311</v>
      </c>
      <c r="F996" t="s">
        <v>98</v>
      </c>
      <c r="G996" t="s">
        <v>65</v>
      </c>
      <c r="H996" s="13">
        <v>11825982</v>
      </c>
      <c r="I996" s="13"/>
      <c r="J996" s="8">
        <f t="shared" si="16"/>
        <v>11825982</v>
      </c>
      <c r="K996" s="11"/>
      <c r="L996" s="3"/>
    </row>
    <row r="997" spans="1:12" x14ac:dyDescent="0.2">
      <c r="A997">
        <v>5101470</v>
      </c>
      <c r="B997" s="8">
        <v>2017</v>
      </c>
      <c r="C997" s="8" t="s">
        <v>309</v>
      </c>
      <c r="D997" s="8" t="s">
        <v>310</v>
      </c>
      <c r="E997" s="8" t="s">
        <v>311</v>
      </c>
      <c r="F997" t="s">
        <v>98</v>
      </c>
      <c r="G997" t="s">
        <v>65</v>
      </c>
      <c r="H997" s="13">
        <v>12336949</v>
      </c>
      <c r="I997" s="13"/>
      <c r="J997" s="8">
        <f t="shared" si="16"/>
        <v>12336949</v>
      </c>
      <c r="K997" s="11"/>
      <c r="L997" s="3"/>
    </row>
    <row r="998" spans="1:12" x14ac:dyDescent="0.2">
      <c r="A998">
        <v>5101470</v>
      </c>
      <c r="B998" s="8">
        <v>2018</v>
      </c>
      <c r="C998" s="8" t="s">
        <v>309</v>
      </c>
      <c r="D998" s="8" t="s">
        <v>310</v>
      </c>
      <c r="E998" s="8" t="s">
        <v>311</v>
      </c>
      <c r="F998" t="s">
        <v>98</v>
      </c>
      <c r="G998" t="s">
        <v>65</v>
      </c>
      <c r="H998" s="13">
        <v>14099388</v>
      </c>
      <c r="I998" s="13"/>
      <c r="J998" s="8">
        <f t="shared" si="16"/>
        <v>14099388</v>
      </c>
      <c r="K998" s="11"/>
      <c r="L998" s="3"/>
    </row>
    <row r="999" spans="1:12" x14ac:dyDescent="0.2">
      <c r="A999">
        <v>5101470</v>
      </c>
      <c r="B999" s="8">
        <v>2019</v>
      </c>
      <c r="C999" s="8" t="s">
        <v>309</v>
      </c>
      <c r="D999" s="8" t="s">
        <v>310</v>
      </c>
      <c r="E999" s="8" t="s">
        <v>311</v>
      </c>
      <c r="F999" t="s">
        <v>98</v>
      </c>
      <c r="G999" t="s">
        <v>65</v>
      </c>
      <c r="H999" s="13">
        <v>14175476</v>
      </c>
      <c r="I999" s="13"/>
      <c r="J999" s="8">
        <f t="shared" si="16"/>
        <v>14175476</v>
      </c>
      <c r="K999" s="11"/>
      <c r="L999" s="3"/>
    </row>
    <row r="1000" spans="1:12" x14ac:dyDescent="0.2">
      <c r="A1000">
        <v>5101470</v>
      </c>
      <c r="B1000" s="8">
        <v>2020</v>
      </c>
      <c r="C1000" s="8" t="s">
        <v>309</v>
      </c>
      <c r="D1000" s="8" t="s">
        <v>310</v>
      </c>
      <c r="E1000" s="8" t="s">
        <v>311</v>
      </c>
      <c r="F1000" t="s">
        <v>98</v>
      </c>
      <c r="G1000" t="s">
        <v>65</v>
      </c>
      <c r="H1000" s="13">
        <v>14567304</v>
      </c>
      <c r="I1000" s="13"/>
      <c r="J1000" s="8">
        <f t="shared" si="16"/>
        <v>14567304</v>
      </c>
      <c r="K1000" s="11"/>
      <c r="L1000" s="3"/>
    </row>
    <row r="1001" spans="1:12" x14ac:dyDescent="0.2">
      <c r="A1001">
        <v>5101470</v>
      </c>
      <c r="B1001" s="8">
        <v>2021</v>
      </c>
      <c r="C1001" s="8" t="s">
        <v>309</v>
      </c>
      <c r="D1001" s="8" t="s">
        <v>310</v>
      </c>
      <c r="E1001" s="8" t="s">
        <v>311</v>
      </c>
      <c r="F1001" t="s">
        <v>98</v>
      </c>
      <c r="G1001" t="s">
        <v>65</v>
      </c>
      <c r="H1001" s="13">
        <v>15464228</v>
      </c>
      <c r="I1001" s="13">
        <v>670548</v>
      </c>
      <c r="J1001" s="8">
        <f t="shared" si="16"/>
        <v>16134776</v>
      </c>
      <c r="K1001" s="11"/>
      <c r="L1001" s="3"/>
    </row>
    <row r="1002" spans="1:12" x14ac:dyDescent="0.2">
      <c r="A1002">
        <v>5101470</v>
      </c>
      <c r="B1002" s="8">
        <v>2022</v>
      </c>
      <c r="C1002" s="8" t="s">
        <v>309</v>
      </c>
      <c r="D1002" s="8" t="s">
        <v>310</v>
      </c>
      <c r="E1002" s="8" t="s">
        <v>311</v>
      </c>
      <c r="F1002" t="s">
        <v>98</v>
      </c>
      <c r="G1002" t="s">
        <v>65</v>
      </c>
      <c r="H1002" s="13">
        <v>16245878</v>
      </c>
      <c r="I1002" s="13">
        <v>4837682</v>
      </c>
      <c r="J1002" s="8">
        <f t="shared" si="16"/>
        <v>21083560</v>
      </c>
      <c r="K1002" s="11"/>
      <c r="L1002" s="3"/>
    </row>
    <row r="1003" spans="1:12" x14ac:dyDescent="0.2">
      <c r="A1003">
        <v>5101470</v>
      </c>
      <c r="B1003" s="8">
        <v>2023</v>
      </c>
      <c r="C1003" s="8" t="s">
        <v>309</v>
      </c>
      <c r="D1003" s="8" t="s">
        <v>310</v>
      </c>
      <c r="E1003" s="8" t="s">
        <v>311</v>
      </c>
      <c r="F1003" t="s">
        <v>98</v>
      </c>
      <c r="G1003" t="s">
        <v>65</v>
      </c>
      <c r="H1003" s="13">
        <v>16883233</v>
      </c>
      <c r="I1003" s="13">
        <v>1577112</v>
      </c>
      <c r="J1003" s="8">
        <f t="shared" si="16"/>
        <v>18460345</v>
      </c>
      <c r="K1003" s="11"/>
      <c r="L1003" s="3"/>
    </row>
    <row r="1004" spans="1:12" x14ac:dyDescent="0.2">
      <c r="A1004">
        <v>5101440</v>
      </c>
      <c r="B1004" s="8">
        <v>2015</v>
      </c>
      <c r="C1004" s="8" t="s">
        <v>309</v>
      </c>
      <c r="D1004" s="8" t="s">
        <v>310</v>
      </c>
      <c r="E1004" s="8" t="s">
        <v>311</v>
      </c>
      <c r="F1004" t="s">
        <v>97</v>
      </c>
      <c r="G1004" t="s">
        <v>64</v>
      </c>
      <c r="H1004" s="13">
        <v>5525362</v>
      </c>
      <c r="I1004" s="13"/>
      <c r="J1004" s="8">
        <f t="shared" si="16"/>
        <v>5525362</v>
      </c>
      <c r="K1004" s="11"/>
      <c r="L1004" s="3"/>
    </row>
    <row r="1005" spans="1:12" x14ac:dyDescent="0.2">
      <c r="A1005">
        <v>5101440</v>
      </c>
      <c r="B1005" s="8">
        <v>2016</v>
      </c>
      <c r="C1005" s="8" t="s">
        <v>309</v>
      </c>
      <c r="D1005" s="8" t="s">
        <v>310</v>
      </c>
      <c r="E1005" s="8" t="s">
        <v>311</v>
      </c>
      <c r="F1005" t="s">
        <v>97</v>
      </c>
      <c r="G1005" t="s">
        <v>64</v>
      </c>
      <c r="H1005" s="13">
        <v>5501523</v>
      </c>
      <c r="I1005" s="13"/>
      <c r="J1005" s="8">
        <f t="shared" si="16"/>
        <v>5501523</v>
      </c>
      <c r="K1005" s="11"/>
      <c r="L1005" s="3"/>
    </row>
    <row r="1006" spans="1:12" x14ac:dyDescent="0.2">
      <c r="A1006">
        <v>5101440</v>
      </c>
      <c r="B1006" s="8">
        <v>2017</v>
      </c>
      <c r="C1006" s="8" t="s">
        <v>309</v>
      </c>
      <c r="D1006" s="8" t="s">
        <v>310</v>
      </c>
      <c r="E1006" s="8" t="s">
        <v>311</v>
      </c>
      <c r="F1006" t="s">
        <v>97</v>
      </c>
      <c r="G1006" t="s">
        <v>64</v>
      </c>
      <c r="H1006" s="13">
        <v>5928741</v>
      </c>
      <c r="I1006" s="13"/>
      <c r="J1006" s="8">
        <f t="shared" si="16"/>
        <v>5928741</v>
      </c>
      <c r="K1006" s="11"/>
      <c r="L1006" s="3"/>
    </row>
    <row r="1007" spans="1:12" x14ac:dyDescent="0.2">
      <c r="A1007">
        <v>5101440</v>
      </c>
      <c r="B1007" s="8">
        <v>2018</v>
      </c>
      <c r="C1007" s="8" t="s">
        <v>309</v>
      </c>
      <c r="D1007" s="8" t="s">
        <v>310</v>
      </c>
      <c r="E1007" s="8" t="s">
        <v>311</v>
      </c>
      <c r="F1007" t="s">
        <v>97</v>
      </c>
      <c r="G1007" t="s">
        <v>64</v>
      </c>
      <c r="H1007" s="13">
        <v>6865645</v>
      </c>
      <c r="I1007" s="13"/>
      <c r="J1007" s="8">
        <f t="shared" si="16"/>
        <v>6865645</v>
      </c>
      <c r="K1007" s="11"/>
      <c r="L1007" s="3"/>
    </row>
    <row r="1008" spans="1:12" x14ac:dyDescent="0.2">
      <c r="A1008">
        <v>5101440</v>
      </c>
      <c r="B1008" s="8">
        <v>2019</v>
      </c>
      <c r="C1008" s="8" t="s">
        <v>309</v>
      </c>
      <c r="D1008" s="8" t="s">
        <v>310</v>
      </c>
      <c r="E1008" s="8" t="s">
        <v>311</v>
      </c>
      <c r="F1008" t="s">
        <v>97</v>
      </c>
      <c r="G1008" t="s">
        <v>64</v>
      </c>
      <c r="H1008" s="13">
        <v>6632588</v>
      </c>
      <c r="I1008" s="13"/>
      <c r="J1008" s="8">
        <f t="shared" si="16"/>
        <v>6632588</v>
      </c>
      <c r="K1008" s="11"/>
      <c r="L1008" s="3"/>
    </row>
    <row r="1009" spans="1:12" x14ac:dyDescent="0.2">
      <c r="A1009">
        <v>5101440</v>
      </c>
      <c r="B1009" s="8">
        <v>2020</v>
      </c>
      <c r="C1009" s="8" t="s">
        <v>309</v>
      </c>
      <c r="D1009" s="8" t="s">
        <v>310</v>
      </c>
      <c r="E1009" s="8" t="s">
        <v>311</v>
      </c>
      <c r="F1009" t="s">
        <v>97</v>
      </c>
      <c r="G1009" t="s">
        <v>64</v>
      </c>
      <c r="H1009" s="13">
        <v>6530588</v>
      </c>
      <c r="I1009" s="13"/>
      <c r="J1009" s="8">
        <f t="shared" si="16"/>
        <v>6530588</v>
      </c>
      <c r="K1009" s="11"/>
      <c r="L1009" s="3"/>
    </row>
    <row r="1010" spans="1:12" x14ac:dyDescent="0.2">
      <c r="A1010">
        <v>5101440</v>
      </c>
      <c r="B1010" s="8">
        <v>2021</v>
      </c>
      <c r="C1010" s="8" t="s">
        <v>309</v>
      </c>
      <c r="D1010" s="8" t="s">
        <v>310</v>
      </c>
      <c r="E1010" s="8" t="s">
        <v>311</v>
      </c>
      <c r="F1010" t="s">
        <v>97</v>
      </c>
      <c r="G1010" t="s">
        <v>64</v>
      </c>
      <c r="H1010" s="13">
        <v>6734000</v>
      </c>
      <c r="I1010" s="13">
        <v>291993</v>
      </c>
      <c r="J1010" s="8">
        <f t="shared" si="16"/>
        <v>7025993</v>
      </c>
      <c r="K1010" s="11"/>
      <c r="L1010" s="3"/>
    </row>
    <row r="1011" spans="1:12" x14ac:dyDescent="0.2">
      <c r="A1011">
        <v>5101440</v>
      </c>
      <c r="B1011" s="8">
        <v>2022</v>
      </c>
      <c r="C1011" s="8" t="s">
        <v>309</v>
      </c>
      <c r="D1011" s="8" t="s">
        <v>310</v>
      </c>
      <c r="E1011" s="8" t="s">
        <v>311</v>
      </c>
      <c r="F1011" t="s">
        <v>97</v>
      </c>
      <c r="G1011" t="s">
        <v>64</v>
      </c>
      <c r="H1011" s="13">
        <v>7022934</v>
      </c>
      <c r="I1011" s="13">
        <v>2091265</v>
      </c>
      <c r="J1011" s="8">
        <f t="shared" si="16"/>
        <v>9114199</v>
      </c>
      <c r="K1011" s="11"/>
      <c r="L1011" s="3"/>
    </row>
    <row r="1012" spans="1:12" x14ac:dyDescent="0.2">
      <c r="A1012">
        <v>5101440</v>
      </c>
      <c r="B1012" s="8">
        <v>2023</v>
      </c>
      <c r="C1012" s="8" t="s">
        <v>309</v>
      </c>
      <c r="D1012" s="8" t="s">
        <v>310</v>
      </c>
      <c r="E1012" s="8" t="s">
        <v>311</v>
      </c>
      <c r="F1012" t="s">
        <v>97</v>
      </c>
      <c r="G1012" t="s">
        <v>64</v>
      </c>
      <c r="H1012" s="13">
        <v>7164047</v>
      </c>
      <c r="I1012" s="13">
        <v>669204</v>
      </c>
      <c r="J1012" s="8">
        <f t="shared" si="16"/>
        <v>7833251</v>
      </c>
      <c r="K1012" s="11"/>
      <c r="L1012" s="3"/>
    </row>
    <row r="1013" spans="1:12" x14ac:dyDescent="0.2">
      <c r="A1013">
        <v>5101380</v>
      </c>
      <c r="B1013" s="8">
        <v>2015</v>
      </c>
      <c r="C1013" s="8" t="s">
        <v>309</v>
      </c>
      <c r="D1013" s="8" t="s">
        <v>310</v>
      </c>
      <c r="E1013" s="8" t="s">
        <v>311</v>
      </c>
      <c r="F1013" t="s">
        <v>63</v>
      </c>
      <c r="G1013" t="s">
        <v>31</v>
      </c>
      <c r="H1013" s="13">
        <v>3361208</v>
      </c>
      <c r="I1013" s="13"/>
      <c r="J1013" s="8">
        <f t="shared" si="16"/>
        <v>3361208</v>
      </c>
      <c r="K1013" s="11"/>
      <c r="L1013" s="3"/>
    </row>
    <row r="1014" spans="1:12" x14ac:dyDescent="0.2">
      <c r="A1014">
        <v>5101380</v>
      </c>
      <c r="B1014" s="8">
        <v>2016</v>
      </c>
      <c r="C1014" s="8" t="s">
        <v>309</v>
      </c>
      <c r="D1014" s="8" t="s">
        <v>310</v>
      </c>
      <c r="E1014" s="8" t="s">
        <v>311</v>
      </c>
      <c r="F1014" t="s">
        <v>63</v>
      </c>
      <c r="G1014" t="s">
        <v>31</v>
      </c>
      <c r="H1014" s="13">
        <v>3285341</v>
      </c>
      <c r="I1014" s="13"/>
      <c r="J1014" s="8">
        <f t="shared" si="16"/>
        <v>3285341</v>
      </c>
      <c r="K1014" s="11"/>
      <c r="L1014" s="3"/>
    </row>
    <row r="1015" spans="1:12" ht="17" customHeight="1" x14ac:dyDescent="0.2">
      <c r="A1015">
        <v>5101380</v>
      </c>
      <c r="B1015" s="8">
        <v>2017</v>
      </c>
      <c r="C1015" s="8" t="s">
        <v>309</v>
      </c>
      <c r="D1015" s="8" t="s">
        <v>310</v>
      </c>
      <c r="E1015" s="8" t="s">
        <v>311</v>
      </c>
      <c r="F1015" t="s">
        <v>63</v>
      </c>
      <c r="G1015" t="s">
        <v>31</v>
      </c>
      <c r="H1015" s="13">
        <v>3426522</v>
      </c>
      <c r="I1015" s="13"/>
      <c r="J1015" s="8">
        <f t="shared" si="16"/>
        <v>3426522</v>
      </c>
      <c r="K1015" s="1"/>
      <c r="L1015" s="3"/>
    </row>
    <row r="1016" spans="1:12" x14ac:dyDescent="0.2">
      <c r="A1016">
        <v>5101380</v>
      </c>
      <c r="B1016" s="8">
        <v>2018</v>
      </c>
      <c r="C1016" s="8" t="s">
        <v>309</v>
      </c>
      <c r="D1016" s="8" t="s">
        <v>310</v>
      </c>
      <c r="E1016" s="8" t="s">
        <v>311</v>
      </c>
      <c r="F1016" t="s">
        <v>63</v>
      </c>
      <c r="G1016" t="s">
        <v>31</v>
      </c>
      <c r="H1016" s="13">
        <v>3907666</v>
      </c>
      <c r="I1016" s="13"/>
      <c r="J1016" s="8">
        <f t="shared" si="16"/>
        <v>3907666</v>
      </c>
      <c r="K1016" s="1"/>
      <c r="L1016" s="3"/>
    </row>
    <row r="1017" spans="1:12" x14ac:dyDescent="0.2">
      <c r="A1017">
        <v>5101380</v>
      </c>
      <c r="B1017" s="8">
        <v>2019</v>
      </c>
      <c r="C1017" s="8" t="s">
        <v>309</v>
      </c>
      <c r="D1017" s="8" t="s">
        <v>310</v>
      </c>
      <c r="E1017" s="8" t="s">
        <v>311</v>
      </c>
      <c r="F1017" t="s">
        <v>63</v>
      </c>
      <c r="G1017" t="s">
        <v>31</v>
      </c>
      <c r="H1017" s="13">
        <v>3791174</v>
      </c>
      <c r="I1017" s="13"/>
      <c r="J1017" s="8">
        <f t="shared" si="16"/>
        <v>3791174</v>
      </c>
      <c r="K1017" s="1"/>
      <c r="L1017" s="3"/>
    </row>
    <row r="1018" spans="1:12" x14ac:dyDescent="0.2">
      <c r="A1018">
        <v>5101380</v>
      </c>
      <c r="B1018" s="8">
        <v>2020</v>
      </c>
      <c r="C1018" s="8" t="s">
        <v>309</v>
      </c>
      <c r="D1018" s="8" t="s">
        <v>310</v>
      </c>
      <c r="E1018" s="8" t="s">
        <v>311</v>
      </c>
      <c r="F1018" t="s">
        <v>63</v>
      </c>
      <c r="G1018" t="s">
        <v>31</v>
      </c>
      <c r="H1018" s="13">
        <v>3856690</v>
      </c>
      <c r="I1018" s="13"/>
      <c r="J1018" s="8">
        <f t="shared" si="16"/>
        <v>3856690</v>
      </c>
      <c r="K1018" s="1"/>
      <c r="L1018" s="3"/>
    </row>
    <row r="1019" spans="1:12" x14ac:dyDescent="0.2">
      <c r="A1019">
        <v>5101380</v>
      </c>
      <c r="B1019" s="8">
        <v>2021</v>
      </c>
      <c r="C1019" s="8" t="s">
        <v>309</v>
      </c>
      <c r="D1019" s="8" t="s">
        <v>310</v>
      </c>
      <c r="E1019" s="8" t="s">
        <v>311</v>
      </c>
      <c r="F1019" t="s">
        <v>63</v>
      </c>
      <c r="G1019" t="s">
        <v>31</v>
      </c>
      <c r="H1019" s="13">
        <v>3981938</v>
      </c>
      <c r="I1019" s="13">
        <v>172660</v>
      </c>
      <c r="J1019" s="8">
        <f t="shared" si="16"/>
        <v>4154598</v>
      </c>
      <c r="K1019" s="1"/>
      <c r="L1019" s="3"/>
    </row>
    <row r="1020" spans="1:12" x14ac:dyDescent="0.2">
      <c r="A1020">
        <v>5101380</v>
      </c>
      <c r="B1020" s="8">
        <v>2022</v>
      </c>
      <c r="C1020" s="8" t="s">
        <v>309</v>
      </c>
      <c r="D1020" s="8" t="s">
        <v>310</v>
      </c>
      <c r="E1020" s="8" t="s">
        <v>311</v>
      </c>
      <c r="F1020" t="s">
        <v>63</v>
      </c>
      <c r="G1020" t="s">
        <v>31</v>
      </c>
      <c r="H1020" s="13">
        <v>4073557</v>
      </c>
      <c r="I1020" s="13">
        <v>1213026</v>
      </c>
      <c r="J1020" s="8">
        <f t="shared" si="16"/>
        <v>5286583</v>
      </c>
      <c r="K1020" s="1"/>
      <c r="L1020" s="3"/>
    </row>
    <row r="1021" spans="1:12" x14ac:dyDescent="0.2">
      <c r="A1021">
        <v>5101380</v>
      </c>
      <c r="B1021" s="8">
        <v>2023</v>
      </c>
      <c r="C1021" s="8" t="s">
        <v>309</v>
      </c>
      <c r="D1021" s="8" t="s">
        <v>310</v>
      </c>
      <c r="E1021" s="8" t="s">
        <v>311</v>
      </c>
      <c r="F1021" t="s">
        <v>63</v>
      </c>
      <c r="G1021" t="s">
        <v>31</v>
      </c>
      <c r="H1021" s="13">
        <v>4300379</v>
      </c>
      <c r="I1021" s="13">
        <v>401702</v>
      </c>
      <c r="J1021" s="8">
        <f t="shared" si="16"/>
        <v>4702081</v>
      </c>
      <c r="K1021" s="1"/>
      <c r="L1021" s="3"/>
    </row>
    <row r="1022" spans="1:12" x14ac:dyDescent="0.2">
      <c r="A1022">
        <v>5101350</v>
      </c>
      <c r="B1022" s="8">
        <v>2015</v>
      </c>
      <c r="C1022" s="8" t="s">
        <v>309</v>
      </c>
      <c r="D1022" s="8" t="s">
        <v>310</v>
      </c>
      <c r="E1022" s="8" t="s">
        <v>311</v>
      </c>
      <c r="F1022" t="s">
        <v>62</v>
      </c>
      <c r="G1022" t="s">
        <v>30</v>
      </c>
      <c r="H1022" s="13">
        <v>1415570</v>
      </c>
      <c r="I1022" s="13"/>
      <c r="J1022" s="8">
        <f t="shared" si="16"/>
        <v>1415570</v>
      </c>
      <c r="K1022" s="1"/>
      <c r="L1022" s="3"/>
    </row>
    <row r="1023" spans="1:12" x14ac:dyDescent="0.2">
      <c r="A1023">
        <v>5101350</v>
      </c>
      <c r="B1023" s="8">
        <v>2016</v>
      </c>
      <c r="C1023" s="8" t="s">
        <v>309</v>
      </c>
      <c r="D1023" s="8" t="s">
        <v>310</v>
      </c>
      <c r="E1023" s="8" t="s">
        <v>311</v>
      </c>
      <c r="F1023" t="s">
        <v>62</v>
      </c>
      <c r="G1023" t="s">
        <v>30</v>
      </c>
      <c r="H1023" s="13">
        <v>1429378</v>
      </c>
      <c r="I1023" s="13"/>
      <c r="J1023" s="8">
        <f t="shared" si="16"/>
        <v>1429378</v>
      </c>
      <c r="K1023" s="1"/>
      <c r="L1023" s="3"/>
    </row>
    <row r="1024" spans="1:12" x14ac:dyDescent="0.2">
      <c r="A1024">
        <v>5101350</v>
      </c>
      <c r="B1024" s="8">
        <v>2017</v>
      </c>
      <c r="C1024" s="8" t="s">
        <v>309</v>
      </c>
      <c r="D1024" s="8" t="s">
        <v>310</v>
      </c>
      <c r="E1024" s="8" t="s">
        <v>311</v>
      </c>
      <c r="F1024" t="s">
        <v>62</v>
      </c>
      <c r="G1024" t="s">
        <v>30</v>
      </c>
      <c r="H1024" s="13">
        <v>1457091</v>
      </c>
      <c r="I1024" s="13"/>
      <c r="J1024" s="8">
        <f t="shared" si="16"/>
        <v>1457091</v>
      </c>
      <c r="K1024" s="1"/>
      <c r="L1024" s="3"/>
    </row>
    <row r="1025" spans="1:12" x14ac:dyDescent="0.2">
      <c r="A1025">
        <v>5101350</v>
      </c>
      <c r="B1025" s="8">
        <v>2018</v>
      </c>
      <c r="C1025" s="8" t="s">
        <v>309</v>
      </c>
      <c r="D1025" s="8" t="s">
        <v>310</v>
      </c>
      <c r="E1025" s="8" t="s">
        <v>311</v>
      </c>
      <c r="F1025" t="s">
        <v>62</v>
      </c>
      <c r="G1025" t="s">
        <v>30</v>
      </c>
      <c r="H1025" s="13">
        <v>1692771</v>
      </c>
      <c r="I1025" s="13"/>
      <c r="J1025" s="8">
        <f t="shared" si="16"/>
        <v>1692771</v>
      </c>
      <c r="K1025" s="1"/>
      <c r="L1025" s="3"/>
    </row>
    <row r="1026" spans="1:12" x14ac:dyDescent="0.2">
      <c r="A1026">
        <v>5101350</v>
      </c>
      <c r="B1026" s="8">
        <v>2019</v>
      </c>
      <c r="C1026" s="8" t="s">
        <v>309</v>
      </c>
      <c r="D1026" s="8" t="s">
        <v>310</v>
      </c>
      <c r="E1026" s="8" t="s">
        <v>311</v>
      </c>
      <c r="F1026" t="s">
        <v>62</v>
      </c>
      <c r="G1026" t="s">
        <v>30</v>
      </c>
      <c r="H1026" s="13">
        <v>1694195</v>
      </c>
      <c r="I1026" s="13"/>
      <c r="J1026" s="8">
        <f t="shared" si="16"/>
        <v>1694195</v>
      </c>
      <c r="K1026" s="1"/>
      <c r="L1026" s="3"/>
    </row>
    <row r="1027" spans="1:12" x14ac:dyDescent="0.2">
      <c r="A1027">
        <v>5101350</v>
      </c>
      <c r="B1027" s="8">
        <v>2020</v>
      </c>
      <c r="C1027" s="8" t="s">
        <v>309</v>
      </c>
      <c r="D1027" s="8" t="s">
        <v>310</v>
      </c>
      <c r="E1027" s="8" t="s">
        <v>311</v>
      </c>
      <c r="F1027" t="s">
        <v>62</v>
      </c>
      <c r="G1027" t="s">
        <v>30</v>
      </c>
      <c r="H1027" s="13">
        <v>1694858</v>
      </c>
      <c r="I1027" s="13"/>
      <c r="J1027" s="8">
        <f t="shared" ref="J1027:J1090" si="17">SUM(H1027:I1027)</f>
        <v>1694858</v>
      </c>
      <c r="K1027" s="1"/>
      <c r="L1027" s="3"/>
    </row>
    <row r="1028" spans="1:12" x14ac:dyDescent="0.2">
      <c r="A1028">
        <v>5101350</v>
      </c>
      <c r="B1028" s="8">
        <v>2021</v>
      </c>
      <c r="C1028" s="8" t="s">
        <v>309</v>
      </c>
      <c r="D1028" s="8" t="s">
        <v>310</v>
      </c>
      <c r="E1028" s="8" t="s">
        <v>311</v>
      </c>
      <c r="F1028" t="s">
        <v>62</v>
      </c>
      <c r="G1028" t="s">
        <v>30</v>
      </c>
      <c r="H1028" s="13">
        <v>1796669</v>
      </c>
      <c r="I1028" s="13">
        <v>77907</v>
      </c>
      <c r="J1028" s="8">
        <f t="shared" si="17"/>
        <v>1874576</v>
      </c>
      <c r="K1028" s="1"/>
      <c r="L1028" s="3"/>
    </row>
    <row r="1029" spans="1:12" x14ac:dyDescent="0.2">
      <c r="A1029">
        <v>5101350</v>
      </c>
      <c r="B1029" s="8">
        <v>2022</v>
      </c>
      <c r="C1029" s="8" t="s">
        <v>309</v>
      </c>
      <c r="D1029" s="8" t="s">
        <v>310</v>
      </c>
      <c r="E1029" s="8" t="s">
        <v>311</v>
      </c>
      <c r="F1029" t="s">
        <v>62</v>
      </c>
      <c r="G1029" t="s">
        <v>30</v>
      </c>
      <c r="H1029" s="13">
        <v>1854198</v>
      </c>
      <c r="I1029" s="13">
        <v>552123</v>
      </c>
      <c r="J1029" s="8">
        <f t="shared" si="17"/>
        <v>2406321</v>
      </c>
      <c r="K1029" s="1"/>
      <c r="L1029" s="3"/>
    </row>
    <row r="1030" spans="1:12" x14ac:dyDescent="0.2">
      <c r="A1030">
        <v>5101350</v>
      </c>
      <c r="B1030" s="8">
        <v>2023</v>
      </c>
      <c r="C1030" s="8" t="s">
        <v>309</v>
      </c>
      <c r="D1030" s="8" t="s">
        <v>310</v>
      </c>
      <c r="E1030" s="8" t="s">
        <v>311</v>
      </c>
      <c r="F1030" t="s">
        <v>62</v>
      </c>
      <c r="G1030" t="s">
        <v>30</v>
      </c>
      <c r="H1030" s="13">
        <v>1893471</v>
      </c>
      <c r="I1030" s="13">
        <v>176875</v>
      </c>
      <c r="J1030" s="8">
        <f t="shared" si="17"/>
        <v>2070346</v>
      </c>
      <c r="K1030" s="1"/>
      <c r="L1030" s="3"/>
    </row>
    <row r="1031" spans="1:12" x14ac:dyDescent="0.2">
      <c r="A1031">
        <v>5101320</v>
      </c>
      <c r="B1031" s="8">
        <v>2015</v>
      </c>
      <c r="C1031" s="8" t="s">
        <v>309</v>
      </c>
      <c r="D1031" s="8" t="s">
        <v>310</v>
      </c>
      <c r="E1031" s="8" t="s">
        <v>311</v>
      </c>
      <c r="F1031" t="s">
        <v>61</v>
      </c>
      <c r="G1031" t="s">
        <v>29</v>
      </c>
      <c r="H1031" s="13">
        <v>10199271</v>
      </c>
      <c r="I1031" s="13"/>
      <c r="J1031" s="8">
        <f t="shared" si="17"/>
        <v>10199271</v>
      </c>
      <c r="K1031" s="1"/>
      <c r="L1031" s="3"/>
    </row>
    <row r="1032" spans="1:12" x14ac:dyDescent="0.2">
      <c r="A1032">
        <v>5101320</v>
      </c>
      <c r="B1032" s="8">
        <v>2016</v>
      </c>
      <c r="C1032" s="8" t="s">
        <v>309</v>
      </c>
      <c r="D1032" s="8" t="s">
        <v>310</v>
      </c>
      <c r="E1032" s="8" t="s">
        <v>311</v>
      </c>
      <c r="F1032" t="s">
        <v>61</v>
      </c>
      <c r="G1032" t="s">
        <v>29</v>
      </c>
      <c r="H1032" s="13">
        <v>10108697</v>
      </c>
      <c r="I1032" s="13"/>
      <c r="J1032" s="8">
        <f t="shared" si="17"/>
        <v>10108697</v>
      </c>
      <c r="K1032" s="1"/>
      <c r="L1032" s="3"/>
    </row>
    <row r="1033" spans="1:12" x14ac:dyDescent="0.2">
      <c r="A1033">
        <v>5101320</v>
      </c>
      <c r="B1033" s="8">
        <v>2017</v>
      </c>
      <c r="C1033" s="8" t="s">
        <v>309</v>
      </c>
      <c r="D1033" s="8" t="s">
        <v>310</v>
      </c>
      <c r="E1033" s="8" t="s">
        <v>311</v>
      </c>
      <c r="F1033" t="s">
        <v>61</v>
      </c>
      <c r="G1033" t="s">
        <v>29</v>
      </c>
      <c r="H1033" s="13">
        <v>10507620</v>
      </c>
      <c r="I1033" s="13"/>
      <c r="J1033" s="8">
        <f t="shared" si="17"/>
        <v>10507620</v>
      </c>
      <c r="K1033" s="1"/>
      <c r="L1033" s="3"/>
    </row>
    <row r="1034" spans="1:12" x14ac:dyDescent="0.2">
      <c r="A1034">
        <v>5101320</v>
      </c>
      <c r="B1034" s="8">
        <v>2018</v>
      </c>
      <c r="C1034" s="8" t="s">
        <v>309</v>
      </c>
      <c r="D1034" s="8" t="s">
        <v>310</v>
      </c>
      <c r="E1034" s="8" t="s">
        <v>311</v>
      </c>
      <c r="F1034" t="s">
        <v>61</v>
      </c>
      <c r="G1034" t="s">
        <v>29</v>
      </c>
      <c r="H1034" s="13">
        <v>11676725</v>
      </c>
      <c r="I1034" s="13"/>
      <c r="J1034" s="8">
        <f t="shared" si="17"/>
        <v>11676725</v>
      </c>
      <c r="K1034" s="1"/>
      <c r="L1034" s="3"/>
    </row>
    <row r="1035" spans="1:12" x14ac:dyDescent="0.2">
      <c r="A1035">
        <v>5101320</v>
      </c>
      <c r="B1035" s="8">
        <v>2019</v>
      </c>
      <c r="C1035" s="8" t="s">
        <v>309</v>
      </c>
      <c r="D1035" s="8" t="s">
        <v>310</v>
      </c>
      <c r="E1035" s="8" t="s">
        <v>311</v>
      </c>
      <c r="F1035" t="s">
        <v>61</v>
      </c>
      <c r="G1035" t="s">
        <v>29</v>
      </c>
      <c r="H1035" s="13">
        <v>11554803</v>
      </c>
      <c r="I1035" s="13"/>
      <c r="J1035" s="8">
        <f t="shared" si="17"/>
        <v>11554803</v>
      </c>
      <c r="K1035" s="1"/>
      <c r="L1035" s="3"/>
    </row>
    <row r="1036" spans="1:12" x14ac:dyDescent="0.2">
      <c r="A1036">
        <v>5101320</v>
      </c>
      <c r="B1036" s="8">
        <v>2020</v>
      </c>
      <c r="C1036" s="8" t="s">
        <v>309</v>
      </c>
      <c r="D1036" s="8" t="s">
        <v>310</v>
      </c>
      <c r="E1036" s="8" t="s">
        <v>311</v>
      </c>
      <c r="F1036" t="s">
        <v>61</v>
      </c>
      <c r="G1036" t="s">
        <v>29</v>
      </c>
      <c r="H1036" s="13">
        <v>11960052</v>
      </c>
      <c r="I1036" s="13"/>
      <c r="J1036" s="8">
        <f t="shared" si="17"/>
        <v>11960052</v>
      </c>
      <c r="K1036" s="1"/>
      <c r="L1036" s="3"/>
    </row>
    <row r="1037" spans="1:12" x14ac:dyDescent="0.2">
      <c r="A1037">
        <v>5101320</v>
      </c>
      <c r="B1037" s="8">
        <v>2021</v>
      </c>
      <c r="C1037" s="8" t="s">
        <v>309</v>
      </c>
      <c r="D1037" s="8" t="s">
        <v>310</v>
      </c>
      <c r="E1037" s="8" t="s">
        <v>311</v>
      </c>
      <c r="F1037" t="s">
        <v>61</v>
      </c>
      <c r="G1037" t="s">
        <v>29</v>
      </c>
      <c r="H1037" s="13">
        <v>12296392</v>
      </c>
      <c r="I1037" s="13">
        <v>533186</v>
      </c>
      <c r="J1037" s="8">
        <f t="shared" si="17"/>
        <v>12829578</v>
      </c>
      <c r="K1037" s="1"/>
      <c r="L1037" s="3"/>
    </row>
    <row r="1038" spans="1:12" x14ac:dyDescent="0.2">
      <c r="A1038">
        <v>5101320</v>
      </c>
      <c r="B1038" s="8">
        <v>2022</v>
      </c>
      <c r="C1038" s="8" t="s">
        <v>309</v>
      </c>
      <c r="D1038" s="8" t="s">
        <v>310</v>
      </c>
      <c r="E1038" s="8" t="s">
        <v>311</v>
      </c>
      <c r="F1038" t="s">
        <v>61</v>
      </c>
      <c r="G1038" t="s">
        <v>29</v>
      </c>
      <c r="H1038" s="13">
        <v>12605268</v>
      </c>
      <c r="I1038" s="13">
        <v>3753563</v>
      </c>
      <c r="J1038" s="8">
        <f t="shared" si="17"/>
        <v>16358831</v>
      </c>
      <c r="K1038" s="1"/>
      <c r="L1038" s="3"/>
    </row>
    <row r="1039" spans="1:12" x14ac:dyDescent="0.2">
      <c r="A1039">
        <v>5101320</v>
      </c>
      <c r="B1039" s="8">
        <v>2023</v>
      </c>
      <c r="C1039" s="8" t="s">
        <v>309</v>
      </c>
      <c r="D1039" s="8" t="s">
        <v>310</v>
      </c>
      <c r="E1039" s="8" t="s">
        <v>311</v>
      </c>
      <c r="F1039" t="s">
        <v>61</v>
      </c>
      <c r="G1039" t="s">
        <v>29</v>
      </c>
      <c r="H1039" s="13">
        <v>13781375</v>
      </c>
      <c r="I1039" s="13">
        <v>1287359</v>
      </c>
      <c r="J1039" s="8">
        <f t="shared" si="17"/>
        <v>15068734</v>
      </c>
      <c r="K1039" s="1"/>
      <c r="L1039" s="3"/>
    </row>
    <row r="1040" spans="1:12" x14ac:dyDescent="0.2">
      <c r="A1040">
        <v>5101260</v>
      </c>
      <c r="B1040" s="8">
        <v>2015</v>
      </c>
      <c r="C1040" s="8" t="s">
        <v>309</v>
      </c>
      <c r="D1040" s="8" t="s">
        <v>310</v>
      </c>
      <c r="E1040" s="8" t="s">
        <v>311</v>
      </c>
      <c r="F1040" t="s">
        <v>60</v>
      </c>
      <c r="G1040" t="s">
        <v>28</v>
      </c>
      <c r="H1040" s="13">
        <v>192885015</v>
      </c>
      <c r="I1040" s="13"/>
      <c r="J1040" s="8">
        <f t="shared" si="17"/>
        <v>192885015</v>
      </c>
      <c r="K1040" s="1"/>
      <c r="L1040" s="3"/>
    </row>
    <row r="1041" spans="1:12" x14ac:dyDescent="0.2">
      <c r="A1041">
        <v>5101260</v>
      </c>
      <c r="B1041" s="8">
        <v>2016</v>
      </c>
      <c r="C1041" s="8" t="s">
        <v>309</v>
      </c>
      <c r="D1041" s="8" t="s">
        <v>310</v>
      </c>
      <c r="E1041" s="8" t="s">
        <v>311</v>
      </c>
      <c r="F1041" t="s">
        <v>60</v>
      </c>
      <c r="G1041" t="s">
        <v>28</v>
      </c>
      <c r="H1041" s="13">
        <v>192421257</v>
      </c>
      <c r="I1041" s="13"/>
      <c r="J1041" s="8">
        <f t="shared" si="17"/>
        <v>192421257</v>
      </c>
      <c r="K1041" s="1"/>
      <c r="L1041" s="3"/>
    </row>
    <row r="1042" spans="1:12" x14ac:dyDescent="0.2">
      <c r="A1042">
        <v>5101260</v>
      </c>
      <c r="B1042" s="8">
        <v>2017</v>
      </c>
      <c r="C1042" s="8" t="s">
        <v>309</v>
      </c>
      <c r="D1042" s="8" t="s">
        <v>310</v>
      </c>
      <c r="E1042" s="8" t="s">
        <v>311</v>
      </c>
      <c r="F1042" t="s">
        <v>60</v>
      </c>
      <c r="G1042" t="s">
        <v>28</v>
      </c>
      <c r="H1042" s="13">
        <v>206588999</v>
      </c>
      <c r="I1042" s="13"/>
      <c r="J1042" s="8">
        <f t="shared" si="17"/>
        <v>206588999</v>
      </c>
      <c r="K1042" s="1"/>
      <c r="L1042" s="3"/>
    </row>
    <row r="1043" spans="1:12" x14ac:dyDescent="0.2">
      <c r="A1043">
        <v>5101260</v>
      </c>
      <c r="B1043" s="8">
        <v>2018</v>
      </c>
      <c r="C1043" s="8" t="s">
        <v>309</v>
      </c>
      <c r="D1043" s="8" t="s">
        <v>310</v>
      </c>
      <c r="E1043" s="8" t="s">
        <v>311</v>
      </c>
      <c r="F1043" t="s">
        <v>60</v>
      </c>
      <c r="G1043" t="s">
        <v>28</v>
      </c>
      <c r="H1043" s="13">
        <v>235240392</v>
      </c>
      <c r="I1043" s="13"/>
      <c r="J1043" s="8">
        <f t="shared" si="17"/>
        <v>235240392</v>
      </c>
      <c r="K1043" s="1"/>
      <c r="L1043" s="3"/>
    </row>
    <row r="1044" spans="1:12" x14ac:dyDescent="0.2">
      <c r="A1044">
        <v>5101260</v>
      </c>
      <c r="B1044" s="8">
        <v>2019</v>
      </c>
      <c r="C1044" s="8" t="s">
        <v>309</v>
      </c>
      <c r="D1044" s="8" t="s">
        <v>310</v>
      </c>
      <c r="E1044" s="8" t="s">
        <v>311</v>
      </c>
      <c r="F1044" t="s">
        <v>60</v>
      </c>
      <c r="G1044" t="s">
        <v>28</v>
      </c>
      <c r="H1044" s="13">
        <v>236695060</v>
      </c>
      <c r="I1044" s="13"/>
      <c r="J1044" s="8">
        <f t="shared" si="17"/>
        <v>236695060</v>
      </c>
      <c r="K1044" s="1"/>
      <c r="L1044" s="3"/>
    </row>
    <row r="1045" spans="1:12" x14ac:dyDescent="0.2">
      <c r="A1045">
        <v>5101260</v>
      </c>
      <c r="B1045" s="8">
        <v>2020</v>
      </c>
      <c r="C1045" s="8" t="s">
        <v>309</v>
      </c>
      <c r="D1045" s="8" t="s">
        <v>310</v>
      </c>
      <c r="E1045" s="8" t="s">
        <v>311</v>
      </c>
      <c r="F1045" t="s">
        <v>60</v>
      </c>
      <c r="G1045" t="s">
        <v>28</v>
      </c>
      <c r="H1045" s="13">
        <v>245902490</v>
      </c>
      <c r="I1045" s="13"/>
      <c r="J1045" s="8">
        <f t="shared" si="17"/>
        <v>245902490</v>
      </c>
      <c r="K1045" s="1"/>
      <c r="L1045" s="3"/>
    </row>
    <row r="1046" spans="1:12" x14ac:dyDescent="0.2">
      <c r="A1046">
        <v>5101260</v>
      </c>
      <c r="B1046" s="8">
        <v>2021</v>
      </c>
      <c r="C1046" s="8" t="s">
        <v>309</v>
      </c>
      <c r="D1046" s="8" t="s">
        <v>310</v>
      </c>
      <c r="E1046" s="8" t="s">
        <v>311</v>
      </c>
      <c r="F1046" t="s">
        <v>60</v>
      </c>
      <c r="G1046" t="s">
        <v>28</v>
      </c>
      <c r="H1046" s="13">
        <v>260266066</v>
      </c>
      <c r="I1046" s="13">
        <v>11285433</v>
      </c>
      <c r="J1046" s="8">
        <f t="shared" si="17"/>
        <v>271551499</v>
      </c>
      <c r="K1046" s="1"/>
      <c r="L1046" s="3"/>
    </row>
    <row r="1047" spans="1:12" x14ac:dyDescent="0.2">
      <c r="A1047">
        <v>5101260</v>
      </c>
      <c r="B1047" s="8">
        <v>2022</v>
      </c>
      <c r="C1047" s="8" t="s">
        <v>309</v>
      </c>
      <c r="D1047" s="8" t="s">
        <v>310</v>
      </c>
      <c r="E1047" s="8" t="s">
        <v>311</v>
      </c>
      <c r="F1047" t="s">
        <v>60</v>
      </c>
      <c r="G1047" t="s">
        <v>28</v>
      </c>
      <c r="H1047" s="13">
        <v>264335384</v>
      </c>
      <c r="I1047" s="13">
        <v>78713694</v>
      </c>
      <c r="J1047" s="8">
        <f t="shared" si="17"/>
        <v>343049078</v>
      </c>
      <c r="K1047" s="1"/>
      <c r="L1047" s="3"/>
    </row>
    <row r="1048" spans="1:12" x14ac:dyDescent="0.2">
      <c r="A1048">
        <v>5101260</v>
      </c>
      <c r="B1048" s="8">
        <v>2023</v>
      </c>
      <c r="C1048" s="8" t="s">
        <v>309</v>
      </c>
      <c r="D1048" s="8" t="s">
        <v>310</v>
      </c>
      <c r="E1048" s="8" t="s">
        <v>311</v>
      </c>
      <c r="F1048" t="s">
        <v>60</v>
      </c>
      <c r="G1048" t="s">
        <v>28</v>
      </c>
      <c r="H1048" s="13">
        <v>276879629</v>
      </c>
      <c r="I1048" s="13">
        <v>25864020</v>
      </c>
      <c r="J1048" s="8">
        <f t="shared" si="17"/>
        <v>302743649</v>
      </c>
      <c r="K1048" s="1"/>
      <c r="L1048" s="3"/>
    </row>
    <row r="1049" spans="1:12" x14ac:dyDescent="0.2">
      <c r="A1049">
        <v>5101200</v>
      </c>
      <c r="B1049" s="8">
        <v>2015</v>
      </c>
      <c r="C1049" s="8" t="s">
        <v>309</v>
      </c>
      <c r="D1049" s="8" t="s">
        <v>310</v>
      </c>
      <c r="E1049" s="8" t="s">
        <v>311</v>
      </c>
      <c r="F1049" t="s">
        <v>59</v>
      </c>
      <c r="G1049" t="s">
        <v>27</v>
      </c>
      <c r="H1049" s="13">
        <v>1152664</v>
      </c>
      <c r="I1049" s="13"/>
      <c r="J1049" s="8">
        <f t="shared" si="17"/>
        <v>1152664</v>
      </c>
      <c r="K1049" s="1"/>
      <c r="L1049" s="3"/>
    </row>
    <row r="1050" spans="1:12" x14ac:dyDescent="0.2">
      <c r="A1050">
        <v>5101200</v>
      </c>
      <c r="B1050" s="8">
        <v>2016</v>
      </c>
      <c r="C1050" s="8" t="s">
        <v>309</v>
      </c>
      <c r="D1050" s="8" t="s">
        <v>310</v>
      </c>
      <c r="E1050" s="8" t="s">
        <v>311</v>
      </c>
      <c r="F1050" t="s">
        <v>59</v>
      </c>
      <c r="G1050" t="s">
        <v>27</v>
      </c>
      <c r="H1050" s="13">
        <v>1148228</v>
      </c>
      <c r="I1050" s="13"/>
      <c r="J1050" s="8">
        <f t="shared" si="17"/>
        <v>1148228</v>
      </c>
      <c r="K1050" s="1"/>
      <c r="L1050" s="3"/>
    </row>
    <row r="1051" spans="1:12" x14ac:dyDescent="0.2">
      <c r="A1051">
        <v>5101200</v>
      </c>
      <c r="B1051" s="8">
        <v>2017</v>
      </c>
      <c r="C1051" s="8" t="s">
        <v>309</v>
      </c>
      <c r="D1051" s="8" t="s">
        <v>310</v>
      </c>
      <c r="E1051" s="8" t="s">
        <v>311</v>
      </c>
      <c r="F1051" t="s">
        <v>59</v>
      </c>
      <c r="G1051" t="s">
        <v>27</v>
      </c>
      <c r="H1051" s="13">
        <v>1170020</v>
      </c>
      <c r="I1051" s="13"/>
      <c r="J1051" s="8">
        <f t="shared" si="17"/>
        <v>1170020</v>
      </c>
      <c r="K1051" s="1"/>
      <c r="L1051" s="3"/>
    </row>
    <row r="1052" spans="1:12" x14ac:dyDescent="0.2">
      <c r="A1052">
        <v>5101200</v>
      </c>
      <c r="B1052" s="8">
        <v>2018</v>
      </c>
      <c r="C1052" s="8" t="s">
        <v>309</v>
      </c>
      <c r="D1052" s="8" t="s">
        <v>310</v>
      </c>
      <c r="E1052" s="8" t="s">
        <v>311</v>
      </c>
      <c r="F1052" t="s">
        <v>59</v>
      </c>
      <c r="G1052" t="s">
        <v>27</v>
      </c>
      <c r="H1052" s="13">
        <v>1240464</v>
      </c>
      <c r="I1052" s="13"/>
      <c r="J1052" s="8">
        <f t="shared" si="17"/>
        <v>1240464</v>
      </c>
      <c r="K1052" s="1"/>
      <c r="L1052" s="3"/>
    </row>
    <row r="1053" spans="1:12" x14ac:dyDescent="0.2">
      <c r="A1053">
        <v>5101200</v>
      </c>
      <c r="B1053" s="8">
        <v>2019</v>
      </c>
      <c r="C1053" s="8" t="s">
        <v>309</v>
      </c>
      <c r="D1053" s="8" t="s">
        <v>310</v>
      </c>
      <c r="E1053" s="8" t="s">
        <v>311</v>
      </c>
      <c r="F1053" t="s">
        <v>59</v>
      </c>
      <c r="G1053" t="s">
        <v>27</v>
      </c>
      <c r="H1053" s="13">
        <v>1195391</v>
      </c>
      <c r="I1053" s="13"/>
      <c r="J1053" s="8">
        <f t="shared" si="17"/>
        <v>1195391</v>
      </c>
      <c r="K1053" s="1"/>
      <c r="L1053" s="3"/>
    </row>
    <row r="1054" spans="1:12" x14ac:dyDescent="0.2">
      <c r="A1054">
        <v>5101200</v>
      </c>
      <c r="B1054" s="8">
        <v>2020</v>
      </c>
      <c r="C1054" s="8" t="s">
        <v>309</v>
      </c>
      <c r="D1054" s="8" t="s">
        <v>310</v>
      </c>
      <c r="E1054" s="8" t="s">
        <v>311</v>
      </c>
      <c r="F1054" t="s">
        <v>59</v>
      </c>
      <c r="G1054" t="s">
        <v>27</v>
      </c>
      <c r="H1054" s="13">
        <v>1181098</v>
      </c>
      <c r="I1054" s="13"/>
      <c r="J1054" s="8">
        <f t="shared" si="17"/>
        <v>1181098</v>
      </c>
      <c r="K1054" s="1"/>
      <c r="L1054" s="3"/>
    </row>
    <row r="1055" spans="1:12" x14ac:dyDescent="0.2">
      <c r="A1055">
        <v>5101200</v>
      </c>
      <c r="B1055" s="8">
        <v>2021</v>
      </c>
      <c r="C1055" s="8" t="s">
        <v>309</v>
      </c>
      <c r="D1055" s="8" t="s">
        <v>310</v>
      </c>
      <c r="E1055" s="8" t="s">
        <v>311</v>
      </c>
      <c r="F1055" t="s">
        <v>59</v>
      </c>
      <c r="G1055" t="s">
        <v>27</v>
      </c>
      <c r="H1055" s="13">
        <v>1281054</v>
      </c>
      <c r="I1055" s="13">
        <v>55547</v>
      </c>
      <c r="J1055" s="8">
        <f t="shared" si="17"/>
        <v>1336601</v>
      </c>
      <c r="K1055" s="1"/>
      <c r="L1055" s="3"/>
    </row>
    <row r="1056" spans="1:12" x14ac:dyDescent="0.2">
      <c r="A1056">
        <v>5101200</v>
      </c>
      <c r="B1056" s="8">
        <v>2022</v>
      </c>
      <c r="C1056" s="8" t="s">
        <v>309</v>
      </c>
      <c r="D1056" s="8" t="s">
        <v>310</v>
      </c>
      <c r="E1056" s="8" t="s">
        <v>311</v>
      </c>
      <c r="F1056" t="s">
        <v>59</v>
      </c>
      <c r="G1056" t="s">
        <v>27</v>
      </c>
      <c r="H1056" s="13">
        <v>1335118</v>
      </c>
      <c r="I1056" s="13">
        <v>397559</v>
      </c>
      <c r="J1056" s="8">
        <f t="shared" si="17"/>
        <v>1732677</v>
      </c>
      <c r="K1056" s="1"/>
      <c r="L1056" s="3"/>
    </row>
    <row r="1057" spans="1:12" x14ac:dyDescent="0.2">
      <c r="A1057">
        <v>5101200</v>
      </c>
      <c r="B1057" s="8">
        <v>2023</v>
      </c>
      <c r="C1057" s="8" t="s">
        <v>309</v>
      </c>
      <c r="D1057" s="8" t="s">
        <v>310</v>
      </c>
      <c r="E1057" s="8" t="s">
        <v>311</v>
      </c>
      <c r="F1057" t="s">
        <v>59</v>
      </c>
      <c r="G1057" t="s">
        <v>27</v>
      </c>
      <c r="H1057" s="13">
        <v>1406401</v>
      </c>
      <c r="I1057" s="13">
        <v>131369</v>
      </c>
      <c r="J1057" s="8">
        <f t="shared" si="17"/>
        <v>1537770</v>
      </c>
      <c r="K1057" s="1"/>
      <c r="L1057" s="3"/>
    </row>
    <row r="1058" spans="1:12" x14ac:dyDescent="0.2">
      <c r="A1058">
        <v>5101170</v>
      </c>
      <c r="B1058" s="8">
        <v>2015</v>
      </c>
      <c r="C1058" s="8" t="s">
        <v>309</v>
      </c>
      <c r="D1058" s="8" t="s">
        <v>310</v>
      </c>
      <c r="E1058" s="8" t="s">
        <v>311</v>
      </c>
      <c r="F1058" t="s">
        <v>58</v>
      </c>
      <c r="G1058" t="s">
        <v>26</v>
      </c>
      <c r="H1058" s="13">
        <v>3075394</v>
      </c>
      <c r="I1058" s="13"/>
      <c r="J1058" s="8">
        <f t="shared" si="17"/>
        <v>3075394</v>
      </c>
      <c r="K1058" s="1"/>
      <c r="L1058" s="3"/>
    </row>
    <row r="1059" spans="1:12" x14ac:dyDescent="0.2">
      <c r="A1059">
        <v>5101170</v>
      </c>
      <c r="B1059" s="8">
        <v>2016</v>
      </c>
      <c r="C1059" s="8" t="s">
        <v>309</v>
      </c>
      <c r="D1059" s="8" t="s">
        <v>310</v>
      </c>
      <c r="E1059" s="8" t="s">
        <v>311</v>
      </c>
      <c r="F1059" t="s">
        <v>58</v>
      </c>
      <c r="G1059" t="s">
        <v>26</v>
      </c>
      <c r="H1059" s="13">
        <v>3115958</v>
      </c>
      <c r="I1059" s="13"/>
      <c r="J1059" s="8">
        <f t="shared" si="17"/>
        <v>3115958</v>
      </c>
      <c r="K1059" s="1"/>
      <c r="L1059" s="3"/>
    </row>
    <row r="1060" spans="1:12" x14ac:dyDescent="0.2">
      <c r="A1060">
        <v>5101170</v>
      </c>
      <c r="B1060" s="8">
        <v>2017</v>
      </c>
      <c r="C1060" s="8" t="s">
        <v>309</v>
      </c>
      <c r="D1060" s="8" t="s">
        <v>310</v>
      </c>
      <c r="E1060" s="8" t="s">
        <v>311</v>
      </c>
      <c r="F1060" t="s">
        <v>58</v>
      </c>
      <c r="G1060" t="s">
        <v>26</v>
      </c>
      <c r="H1060" s="13">
        <v>3369230</v>
      </c>
      <c r="I1060" s="13"/>
      <c r="J1060" s="8">
        <f t="shared" si="17"/>
        <v>3369230</v>
      </c>
      <c r="K1060" s="1"/>
      <c r="L1060" s="3"/>
    </row>
    <row r="1061" spans="1:12" x14ac:dyDescent="0.2">
      <c r="A1061">
        <v>5101170</v>
      </c>
      <c r="B1061" s="8">
        <v>2018</v>
      </c>
      <c r="C1061" s="8" t="s">
        <v>309</v>
      </c>
      <c r="D1061" s="8" t="s">
        <v>310</v>
      </c>
      <c r="E1061" s="8" t="s">
        <v>311</v>
      </c>
      <c r="F1061" t="s">
        <v>58</v>
      </c>
      <c r="G1061" t="s">
        <v>26</v>
      </c>
      <c r="H1061" s="13">
        <v>3696688</v>
      </c>
      <c r="I1061" s="13"/>
      <c r="J1061" s="8">
        <f t="shared" si="17"/>
        <v>3696688</v>
      </c>
      <c r="K1061" s="1"/>
      <c r="L1061" s="3"/>
    </row>
    <row r="1062" spans="1:12" x14ac:dyDescent="0.2">
      <c r="A1062">
        <v>5101170</v>
      </c>
      <c r="B1062" s="8">
        <v>2019</v>
      </c>
      <c r="C1062" s="8" t="s">
        <v>309</v>
      </c>
      <c r="D1062" s="8" t="s">
        <v>310</v>
      </c>
      <c r="E1062" s="8" t="s">
        <v>311</v>
      </c>
      <c r="F1062" t="s">
        <v>58</v>
      </c>
      <c r="G1062" t="s">
        <v>26</v>
      </c>
      <c r="H1062" s="13">
        <v>3628519</v>
      </c>
      <c r="I1062" s="13"/>
      <c r="J1062" s="8">
        <f t="shared" si="17"/>
        <v>3628519</v>
      </c>
      <c r="K1062" s="1"/>
      <c r="L1062" s="3"/>
    </row>
    <row r="1063" spans="1:12" x14ac:dyDescent="0.2">
      <c r="A1063">
        <v>5101170</v>
      </c>
      <c r="B1063" s="8">
        <v>2020</v>
      </c>
      <c r="C1063" s="8" t="s">
        <v>309</v>
      </c>
      <c r="D1063" s="8" t="s">
        <v>310</v>
      </c>
      <c r="E1063" s="8" t="s">
        <v>311</v>
      </c>
      <c r="F1063" t="s">
        <v>58</v>
      </c>
      <c r="G1063" t="s">
        <v>26</v>
      </c>
      <c r="H1063" s="13">
        <v>3769367</v>
      </c>
      <c r="I1063" s="13"/>
      <c r="J1063" s="8">
        <f t="shared" si="17"/>
        <v>3769367</v>
      </c>
      <c r="K1063" s="1"/>
      <c r="L1063" s="3"/>
    </row>
    <row r="1064" spans="1:12" x14ac:dyDescent="0.2">
      <c r="A1064">
        <v>5101170</v>
      </c>
      <c r="B1064" s="8">
        <v>2021</v>
      </c>
      <c r="C1064" s="8" t="s">
        <v>309</v>
      </c>
      <c r="D1064" s="8" t="s">
        <v>310</v>
      </c>
      <c r="E1064" s="8" t="s">
        <v>311</v>
      </c>
      <c r="F1064" t="s">
        <v>58</v>
      </c>
      <c r="G1064" t="s">
        <v>26</v>
      </c>
      <c r="H1064" s="13">
        <v>3894285</v>
      </c>
      <c r="I1064" s="13">
        <v>168862</v>
      </c>
      <c r="J1064" s="8">
        <f t="shared" si="17"/>
        <v>4063147</v>
      </c>
      <c r="K1064" s="1"/>
      <c r="L1064" s="3"/>
    </row>
    <row r="1065" spans="1:12" x14ac:dyDescent="0.2">
      <c r="A1065">
        <v>5101170</v>
      </c>
      <c r="B1065" s="8">
        <v>2022</v>
      </c>
      <c r="C1065" s="8" t="s">
        <v>309</v>
      </c>
      <c r="D1065" s="8" t="s">
        <v>310</v>
      </c>
      <c r="E1065" s="8" t="s">
        <v>311</v>
      </c>
      <c r="F1065" t="s">
        <v>58</v>
      </c>
      <c r="G1065" t="s">
        <v>26</v>
      </c>
      <c r="H1065" s="13">
        <v>4282970</v>
      </c>
      <c r="I1065" s="13">
        <v>1275356</v>
      </c>
      <c r="J1065" s="8">
        <f t="shared" si="17"/>
        <v>5558326</v>
      </c>
      <c r="K1065" s="1"/>
      <c r="L1065" s="3"/>
    </row>
    <row r="1066" spans="1:12" x14ac:dyDescent="0.2">
      <c r="A1066">
        <v>5101170</v>
      </c>
      <c r="B1066" s="8">
        <v>2023</v>
      </c>
      <c r="C1066" s="8" t="s">
        <v>309</v>
      </c>
      <c r="D1066" s="8" t="s">
        <v>310</v>
      </c>
      <c r="E1066" s="8" t="s">
        <v>311</v>
      </c>
      <c r="F1066" t="s">
        <v>58</v>
      </c>
      <c r="G1066" t="s">
        <v>26</v>
      </c>
      <c r="H1066" s="13">
        <v>4540091</v>
      </c>
      <c r="I1066" s="13">
        <v>424101</v>
      </c>
      <c r="J1066" s="8">
        <f t="shared" si="17"/>
        <v>4964192</v>
      </c>
      <c r="K1066" s="1"/>
      <c r="L1066" s="3"/>
    </row>
    <row r="1067" spans="1:12" x14ac:dyDescent="0.2">
      <c r="A1067">
        <v>5101140</v>
      </c>
      <c r="B1067" s="8">
        <v>2015</v>
      </c>
      <c r="C1067" s="8" t="s">
        <v>309</v>
      </c>
      <c r="D1067" s="8" t="s">
        <v>310</v>
      </c>
      <c r="E1067" s="8" t="s">
        <v>311</v>
      </c>
      <c r="F1067" t="s">
        <v>57</v>
      </c>
      <c r="G1067" t="s">
        <v>25</v>
      </c>
      <c r="H1067" s="13">
        <v>1489181</v>
      </c>
      <c r="I1067" s="13"/>
      <c r="J1067" s="8">
        <f t="shared" si="17"/>
        <v>1489181</v>
      </c>
      <c r="K1067" s="1"/>
      <c r="L1067" s="3"/>
    </row>
    <row r="1068" spans="1:12" x14ac:dyDescent="0.2">
      <c r="A1068">
        <v>5101140</v>
      </c>
      <c r="B1068" s="8">
        <v>2016</v>
      </c>
      <c r="C1068" s="8" t="s">
        <v>309</v>
      </c>
      <c r="D1068" s="8" t="s">
        <v>310</v>
      </c>
      <c r="E1068" s="8" t="s">
        <v>311</v>
      </c>
      <c r="F1068" t="s">
        <v>57</v>
      </c>
      <c r="G1068" t="s">
        <v>25</v>
      </c>
      <c r="H1068" s="13">
        <v>1494028</v>
      </c>
      <c r="I1068" s="13"/>
      <c r="J1068" s="8">
        <f t="shared" si="17"/>
        <v>1494028</v>
      </c>
      <c r="K1068" s="1"/>
      <c r="L1068" s="3"/>
    </row>
    <row r="1069" spans="1:12" x14ac:dyDescent="0.2">
      <c r="A1069">
        <v>5101140</v>
      </c>
      <c r="B1069" s="8">
        <v>2017</v>
      </c>
      <c r="C1069" s="8" t="s">
        <v>309</v>
      </c>
      <c r="D1069" s="8" t="s">
        <v>310</v>
      </c>
      <c r="E1069" s="8" t="s">
        <v>311</v>
      </c>
      <c r="F1069" t="s">
        <v>57</v>
      </c>
      <c r="G1069" t="s">
        <v>25</v>
      </c>
      <c r="H1069" s="13">
        <v>1401558</v>
      </c>
      <c r="I1069" s="13"/>
      <c r="J1069" s="8">
        <f t="shared" si="17"/>
        <v>1401558</v>
      </c>
      <c r="K1069" s="1"/>
      <c r="L1069" s="3"/>
    </row>
    <row r="1070" spans="1:12" x14ac:dyDescent="0.2">
      <c r="A1070">
        <v>5101140</v>
      </c>
      <c r="B1070" s="8">
        <v>2018</v>
      </c>
      <c r="C1070" s="8" t="s">
        <v>309</v>
      </c>
      <c r="D1070" s="8" t="s">
        <v>310</v>
      </c>
      <c r="E1070" s="8" t="s">
        <v>311</v>
      </c>
      <c r="F1070" t="s">
        <v>57</v>
      </c>
      <c r="G1070" t="s">
        <v>25</v>
      </c>
      <c r="H1070" s="13">
        <v>1556197</v>
      </c>
      <c r="I1070" s="13"/>
      <c r="J1070" s="8">
        <f t="shared" si="17"/>
        <v>1556197</v>
      </c>
      <c r="K1070" s="1"/>
      <c r="L1070" s="3"/>
    </row>
    <row r="1071" spans="1:12" x14ac:dyDescent="0.2">
      <c r="A1071">
        <v>5101140</v>
      </c>
      <c r="B1071" s="8">
        <v>2019</v>
      </c>
      <c r="C1071" s="8" t="s">
        <v>309</v>
      </c>
      <c r="D1071" s="8" t="s">
        <v>310</v>
      </c>
      <c r="E1071" s="8" t="s">
        <v>311</v>
      </c>
      <c r="F1071" t="s">
        <v>57</v>
      </c>
      <c r="G1071" t="s">
        <v>25</v>
      </c>
      <c r="H1071" s="13">
        <v>1476075</v>
      </c>
      <c r="I1071" s="13"/>
      <c r="J1071" s="8">
        <f t="shared" si="17"/>
        <v>1476075</v>
      </c>
      <c r="K1071" s="1"/>
      <c r="L1071" s="3"/>
    </row>
    <row r="1072" spans="1:12" x14ac:dyDescent="0.2">
      <c r="A1072">
        <v>5101140</v>
      </c>
      <c r="B1072" s="8">
        <v>2020</v>
      </c>
      <c r="C1072" s="8" t="s">
        <v>309</v>
      </c>
      <c r="D1072" s="8" t="s">
        <v>310</v>
      </c>
      <c r="E1072" s="8" t="s">
        <v>311</v>
      </c>
      <c r="F1072" t="s">
        <v>57</v>
      </c>
      <c r="G1072" t="s">
        <v>25</v>
      </c>
      <c r="H1072" s="13">
        <v>1565256</v>
      </c>
      <c r="I1072" s="13"/>
      <c r="J1072" s="8">
        <f t="shared" si="17"/>
        <v>1565256</v>
      </c>
      <c r="K1072" s="1"/>
      <c r="L1072" s="3"/>
    </row>
    <row r="1073" spans="1:12" x14ac:dyDescent="0.2">
      <c r="A1073">
        <v>5101140</v>
      </c>
      <c r="B1073" s="8">
        <v>2021</v>
      </c>
      <c r="C1073" s="8" t="s">
        <v>309</v>
      </c>
      <c r="D1073" s="8" t="s">
        <v>310</v>
      </c>
      <c r="E1073" s="8" t="s">
        <v>311</v>
      </c>
      <c r="F1073" t="s">
        <v>57</v>
      </c>
      <c r="G1073" t="s">
        <v>25</v>
      </c>
      <c r="H1073" s="13">
        <v>1600764</v>
      </c>
      <c r="I1073" s="13">
        <v>69411</v>
      </c>
      <c r="J1073" s="8">
        <f t="shared" si="17"/>
        <v>1670175</v>
      </c>
      <c r="K1073" s="1"/>
      <c r="L1073" s="3"/>
    </row>
    <row r="1074" spans="1:12" x14ac:dyDescent="0.2">
      <c r="A1074">
        <v>5101140</v>
      </c>
      <c r="B1074" s="8">
        <v>2022</v>
      </c>
      <c r="C1074" s="8" t="s">
        <v>309</v>
      </c>
      <c r="D1074" s="8" t="s">
        <v>310</v>
      </c>
      <c r="E1074" s="8" t="s">
        <v>311</v>
      </c>
      <c r="F1074" t="s">
        <v>57</v>
      </c>
      <c r="G1074" t="s">
        <v>25</v>
      </c>
      <c r="H1074" s="13">
        <v>1693034</v>
      </c>
      <c r="I1074" s="13">
        <v>504170</v>
      </c>
      <c r="J1074" s="8">
        <f t="shared" si="17"/>
        <v>2197204</v>
      </c>
      <c r="K1074" s="1"/>
      <c r="L1074" s="3"/>
    </row>
    <row r="1075" spans="1:12" x14ac:dyDescent="0.2">
      <c r="A1075">
        <v>5101140</v>
      </c>
      <c r="B1075" s="8">
        <v>2023</v>
      </c>
      <c r="C1075" s="8" t="s">
        <v>309</v>
      </c>
      <c r="D1075" s="8" t="s">
        <v>310</v>
      </c>
      <c r="E1075" s="8" t="s">
        <v>311</v>
      </c>
      <c r="F1075" t="s">
        <v>57</v>
      </c>
      <c r="G1075" t="s">
        <v>25</v>
      </c>
      <c r="H1075" s="13">
        <v>1831852</v>
      </c>
      <c r="I1075" s="13">
        <v>171124</v>
      </c>
      <c r="J1075" s="8">
        <f t="shared" si="17"/>
        <v>2002976</v>
      </c>
      <c r="K1075" s="1"/>
      <c r="L1075" s="3"/>
    </row>
    <row r="1076" spans="1:12" x14ac:dyDescent="0.2">
      <c r="A1076">
        <v>5101080</v>
      </c>
      <c r="B1076" s="8">
        <v>2015</v>
      </c>
      <c r="C1076" s="8" t="s">
        <v>309</v>
      </c>
      <c r="D1076" s="8" t="s">
        <v>310</v>
      </c>
      <c r="E1076" s="8" t="s">
        <v>311</v>
      </c>
      <c r="F1076" t="s">
        <v>56</v>
      </c>
      <c r="G1076" t="s">
        <v>24</v>
      </c>
      <c r="H1076" s="13">
        <v>1122749</v>
      </c>
      <c r="I1076" s="13"/>
      <c r="J1076" s="8">
        <f t="shared" si="17"/>
        <v>1122749</v>
      </c>
      <c r="K1076" s="1"/>
      <c r="L1076" s="3"/>
    </row>
    <row r="1077" spans="1:12" x14ac:dyDescent="0.2">
      <c r="A1077">
        <v>5101080</v>
      </c>
      <c r="B1077" s="8">
        <v>2016</v>
      </c>
      <c r="C1077" s="8" t="s">
        <v>309</v>
      </c>
      <c r="D1077" s="8" t="s">
        <v>310</v>
      </c>
      <c r="E1077" s="8" t="s">
        <v>311</v>
      </c>
      <c r="F1077" t="s">
        <v>56</v>
      </c>
      <c r="G1077" t="s">
        <v>24</v>
      </c>
      <c r="H1077" s="13">
        <v>1094533</v>
      </c>
      <c r="I1077" s="13"/>
      <c r="J1077" s="8">
        <f t="shared" si="17"/>
        <v>1094533</v>
      </c>
      <c r="K1077" s="1"/>
      <c r="L1077" s="3"/>
    </row>
    <row r="1078" spans="1:12" x14ac:dyDescent="0.2">
      <c r="A1078">
        <v>5101080</v>
      </c>
      <c r="B1078" s="8">
        <v>2017</v>
      </c>
      <c r="C1078" s="8" t="s">
        <v>309</v>
      </c>
      <c r="D1078" s="8" t="s">
        <v>310</v>
      </c>
      <c r="E1078" s="8" t="s">
        <v>311</v>
      </c>
      <c r="F1078" t="s">
        <v>56</v>
      </c>
      <c r="G1078" t="s">
        <v>24</v>
      </c>
      <c r="H1078" s="13">
        <v>1161193</v>
      </c>
      <c r="I1078" s="13"/>
      <c r="J1078" s="8">
        <f t="shared" si="17"/>
        <v>1161193</v>
      </c>
      <c r="K1078" s="1"/>
      <c r="L1078" s="3"/>
    </row>
    <row r="1079" spans="1:12" x14ac:dyDescent="0.2">
      <c r="A1079">
        <v>5101080</v>
      </c>
      <c r="B1079" s="8">
        <v>2018</v>
      </c>
      <c r="C1079" s="8" t="s">
        <v>309</v>
      </c>
      <c r="D1079" s="8" t="s">
        <v>310</v>
      </c>
      <c r="E1079" s="8" t="s">
        <v>311</v>
      </c>
      <c r="F1079" t="s">
        <v>56</v>
      </c>
      <c r="G1079" t="s">
        <v>24</v>
      </c>
      <c r="H1079" s="13">
        <v>1240692</v>
      </c>
      <c r="I1079" s="13"/>
      <c r="J1079" s="8">
        <f t="shared" si="17"/>
        <v>1240692</v>
      </c>
      <c r="K1079" s="1"/>
      <c r="L1079" s="3"/>
    </row>
    <row r="1080" spans="1:12" x14ac:dyDescent="0.2">
      <c r="A1080">
        <v>5101080</v>
      </c>
      <c r="B1080" s="8">
        <v>2019</v>
      </c>
      <c r="C1080" s="8" t="s">
        <v>309</v>
      </c>
      <c r="D1080" s="8" t="s">
        <v>310</v>
      </c>
      <c r="E1080" s="8" t="s">
        <v>311</v>
      </c>
      <c r="F1080" t="s">
        <v>56</v>
      </c>
      <c r="G1080" t="s">
        <v>24</v>
      </c>
      <c r="H1080" s="13">
        <v>1221265</v>
      </c>
      <c r="I1080" s="13"/>
      <c r="J1080" s="8">
        <f t="shared" si="17"/>
        <v>1221265</v>
      </c>
      <c r="K1080" s="1"/>
      <c r="L1080" s="3"/>
    </row>
    <row r="1081" spans="1:12" x14ac:dyDescent="0.2">
      <c r="A1081">
        <v>5101080</v>
      </c>
      <c r="B1081" s="8">
        <v>2020</v>
      </c>
      <c r="C1081" s="8" t="s">
        <v>309</v>
      </c>
      <c r="D1081" s="8" t="s">
        <v>310</v>
      </c>
      <c r="E1081" s="8" t="s">
        <v>311</v>
      </c>
      <c r="F1081" t="s">
        <v>56</v>
      </c>
      <c r="G1081" t="s">
        <v>24</v>
      </c>
      <c r="H1081" s="13">
        <v>1292855</v>
      </c>
      <c r="I1081" s="13"/>
      <c r="J1081" s="8">
        <f t="shared" si="17"/>
        <v>1292855</v>
      </c>
      <c r="K1081" s="1"/>
      <c r="L1081" s="3"/>
    </row>
    <row r="1082" spans="1:12" x14ac:dyDescent="0.2">
      <c r="A1082">
        <v>5101080</v>
      </c>
      <c r="B1082" s="8">
        <v>2021</v>
      </c>
      <c r="C1082" s="8" t="s">
        <v>309</v>
      </c>
      <c r="D1082" s="8" t="s">
        <v>310</v>
      </c>
      <c r="E1082" s="8" t="s">
        <v>311</v>
      </c>
      <c r="F1082" t="s">
        <v>56</v>
      </c>
      <c r="G1082" t="s">
        <v>24</v>
      </c>
      <c r="H1082" s="13">
        <v>1368944</v>
      </c>
      <c r="I1082" s="13">
        <v>59357</v>
      </c>
      <c r="J1082" s="8">
        <f t="shared" si="17"/>
        <v>1428301</v>
      </c>
      <c r="K1082" s="1"/>
      <c r="L1082" s="3"/>
    </row>
    <row r="1083" spans="1:12" x14ac:dyDescent="0.2">
      <c r="A1083">
        <v>5101080</v>
      </c>
      <c r="B1083" s="8">
        <v>2022</v>
      </c>
      <c r="C1083" s="8" t="s">
        <v>309</v>
      </c>
      <c r="D1083" s="8" t="s">
        <v>310</v>
      </c>
      <c r="E1083" s="8" t="s">
        <v>311</v>
      </c>
      <c r="F1083" t="s">
        <v>56</v>
      </c>
      <c r="G1083" t="s">
        <v>24</v>
      </c>
      <c r="H1083" s="13">
        <v>1460444</v>
      </c>
      <c r="I1083" s="13">
        <v>434895</v>
      </c>
      <c r="J1083" s="8">
        <f t="shared" si="17"/>
        <v>1895339</v>
      </c>
      <c r="K1083" s="1"/>
      <c r="L1083" s="3"/>
    </row>
    <row r="1084" spans="1:12" x14ac:dyDescent="0.2">
      <c r="A1084">
        <v>5101080</v>
      </c>
      <c r="B1084" s="8">
        <v>2023</v>
      </c>
      <c r="C1084" s="8" t="s">
        <v>309</v>
      </c>
      <c r="D1084" s="8" t="s">
        <v>310</v>
      </c>
      <c r="E1084" s="8" t="s">
        <v>311</v>
      </c>
      <c r="F1084" t="s">
        <v>56</v>
      </c>
      <c r="G1084" t="s">
        <v>24</v>
      </c>
      <c r="H1084" s="13">
        <v>1541884</v>
      </c>
      <c r="I1084" s="13">
        <v>144036</v>
      </c>
      <c r="J1084" s="8">
        <f t="shared" si="17"/>
        <v>1685920</v>
      </c>
      <c r="K1084" s="1"/>
      <c r="L1084" s="3"/>
    </row>
    <row r="1085" spans="1:12" x14ac:dyDescent="0.2">
      <c r="A1085">
        <v>5101050</v>
      </c>
      <c r="B1085" s="8">
        <v>2015</v>
      </c>
      <c r="C1085" s="8" t="s">
        <v>309</v>
      </c>
      <c r="D1085" s="8" t="s">
        <v>310</v>
      </c>
      <c r="E1085" s="8" t="s">
        <v>311</v>
      </c>
      <c r="F1085" t="s">
        <v>55</v>
      </c>
      <c r="G1085" t="s">
        <v>23</v>
      </c>
      <c r="H1085" s="13">
        <v>6061501</v>
      </c>
      <c r="I1085" s="13"/>
      <c r="J1085" s="8">
        <f t="shared" si="17"/>
        <v>6061501</v>
      </c>
      <c r="K1085" s="1"/>
      <c r="L1085" s="3"/>
    </row>
    <row r="1086" spans="1:12" x14ac:dyDescent="0.2">
      <c r="A1086">
        <v>5101050</v>
      </c>
      <c r="B1086" s="8">
        <v>2016</v>
      </c>
      <c r="C1086" s="8" t="s">
        <v>309</v>
      </c>
      <c r="D1086" s="8" t="s">
        <v>310</v>
      </c>
      <c r="E1086" s="8" t="s">
        <v>311</v>
      </c>
      <c r="F1086" t="s">
        <v>55</v>
      </c>
      <c r="G1086" t="s">
        <v>23</v>
      </c>
      <c r="H1086" s="13">
        <v>5924663</v>
      </c>
      <c r="I1086" s="13"/>
      <c r="J1086" s="8">
        <f t="shared" si="17"/>
        <v>5924663</v>
      </c>
      <c r="K1086" s="1"/>
      <c r="L1086" s="3"/>
    </row>
    <row r="1087" spans="1:12" x14ac:dyDescent="0.2">
      <c r="A1087">
        <v>5101050</v>
      </c>
      <c r="B1087" s="8">
        <v>2017</v>
      </c>
      <c r="C1087" s="8" t="s">
        <v>309</v>
      </c>
      <c r="D1087" s="8" t="s">
        <v>310</v>
      </c>
      <c r="E1087" s="8" t="s">
        <v>311</v>
      </c>
      <c r="F1087" t="s">
        <v>55</v>
      </c>
      <c r="G1087" t="s">
        <v>23</v>
      </c>
      <c r="H1087" s="13">
        <v>6220035</v>
      </c>
      <c r="I1087" s="13"/>
      <c r="J1087" s="8">
        <f t="shared" si="17"/>
        <v>6220035</v>
      </c>
      <c r="K1087" s="1"/>
      <c r="L1087" s="3"/>
    </row>
    <row r="1088" spans="1:12" x14ac:dyDescent="0.2">
      <c r="A1088">
        <v>5101050</v>
      </c>
      <c r="B1088" s="8">
        <v>2018</v>
      </c>
      <c r="C1088" s="8" t="s">
        <v>309</v>
      </c>
      <c r="D1088" s="8" t="s">
        <v>310</v>
      </c>
      <c r="E1088" s="8" t="s">
        <v>311</v>
      </c>
      <c r="F1088" t="s">
        <v>55</v>
      </c>
      <c r="G1088" t="s">
        <v>23</v>
      </c>
      <c r="H1088" s="13">
        <v>7059081</v>
      </c>
      <c r="I1088" s="13"/>
      <c r="J1088" s="8">
        <f t="shared" si="17"/>
        <v>7059081</v>
      </c>
      <c r="K1088" s="1"/>
      <c r="L1088" s="3"/>
    </row>
    <row r="1089" spans="1:12" x14ac:dyDescent="0.2">
      <c r="A1089">
        <v>5101050</v>
      </c>
      <c r="B1089" s="8">
        <v>2019</v>
      </c>
      <c r="C1089" s="8" t="s">
        <v>309</v>
      </c>
      <c r="D1089" s="8" t="s">
        <v>310</v>
      </c>
      <c r="E1089" s="8" t="s">
        <v>311</v>
      </c>
      <c r="F1089" t="s">
        <v>55</v>
      </c>
      <c r="G1089" t="s">
        <v>23</v>
      </c>
      <c r="H1089" s="13">
        <v>6982127</v>
      </c>
      <c r="I1089" s="13"/>
      <c r="J1089" s="8">
        <f t="shared" si="17"/>
        <v>6982127</v>
      </c>
      <c r="K1089" s="1"/>
      <c r="L1089" s="3"/>
    </row>
    <row r="1090" spans="1:12" x14ac:dyDescent="0.2">
      <c r="A1090">
        <v>5101050</v>
      </c>
      <c r="B1090" s="8">
        <v>2020</v>
      </c>
      <c r="C1090" s="8" t="s">
        <v>309</v>
      </c>
      <c r="D1090" s="8" t="s">
        <v>310</v>
      </c>
      <c r="E1090" s="8" t="s">
        <v>311</v>
      </c>
      <c r="F1090" t="s">
        <v>55</v>
      </c>
      <c r="G1090" t="s">
        <v>23</v>
      </c>
      <c r="H1090" s="13">
        <v>7118552</v>
      </c>
      <c r="I1090" s="13"/>
      <c r="J1090" s="8">
        <f t="shared" si="17"/>
        <v>7118552</v>
      </c>
      <c r="K1090" s="1"/>
      <c r="L1090" s="3"/>
    </row>
    <row r="1091" spans="1:12" x14ac:dyDescent="0.2">
      <c r="A1091">
        <v>5101050</v>
      </c>
      <c r="B1091" s="8">
        <v>2021</v>
      </c>
      <c r="C1091" s="8" t="s">
        <v>309</v>
      </c>
      <c r="D1091" s="8" t="s">
        <v>310</v>
      </c>
      <c r="E1091" s="8" t="s">
        <v>311</v>
      </c>
      <c r="F1091" t="s">
        <v>55</v>
      </c>
      <c r="G1091" t="s">
        <v>23</v>
      </c>
      <c r="H1091" s="13">
        <v>7411664</v>
      </c>
      <c r="I1091" s="13">
        <v>321377</v>
      </c>
      <c r="J1091" s="8">
        <f t="shared" ref="J1091:J1154" si="18">SUM(H1091:I1091)</f>
        <v>7733041</v>
      </c>
      <c r="K1091" s="1"/>
      <c r="L1091" s="3"/>
    </row>
    <row r="1092" spans="1:12" x14ac:dyDescent="0.2">
      <c r="A1092">
        <v>5101050</v>
      </c>
      <c r="B1092" s="8">
        <v>2022</v>
      </c>
      <c r="C1092" s="8" t="s">
        <v>309</v>
      </c>
      <c r="D1092" s="8" t="s">
        <v>310</v>
      </c>
      <c r="E1092" s="8" t="s">
        <v>311</v>
      </c>
      <c r="F1092" t="s">
        <v>55</v>
      </c>
      <c r="G1092" t="s">
        <v>23</v>
      </c>
      <c r="H1092" s="13">
        <v>7801554</v>
      </c>
      <c r="I1092" s="13">
        <v>2323156</v>
      </c>
      <c r="J1092" s="8">
        <f t="shared" si="18"/>
        <v>10124710</v>
      </c>
      <c r="K1092" s="1"/>
      <c r="L1092" s="3"/>
    </row>
    <row r="1093" spans="1:12" x14ac:dyDescent="0.2">
      <c r="A1093">
        <v>5101050</v>
      </c>
      <c r="B1093" s="8">
        <v>2023</v>
      </c>
      <c r="C1093" s="8" t="s">
        <v>309</v>
      </c>
      <c r="D1093" s="8" t="s">
        <v>310</v>
      </c>
      <c r="E1093" s="8" t="s">
        <v>311</v>
      </c>
      <c r="F1093" t="s">
        <v>55</v>
      </c>
      <c r="G1093" t="s">
        <v>23</v>
      </c>
      <c r="H1093" s="13">
        <v>8300592</v>
      </c>
      <c r="I1093" s="13">
        <v>775373</v>
      </c>
      <c r="J1093" s="8">
        <f t="shared" si="18"/>
        <v>9075965</v>
      </c>
      <c r="K1093" s="1"/>
      <c r="L1093" s="3"/>
    </row>
    <row r="1094" spans="1:12" x14ac:dyDescent="0.2">
      <c r="A1094">
        <v>5101020</v>
      </c>
      <c r="B1094" s="8">
        <v>2015</v>
      </c>
      <c r="C1094" s="8" t="s">
        <v>309</v>
      </c>
      <c r="D1094" s="8" t="s">
        <v>310</v>
      </c>
      <c r="E1094" s="8" t="s">
        <v>311</v>
      </c>
      <c r="F1094" t="s">
        <v>54</v>
      </c>
      <c r="G1094" t="s">
        <v>22</v>
      </c>
      <c r="H1094" s="13">
        <v>521403</v>
      </c>
      <c r="I1094" s="13"/>
      <c r="J1094" s="8">
        <f t="shared" si="18"/>
        <v>521403</v>
      </c>
      <c r="K1094" s="1"/>
      <c r="L1094" s="3"/>
    </row>
    <row r="1095" spans="1:12" x14ac:dyDescent="0.2">
      <c r="A1095">
        <v>5101020</v>
      </c>
      <c r="B1095" s="8">
        <v>2016</v>
      </c>
      <c r="C1095" s="8" t="s">
        <v>309</v>
      </c>
      <c r="D1095" s="8" t="s">
        <v>310</v>
      </c>
      <c r="E1095" s="8" t="s">
        <v>311</v>
      </c>
      <c r="F1095" t="s">
        <v>54</v>
      </c>
      <c r="G1095" t="s">
        <v>22</v>
      </c>
      <c r="H1095" s="13">
        <v>493856</v>
      </c>
      <c r="I1095" s="13"/>
      <c r="J1095" s="8">
        <f t="shared" si="18"/>
        <v>493856</v>
      </c>
      <c r="K1095" s="1"/>
      <c r="L1095" s="3"/>
    </row>
    <row r="1096" spans="1:12" x14ac:dyDescent="0.2">
      <c r="A1096">
        <v>5101020</v>
      </c>
      <c r="B1096" s="8">
        <v>2017</v>
      </c>
      <c r="C1096" s="8" t="s">
        <v>309</v>
      </c>
      <c r="D1096" s="8" t="s">
        <v>310</v>
      </c>
      <c r="E1096" s="8" t="s">
        <v>311</v>
      </c>
      <c r="F1096" t="s">
        <v>54</v>
      </c>
      <c r="G1096" t="s">
        <v>22</v>
      </c>
      <c r="H1096" s="13">
        <v>498593</v>
      </c>
      <c r="I1096" s="13"/>
      <c r="J1096" s="8">
        <f t="shared" si="18"/>
        <v>498593</v>
      </c>
      <c r="K1096" s="1"/>
      <c r="L1096" s="3"/>
    </row>
    <row r="1097" spans="1:12" x14ac:dyDescent="0.2">
      <c r="A1097">
        <v>5101020</v>
      </c>
      <c r="B1097" s="8">
        <v>2018</v>
      </c>
      <c r="C1097" s="8" t="s">
        <v>309</v>
      </c>
      <c r="D1097" s="8" t="s">
        <v>310</v>
      </c>
      <c r="E1097" s="8" t="s">
        <v>311</v>
      </c>
      <c r="F1097" t="s">
        <v>54</v>
      </c>
      <c r="G1097" t="s">
        <v>22</v>
      </c>
      <c r="H1097" s="13">
        <v>553196</v>
      </c>
      <c r="I1097" s="13"/>
      <c r="J1097" s="8">
        <f t="shared" si="18"/>
        <v>553196</v>
      </c>
      <c r="K1097" s="1"/>
      <c r="L1097" s="3"/>
    </row>
    <row r="1098" spans="1:12" x14ac:dyDescent="0.2">
      <c r="A1098">
        <v>5101020</v>
      </c>
      <c r="B1098" s="8">
        <v>2019</v>
      </c>
      <c r="C1098" s="8" t="s">
        <v>309</v>
      </c>
      <c r="D1098" s="8" t="s">
        <v>310</v>
      </c>
      <c r="E1098" s="8" t="s">
        <v>311</v>
      </c>
      <c r="F1098" t="s">
        <v>54</v>
      </c>
      <c r="G1098" t="s">
        <v>22</v>
      </c>
      <c r="H1098" s="13">
        <v>544135</v>
      </c>
      <c r="I1098" s="13"/>
      <c r="J1098" s="8">
        <f t="shared" si="18"/>
        <v>544135</v>
      </c>
      <c r="K1098" s="1"/>
      <c r="L1098" s="3"/>
    </row>
    <row r="1099" spans="1:12" x14ac:dyDescent="0.2">
      <c r="A1099">
        <v>5101020</v>
      </c>
      <c r="B1099" s="8">
        <v>2020</v>
      </c>
      <c r="C1099" s="8" t="s">
        <v>309</v>
      </c>
      <c r="D1099" s="8" t="s">
        <v>310</v>
      </c>
      <c r="E1099" s="8" t="s">
        <v>311</v>
      </c>
      <c r="F1099" t="s">
        <v>54</v>
      </c>
      <c r="G1099" t="s">
        <v>22</v>
      </c>
      <c r="H1099" s="13">
        <v>568737</v>
      </c>
      <c r="I1099" s="13"/>
      <c r="J1099" s="8">
        <f t="shared" si="18"/>
        <v>568737</v>
      </c>
      <c r="K1099" s="1"/>
      <c r="L1099" s="3"/>
    </row>
    <row r="1100" spans="1:12" x14ac:dyDescent="0.2">
      <c r="A1100">
        <v>5101020</v>
      </c>
      <c r="B1100" s="8">
        <v>2021</v>
      </c>
      <c r="C1100" s="8" t="s">
        <v>309</v>
      </c>
      <c r="D1100" s="8" t="s">
        <v>310</v>
      </c>
      <c r="E1100" s="8" t="s">
        <v>311</v>
      </c>
      <c r="F1100" t="s">
        <v>54</v>
      </c>
      <c r="G1100" t="s">
        <v>22</v>
      </c>
      <c r="H1100" s="13">
        <v>589467</v>
      </c>
      <c r="I1100" s="13">
        <v>25562</v>
      </c>
      <c r="J1100" s="8">
        <f t="shared" si="18"/>
        <v>615029</v>
      </c>
      <c r="K1100" s="1"/>
      <c r="L1100" s="3"/>
    </row>
    <row r="1101" spans="1:12" x14ac:dyDescent="0.2">
      <c r="A1101">
        <v>5101020</v>
      </c>
      <c r="B1101" s="8">
        <v>2022</v>
      </c>
      <c r="C1101" s="8" t="s">
        <v>309</v>
      </c>
      <c r="D1101" s="8" t="s">
        <v>310</v>
      </c>
      <c r="E1101" s="8" t="s">
        <v>311</v>
      </c>
      <c r="F1101" t="s">
        <v>54</v>
      </c>
      <c r="G1101" t="s">
        <v>22</v>
      </c>
      <c r="H1101" s="13">
        <v>602627</v>
      </c>
      <c r="I1101" s="13">
        <v>179470</v>
      </c>
      <c r="J1101" s="8">
        <f t="shared" si="18"/>
        <v>782097</v>
      </c>
      <c r="K1101" s="1"/>
      <c r="L1101" s="3"/>
    </row>
    <row r="1102" spans="1:12" x14ac:dyDescent="0.2">
      <c r="A1102">
        <v>5101020</v>
      </c>
      <c r="B1102" s="8">
        <v>2023</v>
      </c>
      <c r="C1102" s="8" t="s">
        <v>309</v>
      </c>
      <c r="D1102" s="8" t="s">
        <v>310</v>
      </c>
      <c r="E1102" s="8" t="s">
        <v>311</v>
      </c>
      <c r="F1102" t="s">
        <v>54</v>
      </c>
      <c r="G1102" t="s">
        <v>22</v>
      </c>
      <c r="H1102" s="13">
        <v>632541</v>
      </c>
      <c r="I1102" s="13">
        <v>59086</v>
      </c>
      <c r="J1102" s="8">
        <f t="shared" si="18"/>
        <v>691627</v>
      </c>
      <c r="K1102" s="1"/>
      <c r="L1102" s="3"/>
    </row>
    <row r="1103" spans="1:12" x14ac:dyDescent="0.2">
      <c r="A1103">
        <v>5100870</v>
      </c>
      <c r="B1103" s="8">
        <v>2015</v>
      </c>
      <c r="C1103" s="8" t="s">
        <v>309</v>
      </c>
      <c r="D1103" s="8" t="s">
        <v>310</v>
      </c>
      <c r="E1103" s="8" t="s">
        <v>311</v>
      </c>
      <c r="F1103" t="s">
        <v>53</v>
      </c>
      <c r="G1103" t="s">
        <v>21</v>
      </c>
      <c r="H1103" s="13">
        <v>1654688</v>
      </c>
      <c r="I1103" s="13"/>
      <c r="J1103" s="8">
        <f t="shared" si="18"/>
        <v>1654688</v>
      </c>
      <c r="K1103" s="1"/>
      <c r="L1103" s="3"/>
    </row>
    <row r="1104" spans="1:12" x14ac:dyDescent="0.2">
      <c r="A1104">
        <v>5100870</v>
      </c>
      <c r="B1104" s="8">
        <v>2016</v>
      </c>
      <c r="C1104" s="8" t="s">
        <v>309</v>
      </c>
      <c r="D1104" s="8" t="s">
        <v>310</v>
      </c>
      <c r="E1104" s="8" t="s">
        <v>311</v>
      </c>
      <c r="F1104" t="s">
        <v>53</v>
      </c>
      <c r="G1104" t="s">
        <v>21</v>
      </c>
      <c r="H1104" s="13">
        <v>1639777</v>
      </c>
      <c r="I1104" s="13"/>
      <c r="J1104" s="8">
        <f t="shared" si="18"/>
        <v>1639777</v>
      </c>
      <c r="K1104" s="1"/>
      <c r="L1104" s="3"/>
    </row>
    <row r="1105" spans="1:12" x14ac:dyDescent="0.2">
      <c r="A1105">
        <v>5100870</v>
      </c>
      <c r="B1105" s="8">
        <v>2017</v>
      </c>
      <c r="C1105" s="8" t="s">
        <v>309</v>
      </c>
      <c r="D1105" s="8" t="s">
        <v>310</v>
      </c>
      <c r="E1105" s="8" t="s">
        <v>311</v>
      </c>
      <c r="F1105" t="s">
        <v>53</v>
      </c>
      <c r="G1105" t="s">
        <v>21</v>
      </c>
      <c r="H1105" s="13">
        <v>1721269</v>
      </c>
      <c r="I1105" s="13"/>
      <c r="J1105" s="8">
        <f t="shared" si="18"/>
        <v>1721269</v>
      </c>
      <c r="K1105" s="1"/>
      <c r="L1105" s="3"/>
    </row>
    <row r="1106" spans="1:12" x14ac:dyDescent="0.2">
      <c r="A1106">
        <v>5100870</v>
      </c>
      <c r="B1106" s="8">
        <v>2018</v>
      </c>
      <c r="C1106" s="8" t="s">
        <v>309</v>
      </c>
      <c r="D1106" s="8" t="s">
        <v>310</v>
      </c>
      <c r="E1106" s="8" t="s">
        <v>311</v>
      </c>
      <c r="F1106" t="s">
        <v>53</v>
      </c>
      <c r="G1106" t="s">
        <v>21</v>
      </c>
      <c r="H1106" s="13">
        <v>1964107</v>
      </c>
      <c r="I1106" s="13"/>
      <c r="J1106" s="8">
        <f t="shared" si="18"/>
        <v>1964107</v>
      </c>
      <c r="K1106" s="1"/>
      <c r="L1106" s="3"/>
    </row>
    <row r="1107" spans="1:12" x14ac:dyDescent="0.2">
      <c r="A1107">
        <v>5100870</v>
      </c>
      <c r="B1107" s="8">
        <v>2019</v>
      </c>
      <c r="C1107" s="8" t="s">
        <v>309</v>
      </c>
      <c r="D1107" s="8" t="s">
        <v>310</v>
      </c>
      <c r="E1107" s="8" t="s">
        <v>311</v>
      </c>
      <c r="F1107" t="s">
        <v>53</v>
      </c>
      <c r="G1107" t="s">
        <v>21</v>
      </c>
      <c r="H1107" s="13">
        <v>1915267</v>
      </c>
      <c r="I1107" s="13"/>
      <c r="J1107" s="8">
        <f t="shared" si="18"/>
        <v>1915267</v>
      </c>
      <c r="K1107" s="1"/>
      <c r="L1107" s="3"/>
    </row>
    <row r="1108" spans="1:12" x14ac:dyDescent="0.2">
      <c r="A1108">
        <v>5100870</v>
      </c>
      <c r="B1108" s="8">
        <v>2020</v>
      </c>
      <c r="C1108" s="8" t="s">
        <v>309</v>
      </c>
      <c r="D1108" s="8" t="s">
        <v>310</v>
      </c>
      <c r="E1108" s="8" t="s">
        <v>311</v>
      </c>
      <c r="F1108" t="s">
        <v>53</v>
      </c>
      <c r="G1108" t="s">
        <v>21</v>
      </c>
      <c r="H1108" s="13">
        <v>1968435</v>
      </c>
      <c r="I1108" s="13"/>
      <c r="J1108" s="8">
        <f t="shared" si="18"/>
        <v>1968435</v>
      </c>
      <c r="K1108" s="1"/>
      <c r="L1108" s="3"/>
    </row>
    <row r="1109" spans="1:12" x14ac:dyDescent="0.2">
      <c r="A1109">
        <v>5100870</v>
      </c>
      <c r="B1109" s="8">
        <v>2021</v>
      </c>
      <c r="C1109" s="8" t="s">
        <v>309</v>
      </c>
      <c r="D1109" s="8" t="s">
        <v>310</v>
      </c>
      <c r="E1109" s="8" t="s">
        <v>311</v>
      </c>
      <c r="F1109" t="s">
        <v>53</v>
      </c>
      <c r="G1109" t="s">
        <v>21</v>
      </c>
      <c r="H1109" s="13">
        <v>1950641</v>
      </c>
      <c r="I1109" s="13">
        <v>84581</v>
      </c>
      <c r="J1109" s="8">
        <f t="shared" si="18"/>
        <v>2035222</v>
      </c>
      <c r="K1109" s="1"/>
      <c r="L1109" s="3"/>
    </row>
    <row r="1110" spans="1:12" x14ac:dyDescent="0.2">
      <c r="A1110">
        <v>5100870</v>
      </c>
      <c r="B1110" s="8">
        <v>2022</v>
      </c>
      <c r="C1110" s="8" t="s">
        <v>309</v>
      </c>
      <c r="D1110" s="8" t="s">
        <v>310</v>
      </c>
      <c r="E1110" s="8" t="s">
        <v>311</v>
      </c>
      <c r="F1110" t="s">
        <v>53</v>
      </c>
      <c r="G1110" t="s">
        <v>21</v>
      </c>
      <c r="H1110" s="13">
        <v>2122390</v>
      </c>
      <c r="I1110" s="13">
        <v>632016</v>
      </c>
      <c r="J1110" s="8">
        <f t="shared" si="18"/>
        <v>2754406</v>
      </c>
      <c r="K1110" s="1"/>
      <c r="L1110" s="3"/>
    </row>
    <row r="1111" spans="1:12" x14ac:dyDescent="0.2">
      <c r="A1111">
        <v>5100870</v>
      </c>
      <c r="B1111" s="8">
        <v>2023</v>
      </c>
      <c r="C1111" s="8" t="s">
        <v>309</v>
      </c>
      <c r="D1111" s="8" t="s">
        <v>310</v>
      </c>
      <c r="E1111" s="8" t="s">
        <v>311</v>
      </c>
      <c r="F1111" t="s">
        <v>53</v>
      </c>
      <c r="G1111" t="s">
        <v>21</v>
      </c>
      <c r="H1111" s="13">
        <v>2265906</v>
      </c>
      <c r="I1111" s="13">
        <v>211660</v>
      </c>
      <c r="J1111" s="8">
        <f t="shared" si="18"/>
        <v>2477566</v>
      </c>
      <c r="K1111" s="1"/>
      <c r="L1111" s="3"/>
    </row>
    <row r="1112" spans="1:12" x14ac:dyDescent="0.2">
      <c r="A1112">
        <v>5100840</v>
      </c>
      <c r="B1112" s="8">
        <v>2015</v>
      </c>
      <c r="C1112" s="8" t="s">
        <v>309</v>
      </c>
      <c r="D1112" s="8" t="s">
        <v>310</v>
      </c>
      <c r="E1112" s="8" t="s">
        <v>311</v>
      </c>
      <c r="F1112" t="s">
        <v>52</v>
      </c>
      <c r="G1112" t="s">
        <v>20</v>
      </c>
      <c r="H1112" s="13">
        <v>39682203</v>
      </c>
      <c r="I1112" s="13"/>
      <c r="J1112" s="8">
        <f t="shared" si="18"/>
        <v>39682203</v>
      </c>
      <c r="K1112" s="1"/>
      <c r="L1112" s="3"/>
    </row>
    <row r="1113" spans="1:12" x14ac:dyDescent="0.2">
      <c r="A1113">
        <v>5100840</v>
      </c>
      <c r="B1113" s="8">
        <v>2016</v>
      </c>
      <c r="C1113" s="8" t="s">
        <v>309</v>
      </c>
      <c r="D1113" s="8" t="s">
        <v>310</v>
      </c>
      <c r="E1113" s="8" t="s">
        <v>311</v>
      </c>
      <c r="F1113" t="s">
        <v>52</v>
      </c>
      <c r="G1113" t="s">
        <v>20</v>
      </c>
      <c r="H1113" s="13">
        <v>39073891</v>
      </c>
      <c r="I1113" s="13"/>
      <c r="J1113" s="8">
        <f t="shared" si="18"/>
        <v>39073891</v>
      </c>
      <c r="K1113" s="1"/>
      <c r="L1113" s="3"/>
    </row>
    <row r="1114" spans="1:12" x14ac:dyDescent="0.2">
      <c r="A1114">
        <v>5100840</v>
      </c>
      <c r="B1114" s="8">
        <v>2017</v>
      </c>
      <c r="C1114" s="8" t="s">
        <v>309</v>
      </c>
      <c r="D1114" s="8" t="s">
        <v>310</v>
      </c>
      <c r="E1114" s="8" t="s">
        <v>311</v>
      </c>
      <c r="F1114" t="s">
        <v>52</v>
      </c>
      <c r="G1114" t="s">
        <v>20</v>
      </c>
      <c r="H1114" s="13">
        <v>41893508</v>
      </c>
      <c r="I1114" s="13"/>
      <c r="J1114" s="8">
        <f t="shared" si="18"/>
        <v>41893508</v>
      </c>
      <c r="K1114" s="1"/>
      <c r="L1114" s="3"/>
    </row>
    <row r="1115" spans="1:12" x14ac:dyDescent="0.2">
      <c r="A1115">
        <v>5100840</v>
      </c>
      <c r="B1115" s="8">
        <v>2018</v>
      </c>
      <c r="C1115" s="8" t="s">
        <v>309</v>
      </c>
      <c r="D1115" s="8" t="s">
        <v>310</v>
      </c>
      <c r="E1115" s="8" t="s">
        <v>311</v>
      </c>
      <c r="F1115" t="s">
        <v>52</v>
      </c>
      <c r="G1115" t="s">
        <v>20</v>
      </c>
      <c r="H1115" s="13">
        <v>48508879</v>
      </c>
      <c r="I1115" s="13"/>
      <c r="J1115" s="8">
        <f t="shared" si="18"/>
        <v>48508879</v>
      </c>
      <c r="K1115" s="1"/>
      <c r="L1115" s="3"/>
    </row>
    <row r="1116" spans="1:12" x14ac:dyDescent="0.2">
      <c r="A1116">
        <v>5100840</v>
      </c>
      <c r="B1116" s="8">
        <v>2019</v>
      </c>
      <c r="C1116" s="8" t="s">
        <v>309</v>
      </c>
      <c r="D1116" s="8" t="s">
        <v>310</v>
      </c>
      <c r="E1116" s="8" t="s">
        <v>311</v>
      </c>
      <c r="F1116" t="s">
        <v>52</v>
      </c>
      <c r="G1116" t="s">
        <v>20</v>
      </c>
      <c r="H1116" s="13">
        <v>47786369</v>
      </c>
      <c r="I1116" s="13"/>
      <c r="J1116" s="8">
        <f t="shared" si="18"/>
        <v>47786369</v>
      </c>
      <c r="K1116" s="1"/>
      <c r="L1116" s="3"/>
    </row>
    <row r="1117" spans="1:12" x14ac:dyDescent="0.2">
      <c r="A1117">
        <v>5100840</v>
      </c>
      <c r="B1117" s="8">
        <v>2020</v>
      </c>
      <c r="C1117" s="8" t="s">
        <v>309</v>
      </c>
      <c r="D1117" s="8" t="s">
        <v>310</v>
      </c>
      <c r="E1117" s="8" t="s">
        <v>311</v>
      </c>
      <c r="F1117" t="s">
        <v>52</v>
      </c>
      <c r="G1117" t="s">
        <v>20</v>
      </c>
      <c r="H1117" s="13">
        <v>49182407</v>
      </c>
      <c r="I1117" s="13"/>
      <c r="J1117" s="8">
        <f t="shared" si="18"/>
        <v>49182407</v>
      </c>
      <c r="K1117" s="1"/>
      <c r="L1117" s="3"/>
    </row>
    <row r="1118" spans="1:12" x14ac:dyDescent="0.2">
      <c r="A1118">
        <v>5100840</v>
      </c>
      <c r="B1118" s="8">
        <v>2021</v>
      </c>
      <c r="C1118" s="8" t="s">
        <v>309</v>
      </c>
      <c r="D1118" s="8" t="s">
        <v>310</v>
      </c>
      <c r="E1118" s="8" t="s">
        <v>311</v>
      </c>
      <c r="F1118" t="s">
        <v>52</v>
      </c>
      <c r="G1118" t="s">
        <v>20</v>
      </c>
      <c r="H1118" s="13">
        <v>53794182</v>
      </c>
      <c r="I1118" s="13">
        <v>2332579</v>
      </c>
      <c r="J1118" s="8">
        <f t="shared" si="18"/>
        <v>56126761</v>
      </c>
      <c r="K1118" s="1"/>
      <c r="L1118" s="3"/>
    </row>
    <row r="1119" spans="1:12" x14ac:dyDescent="0.2">
      <c r="A1119">
        <v>5100840</v>
      </c>
      <c r="B1119" s="8">
        <v>2022</v>
      </c>
      <c r="C1119" s="8" t="s">
        <v>309</v>
      </c>
      <c r="D1119" s="8" t="s">
        <v>310</v>
      </c>
      <c r="E1119" s="8" t="s">
        <v>311</v>
      </c>
      <c r="F1119" t="s">
        <v>52</v>
      </c>
      <c r="G1119" t="s">
        <v>20</v>
      </c>
      <c r="H1119" s="13">
        <v>58376847</v>
      </c>
      <c r="I1119" s="13">
        <v>17383370</v>
      </c>
      <c r="J1119" s="8">
        <f t="shared" si="18"/>
        <v>75760217</v>
      </c>
      <c r="K1119" s="1"/>
      <c r="L1119" s="3"/>
    </row>
    <row r="1120" spans="1:12" x14ac:dyDescent="0.2">
      <c r="A1120">
        <v>5100840</v>
      </c>
      <c r="B1120" s="8">
        <v>2023</v>
      </c>
      <c r="C1120" s="8" t="s">
        <v>309</v>
      </c>
      <c r="D1120" s="8" t="s">
        <v>310</v>
      </c>
      <c r="E1120" s="8" t="s">
        <v>311</v>
      </c>
      <c r="F1120" t="s">
        <v>52</v>
      </c>
      <c r="G1120" t="s">
        <v>20</v>
      </c>
      <c r="H1120" s="13">
        <v>64462267</v>
      </c>
      <c r="I1120" s="13">
        <v>6021585</v>
      </c>
      <c r="J1120" s="8">
        <f t="shared" si="18"/>
        <v>70483852</v>
      </c>
      <c r="K1120" s="1"/>
      <c r="L1120" s="3"/>
    </row>
    <row r="1121" spans="1:12" x14ac:dyDescent="0.2">
      <c r="A1121">
        <v>5100750</v>
      </c>
      <c r="B1121" s="8">
        <v>2015</v>
      </c>
      <c r="C1121" s="8" t="s">
        <v>309</v>
      </c>
      <c r="D1121" s="8" t="s">
        <v>310</v>
      </c>
      <c r="E1121" s="8" t="s">
        <v>311</v>
      </c>
      <c r="F1121" t="s">
        <v>51</v>
      </c>
      <c r="G1121" t="s">
        <v>19</v>
      </c>
      <c r="H1121" s="13">
        <v>1577394</v>
      </c>
      <c r="I1121" s="13"/>
      <c r="J1121" s="8">
        <f t="shared" si="18"/>
        <v>1577394</v>
      </c>
      <c r="K1121" s="1"/>
      <c r="L1121" s="3"/>
    </row>
    <row r="1122" spans="1:12" x14ac:dyDescent="0.2">
      <c r="A1122">
        <v>5100750</v>
      </c>
      <c r="B1122" s="8">
        <v>2016</v>
      </c>
      <c r="C1122" s="8" t="s">
        <v>309</v>
      </c>
      <c r="D1122" s="8" t="s">
        <v>310</v>
      </c>
      <c r="E1122" s="8" t="s">
        <v>311</v>
      </c>
      <c r="F1122" t="s">
        <v>51</v>
      </c>
      <c r="G1122" t="s">
        <v>19</v>
      </c>
      <c r="H1122" s="13">
        <v>1552358</v>
      </c>
      <c r="I1122" s="13"/>
      <c r="J1122" s="8">
        <f t="shared" si="18"/>
        <v>1552358</v>
      </c>
      <c r="K1122" s="1"/>
      <c r="L1122" s="3"/>
    </row>
    <row r="1123" spans="1:12" x14ac:dyDescent="0.2">
      <c r="A1123">
        <v>5100750</v>
      </c>
      <c r="B1123" s="8">
        <v>2017</v>
      </c>
      <c r="C1123" s="8" t="s">
        <v>309</v>
      </c>
      <c r="D1123" s="8" t="s">
        <v>310</v>
      </c>
      <c r="E1123" s="8" t="s">
        <v>311</v>
      </c>
      <c r="F1123" t="s">
        <v>51</v>
      </c>
      <c r="G1123" t="s">
        <v>19</v>
      </c>
      <c r="H1123" s="13">
        <v>1612141</v>
      </c>
      <c r="I1123" s="13"/>
      <c r="J1123" s="8">
        <f t="shared" si="18"/>
        <v>1612141</v>
      </c>
      <c r="K1123" s="1"/>
      <c r="L1123" s="3"/>
    </row>
    <row r="1124" spans="1:12" x14ac:dyDescent="0.2">
      <c r="A1124">
        <v>5100750</v>
      </c>
      <c r="B1124" s="8">
        <v>2018</v>
      </c>
      <c r="C1124" s="8" t="s">
        <v>309</v>
      </c>
      <c r="D1124" s="8" t="s">
        <v>310</v>
      </c>
      <c r="E1124" s="8" t="s">
        <v>311</v>
      </c>
      <c r="F1124" t="s">
        <v>51</v>
      </c>
      <c r="G1124" t="s">
        <v>19</v>
      </c>
      <c r="H1124" s="13">
        <v>1838746</v>
      </c>
      <c r="I1124" s="13"/>
      <c r="J1124" s="8">
        <f t="shared" si="18"/>
        <v>1838746</v>
      </c>
      <c r="K1124" s="1"/>
      <c r="L1124" s="3"/>
    </row>
    <row r="1125" spans="1:12" x14ac:dyDescent="0.2">
      <c r="A1125">
        <v>5100750</v>
      </c>
      <c r="B1125" s="8">
        <v>2019</v>
      </c>
      <c r="C1125" s="8" t="s">
        <v>309</v>
      </c>
      <c r="D1125" s="8" t="s">
        <v>310</v>
      </c>
      <c r="E1125" s="8" t="s">
        <v>311</v>
      </c>
      <c r="F1125" t="s">
        <v>51</v>
      </c>
      <c r="G1125" t="s">
        <v>19</v>
      </c>
      <c r="H1125" s="13">
        <v>1710602</v>
      </c>
      <c r="I1125" s="13"/>
      <c r="J1125" s="8">
        <f t="shared" si="18"/>
        <v>1710602</v>
      </c>
      <c r="K1125" s="1"/>
      <c r="L1125" s="3"/>
    </row>
    <row r="1126" spans="1:12" x14ac:dyDescent="0.2">
      <c r="A1126">
        <v>5100750</v>
      </c>
      <c r="B1126" s="8">
        <v>2020</v>
      </c>
      <c r="C1126" s="8" t="s">
        <v>309</v>
      </c>
      <c r="D1126" s="8" t="s">
        <v>310</v>
      </c>
      <c r="E1126" s="8" t="s">
        <v>311</v>
      </c>
      <c r="F1126" t="s">
        <v>51</v>
      </c>
      <c r="G1126" t="s">
        <v>19</v>
      </c>
      <c r="H1126" s="13">
        <v>1744225</v>
      </c>
      <c r="I1126" s="13"/>
      <c r="J1126" s="8">
        <f t="shared" si="18"/>
        <v>1744225</v>
      </c>
      <c r="K1126" s="1"/>
      <c r="L1126" s="3"/>
    </row>
    <row r="1127" spans="1:12" x14ac:dyDescent="0.2">
      <c r="A1127">
        <v>5100750</v>
      </c>
      <c r="B1127" s="8">
        <v>2021</v>
      </c>
      <c r="C1127" s="8" t="s">
        <v>309</v>
      </c>
      <c r="D1127" s="8" t="s">
        <v>310</v>
      </c>
      <c r="E1127" s="8" t="s">
        <v>311</v>
      </c>
      <c r="F1127" t="s">
        <v>51</v>
      </c>
      <c r="G1127" t="s">
        <v>19</v>
      </c>
      <c r="H1127" s="13">
        <v>1912342</v>
      </c>
      <c r="I1127" s="13">
        <v>82919</v>
      </c>
      <c r="J1127" s="8">
        <f t="shared" si="18"/>
        <v>1995261</v>
      </c>
      <c r="K1127" s="1"/>
      <c r="L1127" s="3"/>
    </row>
    <row r="1128" spans="1:12" x14ac:dyDescent="0.2">
      <c r="A1128">
        <v>5100750</v>
      </c>
      <c r="B1128" s="8">
        <v>2022</v>
      </c>
      <c r="C1128" s="8" t="s">
        <v>309</v>
      </c>
      <c r="D1128" s="8" t="s">
        <v>310</v>
      </c>
      <c r="E1128" s="8" t="s">
        <v>311</v>
      </c>
      <c r="F1128" t="s">
        <v>51</v>
      </c>
      <c r="G1128" t="s">
        <v>19</v>
      </c>
      <c r="H1128" s="13">
        <v>4969482</v>
      </c>
      <c r="I1128" s="13">
        <v>1479820</v>
      </c>
      <c r="J1128" s="8">
        <f t="shared" si="18"/>
        <v>6449302</v>
      </c>
      <c r="K1128" s="1"/>
      <c r="L1128" s="3"/>
    </row>
    <row r="1129" spans="1:12" x14ac:dyDescent="0.2">
      <c r="A1129">
        <v>5100750</v>
      </c>
      <c r="B1129" s="8">
        <v>2023</v>
      </c>
      <c r="C1129" s="8" t="s">
        <v>309</v>
      </c>
      <c r="D1129" s="8" t="s">
        <v>310</v>
      </c>
      <c r="E1129" s="8" t="s">
        <v>311</v>
      </c>
      <c r="F1129" t="s">
        <v>51</v>
      </c>
      <c r="G1129" t="s">
        <v>19</v>
      </c>
      <c r="H1129" s="13">
        <v>3273957</v>
      </c>
      <c r="I1129" s="13">
        <v>305826</v>
      </c>
      <c r="J1129" s="8">
        <f t="shared" si="18"/>
        <v>3579783</v>
      </c>
      <c r="K1129" s="1"/>
      <c r="L1129" s="3"/>
    </row>
    <row r="1130" spans="1:12" x14ac:dyDescent="0.2">
      <c r="A1130">
        <v>5100720</v>
      </c>
      <c r="B1130" s="8">
        <v>2015</v>
      </c>
      <c r="C1130" s="8" t="s">
        <v>309</v>
      </c>
      <c r="D1130" s="8" t="s">
        <v>310</v>
      </c>
      <c r="E1130" s="8" t="s">
        <v>311</v>
      </c>
      <c r="F1130" t="s">
        <v>50</v>
      </c>
      <c r="G1130" t="s">
        <v>18</v>
      </c>
      <c r="H1130" s="13">
        <v>613498</v>
      </c>
      <c r="I1130" s="13"/>
      <c r="J1130" s="8">
        <f t="shared" si="18"/>
        <v>613498</v>
      </c>
      <c r="K1130" s="1"/>
      <c r="L1130" s="3"/>
    </row>
    <row r="1131" spans="1:12" x14ac:dyDescent="0.2">
      <c r="A1131">
        <v>5100720</v>
      </c>
      <c r="B1131" s="8">
        <v>2016</v>
      </c>
      <c r="C1131" s="8" t="s">
        <v>309</v>
      </c>
      <c r="D1131" s="8" t="s">
        <v>310</v>
      </c>
      <c r="E1131" s="8" t="s">
        <v>311</v>
      </c>
      <c r="F1131" t="s">
        <v>50</v>
      </c>
      <c r="G1131" t="s">
        <v>18</v>
      </c>
      <c r="H1131" s="13">
        <v>632109</v>
      </c>
      <c r="I1131" s="13"/>
      <c r="J1131" s="8">
        <f t="shared" si="18"/>
        <v>632109</v>
      </c>
      <c r="K1131" s="1"/>
      <c r="L1131" s="3"/>
    </row>
    <row r="1132" spans="1:12" x14ac:dyDescent="0.2">
      <c r="A1132">
        <v>5100720</v>
      </c>
      <c r="B1132" s="8">
        <v>2017</v>
      </c>
      <c r="C1132" s="8" t="s">
        <v>309</v>
      </c>
      <c r="D1132" s="8" t="s">
        <v>310</v>
      </c>
      <c r="E1132" s="8" t="s">
        <v>311</v>
      </c>
      <c r="F1132" t="s">
        <v>50</v>
      </c>
      <c r="G1132" t="s">
        <v>18</v>
      </c>
      <c r="H1132" s="13">
        <v>671742</v>
      </c>
      <c r="I1132" s="13"/>
      <c r="J1132" s="8">
        <f t="shared" si="18"/>
        <v>671742</v>
      </c>
      <c r="K1132" s="1"/>
      <c r="L1132" s="3"/>
    </row>
    <row r="1133" spans="1:12" x14ac:dyDescent="0.2">
      <c r="A1133">
        <v>5100720</v>
      </c>
      <c r="B1133" s="8">
        <v>2018</v>
      </c>
      <c r="C1133" s="8" t="s">
        <v>309</v>
      </c>
      <c r="D1133" s="8" t="s">
        <v>310</v>
      </c>
      <c r="E1133" s="8" t="s">
        <v>311</v>
      </c>
      <c r="F1133" t="s">
        <v>50</v>
      </c>
      <c r="G1133" t="s">
        <v>18</v>
      </c>
      <c r="H1133" s="13">
        <v>713390</v>
      </c>
      <c r="I1133" s="13"/>
      <c r="J1133" s="8">
        <f t="shared" si="18"/>
        <v>713390</v>
      </c>
      <c r="K1133" s="1"/>
      <c r="L1133" s="3"/>
    </row>
    <row r="1134" spans="1:12" x14ac:dyDescent="0.2">
      <c r="A1134">
        <v>5100720</v>
      </c>
      <c r="B1134" s="8">
        <v>2019</v>
      </c>
      <c r="C1134" s="8" t="s">
        <v>309</v>
      </c>
      <c r="D1134" s="8" t="s">
        <v>310</v>
      </c>
      <c r="E1134" s="8" t="s">
        <v>311</v>
      </c>
      <c r="F1134" t="s">
        <v>50</v>
      </c>
      <c r="G1134" t="s">
        <v>18</v>
      </c>
      <c r="H1134" s="13">
        <v>655188</v>
      </c>
      <c r="I1134" s="13"/>
      <c r="J1134" s="8">
        <f t="shared" si="18"/>
        <v>655188</v>
      </c>
      <c r="K1134" s="1"/>
      <c r="L1134" s="3"/>
    </row>
    <row r="1135" spans="1:12" x14ac:dyDescent="0.2">
      <c r="A1135">
        <v>5100720</v>
      </c>
      <c r="B1135" s="8">
        <v>2020</v>
      </c>
      <c r="C1135" s="8" t="s">
        <v>309</v>
      </c>
      <c r="D1135" s="8" t="s">
        <v>310</v>
      </c>
      <c r="E1135" s="8" t="s">
        <v>311</v>
      </c>
      <c r="F1135" t="s">
        <v>50</v>
      </c>
      <c r="G1135" t="s">
        <v>18</v>
      </c>
      <c r="H1135" s="13">
        <v>635678</v>
      </c>
      <c r="I1135" s="13"/>
      <c r="J1135" s="8">
        <f t="shared" si="18"/>
        <v>635678</v>
      </c>
      <c r="K1135" s="1"/>
      <c r="L1135" s="3"/>
    </row>
    <row r="1136" spans="1:12" x14ac:dyDescent="0.2">
      <c r="A1136">
        <v>5100720</v>
      </c>
      <c r="B1136" s="8">
        <v>2021</v>
      </c>
      <c r="C1136" s="8" t="s">
        <v>309</v>
      </c>
      <c r="D1136" s="8" t="s">
        <v>310</v>
      </c>
      <c r="E1136" s="8" t="s">
        <v>311</v>
      </c>
      <c r="F1136" t="s">
        <v>50</v>
      </c>
      <c r="G1136" t="s">
        <v>18</v>
      </c>
      <c r="H1136" s="13">
        <v>668543</v>
      </c>
      <c r="I1136" s="13">
        <v>28991</v>
      </c>
      <c r="J1136" s="8">
        <f t="shared" si="18"/>
        <v>697534</v>
      </c>
      <c r="K1136" s="1"/>
      <c r="L1136" s="3"/>
    </row>
    <row r="1137" spans="1:12" x14ac:dyDescent="0.2">
      <c r="A1137">
        <v>5100720</v>
      </c>
      <c r="B1137" s="8">
        <v>2022</v>
      </c>
      <c r="C1137" s="8" t="s">
        <v>309</v>
      </c>
      <c r="D1137" s="8" t="s">
        <v>310</v>
      </c>
      <c r="E1137" s="8" t="s">
        <v>311</v>
      </c>
      <c r="F1137" t="s">
        <v>50</v>
      </c>
      <c r="G1137" t="s">
        <v>18</v>
      </c>
      <c r="H1137" s="13">
        <v>638003</v>
      </c>
      <c r="I1137" s="13">
        <v>189998</v>
      </c>
      <c r="J1137" s="8">
        <f t="shared" si="18"/>
        <v>828001</v>
      </c>
      <c r="K1137" s="1"/>
      <c r="L1137" s="3"/>
    </row>
    <row r="1138" spans="1:12" x14ac:dyDescent="0.2">
      <c r="A1138">
        <v>5100720</v>
      </c>
      <c r="B1138" s="8">
        <v>2023</v>
      </c>
      <c r="C1138" s="8" t="s">
        <v>309</v>
      </c>
      <c r="D1138" s="8" t="s">
        <v>310</v>
      </c>
      <c r="E1138" s="8" t="s">
        <v>311</v>
      </c>
      <c r="F1138" t="s">
        <v>50</v>
      </c>
      <c r="G1138" t="s">
        <v>18</v>
      </c>
      <c r="H1138" s="13">
        <v>655491</v>
      </c>
      <c r="I1138" s="13">
        <v>61224</v>
      </c>
      <c r="J1138" s="8">
        <f t="shared" si="18"/>
        <v>716715</v>
      </c>
      <c r="K1138" s="1"/>
      <c r="L1138" s="3"/>
    </row>
    <row r="1139" spans="1:12" x14ac:dyDescent="0.2">
      <c r="A1139">
        <v>5100690</v>
      </c>
      <c r="B1139" s="8">
        <v>2015</v>
      </c>
      <c r="C1139" s="8" t="s">
        <v>309</v>
      </c>
      <c r="D1139" s="8" t="s">
        <v>310</v>
      </c>
      <c r="E1139" s="8" t="s">
        <v>311</v>
      </c>
      <c r="F1139" t="s">
        <v>49</v>
      </c>
      <c r="G1139" t="s">
        <v>17</v>
      </c>
      <c r="H1139" s="13">
        <v>2933199</v>
      </c>
      <c r="I1139" s="13"/>
      <c r="J1139" s="8">
        <f t="shared" si="18"/>
        <v>2933199</v>
      </c>
      <c r="K1139" s="1"/>
      <c r="L1139" s="3"/>
    </row>
    <row r="1140" spans="1:12" x14ac:dyDescent="0.2">
      <c r="A1140">
        <v>5100690</v>
      </c>
      <c r="B1140" s="8">
        <v>2016</v>
      </c>
      <c r="C1140" s="8" t="s">
        <v>309</v>
      </c>
      <c r="D1140" s="8" t="s">
        <v>310</v>
      </c>
      <c r="E1140" s="8" t="s">
        <v>311</v>
      </c>
      <c r="F1140" t="s">
        <v>49</v>
      </c>
      <c r="G1140" t="s">
        <v>17</v>
      </c>
      <c r="H1140" s="13">
        <v>2854289</v>
      </c>
      <c r="I1140" s="13"/>
      <c r="J1140" s="8">
        <f t="shared" si="18"/>
        <v>2854289</v>
      </c>
      <c r="K1140" s="1"/>
      <c r="L1140" s="3"/>
    </row>
    <row r="1141" spans="1:12" x14ac:dyDescent="0.2">
      <c r="A1141">
        <v>5100690</v>
      </c>
      <c r="B1141" s="8">
        <v>2017</v>
      </c>
      <c r="C1141" s="8" t="s">
        <v>309</v>
      </c>
      <c r="D1141" s="8" t="s">
        <v>310</v>
      </c>
      <c r="E1141" s="8" t="s">
        <v>311</v>
      </c>
      <c r="F1141" t="s">
        <v>49</v>
      </c>
      <c r="G1141" t="s">
        <v>17</v>
      </c>
      <c r="H1141" s="13">
        <v>3120833</v>
      </c>
      <c r="I1141" s="13"/>
      <c r="J1141" s="8">
        <f t="shared" si="18"/>
        <v>3120833</v>
      </c>
      <c r="K1141" s="1"/>
      <c r="L1141" s="3"/>
    </row>
    <row r="1142" spans="1:12" x14ac:dyDescent="0.2">
      <c r="A1142">
        <v>5100690</v>
      </c>
      <c r="B1142" s="8">
        <v>2018</v>
      </c>
      <c r="C1142" s="8" t="s">
        <v>309</v>
      </c>
      <c r="D1142" s="8" t="s">
        <v>310</v>
      </c>
      <c r="E1142" s="8" t="s">
        <v>311</v>
      </c>
      <c r="F1142" t="s">
        <v>49</v>
      </c>
      <c r="G1142" t="s">
        <v>17</v>
      </c>
      <c r="H1142" s="13">
        <v>3445884</v>
      </c>
      <c r="I1142" s="13"/>
      <c r="J1142" s="8">
        <f t="shared" si="18"/>
        <v>3445884</v>
      </c>
      <c r="K1142" s="1"/>
      <c r="L1142" s="3"/>
    </row>
    <row r="1143" spans="1:12" x14ac:dyDescent="0.2">
      <c r="A1143">
        <v>5100690</v>
      </c>
      <c r="B1143" s="8">
        <v>2019</v>
      </c>
      <c r="C1143" s="8" t="s">
        <v>309</v>
      </c>
      <c r="D1143" s="8" t="s">
        <v>310</v>
      </c>
      <c r="E1143" s="8" t="s">
        <v>311</v>
      </c>
      <c r="F1143" t="s">
        <v>49</v>
      </c>
      <c r="G1143" t="s">
        <v>17</v>
      </c>
      <c r="H1143" s="13">
        <v>3259708</v>
      </c>
      <c r="I1143" s="13"/>
      <c r="J1143" s="8">
        <f t="shared" si="18"/>
        <v>3259708</v>
      </c>
      <c r="K1143" s="1"/>
      <c r="L1143" s="3"/>
    </row>
    <row r="1144" spans="1:12" x14ac:dyDescent="0.2">
      <c r="A1144">
        <v>5100690</v>
      </c>
      <c r="B1144" s="8">
        <v>2020</v>
      </c>
      <c r="C1144" s="8" t="s">
        <v>309</v>
      </c>
      <c r="D1144" s="8" t="s">
        <v>310</v>
      </c>
      <c r="E1144" s="8" t="s">
        <v>311</v>
      </c>
      <c r="F1144" t="s">
        <v>49</v>
      </c>
      <c r="G1144" t="s">
        <v>17</v>
      </c>
      <c r="H1144" s="13">
        <v>3356000</v>
      </c>
      <c r="I1144" s="13"/>
      <c r="J1144" s="8">
        <f t="shared" si="18"/>
        <v>3356000</v>
      </c>
      <c r="K1144" s="1"/>
      <c r="L1144" s="3"/>
    </row>
    <row r="1145" spans="1:12" x14ac:dyDescent="0.2">
      <c r="A1145">
        <v>5100690</v>
      </c>
      <c r="B1145" s="8">
        <v>2021</v>
      </c>
      <c r="C1145" s="8" t="s">
        <v>309</v>
      </c>
      <c r="D1145" s="8" t="s">
        <v>310</v>
      </c>
      <c r="E1145" s="8" t="s">
        <v>311</v>
      </c>
      <c r="F1145" t="s">
        <v>49</v>
      </c>
      <c r="G1145" t="s">
        <v>17</v>
      </c>
      <c r="H1145" s="13">
        <v>3477251</v>
      </c>
      <c r="I1145" s="13">
        <v>150778</v>
      </c>
      <c r="J1145" s="8">
        <f t="shared" si="18"/>
        <v>3628029</v>
      </c>
      <c r="K1145" s="1"/>
      <c r="L1145" s="3"/>
    </row>
    <row r="1146" spans="1:12" x14ac:dyDescent="0.2">
      <c r="A1146">
        <v>5100690</v>
      </c>
      <c r="B1146" s="8">
        <v>2022</v>
      </c>
      <c r="C1146" s="8" t="s">
        <v>309</v>
      </c>
      <c r="D1146" s="8" t="s">
        <v>310</v>
      </c>
      <c r="E1146" s="8" t="s">
        <v>311</v>
      </c>
      <c r="F1146" t="s">
        <v>49</v>
      </c>
      <c r="G1146" t="s">
        <v>17</v>
      </c>
      <c r="H1146" s="13">
        <v>3672227</v>
      </c>
      <c r="I1146" s="13">
        <v>1093497</v>
      </c>
      <c r="J1146" s="8">
        <f t="shared" si="18"/>
        <v>4765724</v>
      </c>
      <c r="K1146" s="1"/>
      <c r="L1146" s="3"/>
    </row>
    <row r="1147" spans="1:12" x14ac:dyDescent="0.2">
      <c r="A1147">
        <v>5100690</v>
      </c>
      <c r="B1147" s="8">
        <v>2023</v>
      </c>
      <c r="C1147" s="8" t="s">
        <v>309</v>
      </c>
      <c r="D1147" s="8" t="s">
        <v>310</v>
      </c>
      <c r="E1147" s="8" t="s">
        <v>311</v>
      </c>
      <c r="F1147" t="s">
        <v>49</v>
      </c>
      <c r="G1147" t="s">
        <v>17</v>
      </c>
      <c r="H1147" s="13">
        <v>3857649</v>
      </c>
      <c r="I1147" s="13">
        <v>360355</v>
      </c>
      <c r="J1147" s="8">
        <f t="shared" si="18"/>
        <v>4218004</v>
      </c>
      <c r="K1147" s="1"/>
      <c r="L1147" s="3"/>
    </row>
    <row r="1148" spans="1:12" x14ac:dyDescent="0.2">
      <c r="A1148">
        <v>5100660</v>
      </c>
      <c r="B1148" s="8">
        <v>2015</v>
      </c>
      <c r="C1148" s="8" t="s">
        <v>309</v>
      </c>
      <c r="D1148" s="8" t="s">
        <v>310</v>
      </c>
      <c r="E1148" s="8" t="s">
        <v>311</v>
      </c>
      <c r="F1148" t="s">
        <v>48</v>
      </c>
      <c r="G1148" t="s">
        <v>16</v>
      </c>
      <c r="H1148" s="13">
        <v>2763274</v>
      </c>
      <c r="I1148" s="13"/>
      <c r="J1148" s="8">
        <f t="shared" si="18"/>
        <v>2763274</v>
      </c>
      <c r="K1148" s="1"/>
      <c r="L1148" s="3"/>
    </row>
    <row r="1149" spans="1:12" x14ac:dyDescent="0.2">
      <c r="A1149">
        <v>5100660</v>
      </c>
      <c r="B1149" s="8">
        <v>2016</v>
      </c>
      <c r="C1149" s="8" t="s">
        <v>309</v>
      </c>
      <c r="D1149" s="8" t="s">
        <v>310</v>
      </c>
      <c r="E1149" s="8" t="s">
        <v>311</v>
      </c>
      <c r="F1149" t="s">
        <v>48</v>
      </c>
      <c r="G1149" t="s">
        <v>16</v>
      </c>
      <c r="H1149" s="13">
        <v>2757902</v>
      </c>
      <c r="I1149" s="13"/>
      <c r="J1149" s="8">
        <f t="shared" si="18"/>
        <v>2757902</v>
      </c>
      <c r="K1149" s="1"/>
      <c r="L1149" s="3"/>
    </row>
    <row r="1150" spans="1:12" ht="17" customHeight="1" x14ac:dyDescent="0.2">
      <c r="A1150">
        <v>5100660</v>
      </c>
      <c r="B1150" s="8">
        <v>2017</v>
      </c>
      <c r="C1150" s="8" t="s">
        <v>309</v>
      </c>
      <c r="D1150" s="8" t="s">
        <v>310</v>
      </c>
      <c r="E1150" s="8" t="s">
        <v>311</v>
      </c>
      <c r="F1150" t="s">
        <v>48</v>
      </c>
      <c r="G1150" t="s">
        <v>16</v>
      </c>
      <c r="H1150" s="13">
        <v>2956420</v>
      </c>
      <c r="I1150" s="13"/>
      <c r="J1150" s="8">
        <f t="shared" si="18"/>
        <v>2956420</v>
      </c>
      <c r="K1150" s="1"/>
      <c r="L1150" s="3"/>
    </row>
    <row r="1151" spans="1:12" x14ac:dyDescent="0.2">
      <c r="A1151">
        <v>5100660</v>
      </c>
      <c r="B1151" s="8">
        <v>2018</v>
      </c>
      <c r="C1151" s="8" t="s">
        <v>309</v>
      </c>
      <c r="D1151" s="8" t="s">
        <v>310</v>
      </c>
      <c r="E1151" s="8" t="s">
        <v>311</v>
      </c>
      <c r="F1151" t="s">
        <v>48</v>
      </c>
      <c r="G1151" t="s">
        <v>16</v>
      </c>
      <c r="H1151" s="13">
        <v>3352395</v>
      </c>
      <c r="I1151" s="13"/>
      <c r="J1151" s="8">
        <f t="shared" si="18"/>
        <v>3352395</v>
      </c>
      <c r="K1151" s="1"/>
      <c r="L1151" s="3"/>
    </row>
    <row r="1152" spans="1:12" x14ac:dyDescent="0.2">
      <c r="A1152">
        <v>5100660</v>
      </c>
      <c r="B1152" s="8">
        <v>2019</v>
      </c>
      <c r="C1152" s="8" t="s">
        <v>309</v>
      </c>
      <c r="D1152" s="8" t="s">
        <v>310</v>
      </c>
      <c r="E1152" s="8" t="s">
        <v>311</v>
      </c>
      <c r="F1152" t="s">
        <v>48</v>
      </c>
      <c r="G1152" t="s">
        <v>16</v>
      </c>
      <c r="H1152" s="13">
        <v>3262554</v>
      </c>
      <c r="I1152" s="13"/>
      <c r="J1152" s="8">
        <f t="shared" si="18"/>
        <v>3262554</v>
      </c>
      <c r="K1152" s="1"/>
      <c r="L1152" s="3"/>
    </row>
    <row r="1153" spans="1:12" x14ac:dyDescent="0.2">
      <c r="A1153">
        <v>5100660</v>
      </c>
      <c r="B1153" s="8">
        <v>2020</v>
      </c>
      <c r="C1153" s="8" t="s">
        <v>309</v>
      </c>
      <c r="D1153" s="8" t="s">
        <v>310</v>
      </c>
      <c r="E1153" s="8" t="s">
        <v>311</v>
      </c>
      <c r="F1153" t="s">
        <v>48</v>
      </c>
      <c r="G1153" t="s">
        <v>16</v>
      </c>
      <c r="H1153" s="13">
        <v>3264607</v>
      </c>
      <c r="I1153" s="13"/>
      <c r="J1153" s="8">
        <f t="shared" si="18"/>
        <v>3264607</v>
      </c>
      <c r="K1153" s="1"/>
      <c r="L1153" s="3"/>
    </row>
    <row r="1154" spans="1:12" x14ac:dyDescent="0.2">
      <c r="A1154">
        <v>5100660</v>
      </c>
      <c r="B1154" s="8">
        <v>2021</v>
      </c>
      <c r="C1154" s="8" t="s">
        <v>309</v>
      </c>
      <c r="D1154" s="8" t="s">
        <v>310</v>
      </c>
      <c r="E1154" s="8" t="s">
        <v>311</v>
      </c>
      <c r="F1154" t="s">
        <v>48</v>
      </c>
      <c r="G1154" t="s">
        <v>16</v>
      </c>
      <c r="H1154" s="13">
        <v>3627908</v>
      </c>
      <c r="I1154" s="13">
        <v>157311</v>
      </c>
      <c r="J1154" s="8">
        <f t="shared" si="18"/>
        <v>3785219</v>
      </c>
      <c r="K1154" s="1"/>
      <c r="L1154" s="3"/>
    </row>
    <row r="1155" spans="1:12" x14ac:dyDescent="0.2">
      <c r="A1155">
        <v>5100660</v>
      </c>
      <c r="B1155" s="8">
        <v>2022</v>
      </c>
      <c r="C1155" s="8" t="s">
        <v>309</v>
      </c>
      <c r="D1155" s="8" t="s">
        <v>310</v>
      </c>
      <c r="E1155" s="8" t="s">
        <v>311</v>
      </c>
      <c r="F1155" t="s">
        <v>48</v>
      </c>
      <c r="G1155" t="s">
        <v>16</v>
      </c>
      <c r="H1155" s="13">
        <v>3754091</v>
      </c>
      <c r="I1155" s="13">
        <v>1117872</v>
      </c>
      <c r="J1155" s="8">
        <f t="shared" ref="J1155:J1218" si="19">SUM(H1155:I1155)</f>
        <v>4871963</v>
      </c>
      <c r="K1155" s="1"/>
      <c r="L1155" s="3"/>
    </row>
    <row r="1156" spans="1:12" x14ac:dyDescent="0.2">
      <c r="A1156">
        <v>5100660</v>
      </c>
      <c r="B1156" s="8">
        <v>2023</v>
      </c>
      <c r="C1156" s="8" t="s">
        <v>309</v>
      </c>
      <c r="D1156" s="8" t="s">
        <v>310</v>
      </c>
      <c r="E1156" s="8" t="s">
        <v>311</v>
      </c>
      <c r="F1156" t="s">
        <v>48</v>
      </c>
      <c r="G1156" t="s">
        <v>16</v>
      </c>
      <c r="H1156" s="13">
        <v>4085711</v>
      </c>
      <c r="I1156" s="13">
        <v>381663</v>
      </c>
      <c r="J1156" s="8">
        <f t="shared" si="19"/>
        <v>4467374</v>
      </c>
      <c r="K1156" s="1"/>
      <c r="L1156" s="3"/>
    </row>
    <row r="1157" spans="1:12" x14ac:dyDescent="0.2">
      <c r="A1157">
        <v>5100600</v>
      </c>
      <c r="B1157" s="8">
        <v>2015</v>
      </c>
      <c r="C1157" s="8" t="s">
        <v>309</v>
      </c>
      <c r="D1157" s="8" t="s">
        <v>310</v>
      </c>
      <c r="E1157" s="8" t="s">
        <v>311</v>
      </c>
      <c r="F1157" t="s">
        <v>47</v>
      </c>
      <c r="G1157" t="s">
        <v>15</v>
      </c>
      <c r="H1157" s="13">
        <v>5509393</v>
      </c>
      <c r="I1157" s="13"/>
      <c r="J1157" s="8">
        <f t="shared" si="19"/>
        <v>5509393</v>
      </c>
      <c r="K1157" s="1"/>
      <c r="L1157" s="3"/>
    </row>
    <row r="1158" spans="1:12" x14ac:dyDescent="0.2">
      <c r="A1158">
        <v>5100600</v>
      </c>
      <c r="B1158" s="8">
        <v>2016</v>
      </c>
      <c r="C1158" s="8" t="s">
        <v>309</v>
      </c>
      <c r="D1158" s="8" t="s">
        <v>310</v>
      </c>
      <c r="E1158" s="8" t="s">
        <v>311</v>
      </c>
      <c r="F1158" t="s">
        <v>47</v>
      </c>
      <c r="G1158" t="s">
        <v>15</v>
      </c>
      <c r="H1158" s="13">
        <v>5269123</v>
      </c>
      <c r="I1158" s="13"/>
      <c r="J1158" s="8">
        <f t="shared" si="19"/>
        <v>5269123</v>
      </c>
      <c r="K1158" s="1"/>
      <c r="L1158" s="3"/>
    </row>
    <row r="1159" spans="1:12" x14ac:dyDescent="0.2">
      <c r="A1159">
        <v>5100600</v>
      </c>
      <c r="B1159" s="8">
        <v>2017</v>
      </c>
      <c r="C1159" s="8" t="s">
        <v>309</v>
      </c>
      <c r="D1159" s="8" t="s">
        <v>310</v>
      </c>
      <c r="E1159" s="8" t="s">
        <v>311</v>
      </c>
      <c r="F1159" t="s">
        <v>47</v>
      </c>
      <c r="G1159" t="s">
        <v>15</v>
      </c>
      <c r="H1159" s="13">
        <v>5418663</v>
      </c>
      <c r="I1159" s="13"/>
      <c r="J1159" s="8">
        <f t="shared" si="19"/>
        <v>5418663</v>
      </c>
      <c r="K1159" s="1"/>
      <c r="L1159" s="2"/>
    </row>
    <row r="1160" spans="1:12" x14ac:dyDescent="0.2">
      <c r="A1160">
        <v>5100600</v>
      </c>
      <c r="B1160" s="8">
        <v>2018</v>
      </c>
      <c r="C1160" s="8" t="s">
        <v>309</v>
      </c>
      <c r="D1160" s="8" t="s">
        <v>310</v>
      </c>
      <c r="E1160" s="8" t="s">
        <v>311</v>
      </c>
      <c r="F1160" t="s">
        <v>47</v>
      </c>
      <c r="G1160" t="s">
        <v>15</v>
      </c>
      <c r="H1160" s="13">
        <v>6158204</v>
      </c>
      <c r="I1160" s="13"/>
      <c r="J1160" s="8">
        <f t="shared" si="19"/>
        <v>6158204</v>
      </c>
      <c r="K1160" s="1"/>
      <c r="L1160" s="3"/>
    </row>
    <row r="1161" spans="1:12" x14ac:dyDescent="0.2">
      <c r="A1161">
        <v>5100600</v>
      </c>
      <c r="B1161" s="8">
        <v>2019</v>
      </c>
      <c r="C1161" s="8" t="s">
        <v>309</v>
      </c>
      <c r="D1161" s="8" t="s">
        <v>310</v>
      </c>
      <c r="E1161" s="8" t="s">
        <v>311</v>
      </c>
      <c r="F1161" t="s">
        <v>47</v>
      </c>
      <c r="G1161" t="s">
        <v>15</v>
      </c>
      <c r="H1161" s="13">
        <v>6099823</v>
      </c>
      <c r="I1161" s="13"/>
      <c r="J1161" s="8">
        <f t="shared" si="19"/>
        <v>6099823</v>
      </c>
      <c r="K1161" s="1"/>
      <c r="L1161" s="3"/>
    </row>
    <row r="1162" spans="1:12" x14ac:dyDescent="0.2">
      <c r="A1162">
        <v>5100600</v>
      </c>
      <c r="B1162" s="8">
        <v>2020</v>
      </c>
      <c r="C1162" s="8" t="s">
        <v>309</v>
      </c>
      <c r="D1162" s="8" t="s">
        <v>310</v>
      </c>
      <c r="E1162" s="8" t="s">
        <v>311</v>
      </c>
      <c r="F1162" t="s">
        <v>47</v>
      </c>
      <c r="G1162" t="s">
        <v>15</v>
      </c>
      <c r="H1162" s="13">
        <v>6392959</v>
      </c>
      <c r="I1162" s="13"/>
      <c r="J1162" s="8">
        <f t="shared" si="19"/>
        <v>6392959</v>
      </c>
      <c r="K1162" s="1"/>
      <c r="L1162" s="3"/>
    </row>
    <row r="1163" spans="1:12" x14ac:dyDescent="0.2">
      <c r="A1163">
        <v>5100600</v>
      </c>
      <c r="B1163" s="8">
        <v>2021</v>
      </c>
      <c r="C1163" s="8" t="s">
        <v>309</v>
      </c>
      <c r="D1163" s="8" t="s">
        <v>310</v>
      </c>
      <c r="E1163" s="8" t="s">
        <v>311</v>
      </c>
      <c r="F1163" t="s">
        <v>47</v>
      </c>
      <c r="G1163" t="s">
        <v>15</v>
      </c>
      <c r="H1163" s="13">
        <v>6773781</v>
      </c>
      <c r="I1163" s="13">
        <v>293716</v>
      </c>
      <c r="J1163" s="8">
        <f t="shared" si="19"/>
        <v>7067497</v>
      </c>
      <c r="K1163" s="1"/>
      <c r="L1163" s="3"/>
    </row>
    <row r="1164" spans="1:12" x14ac:dyDescent="0.2">
      <c r="A1164">
        <v>5100600</v>
      </c>
      <c r="B1164" s="8">
        <v>2022</v>
      </c>
      <c r="C1164" s="8" t="s">
        <v>309</v>
      </c>
      <c r="D1164" s="8" t="s">
        <v>310</v>
      </c>
      <c r="E1164" s="8" t="s">
        <v>311</v>
      </c>
      <c r="F1164" t="s">
        <v>47</v>
      </c>
      <c r="G1164" t="s">
        <v>15</v>
      </c>
      <c r="H1164" s="13">
        <v>7203526</v>
      </c>
      <c r="I1164" s="13">
        <v>2145057</v>
      </c>
      <c r="J1164" s="8">
        <f t="shared" si="19"/>
        <v>9348583</v>
      </c>
      <c r="K1164" s="1"/>
      <c r="L1164" s="3"/>
    </row>
    <row r="1165" spans="1:12" x14ac:dyDescent="0.2">
      <c r="A1165">
        <v>5100600</v>
      </c>
      <c r="B1165" s="8">
        <v>2023</v>
      </c>
      <c r="C1165" s="8" t="s">
        <v>309</v>
      </c>
      <c r="D1165" s="8" t="s">
        <v>310</v>
      </c>
      <c r="E1165" s="8" t="s">
        <v>311</v>
      </c>
      <c r="F1165" t="s">
        <v>47</v>
      </c>
      <c r="G1165" t="s">
        <v>15</v>
      </c>
      <c r="H1165" s="13">
        <v>7682134</v>
      </c>
      <c r="I1165" s="13">
        <v>717614</v>
      </c>
      <c r="J1165" s="8">
        <f t="shared" si="19"/>
        <v>8399748</v>
      </c>
      <c r="K1165" s="1"/>
      <c r="L1165" s="3"/>
    </row>
    <row r="1166" spans="1:12" x14ac:dyDescent="0.2">
      <c r="A1166">
        <v>5100540</v>
      </c>
      <c r="B1166" s="8">
        <v>2015</v>
      </c>
      <c r="C1166" s="8" t="s">
        <v>309</v>
      </c>
      <c r="D1166" s="8" t="s">
        <v>310</v>
      </c>
      <c r="E1166" s="8" t="s">
        <v>311</v>
      </c>
      <c r="F1166" t="s">
        <v>46</v>
      </c>
      <c r="G1166" t="s">
        <v>14</v>
      </c>
      <c r="H1166" s="13">
        <v>1485438</v>
      </c>
      <c r="I1166" s="13"/>
      <c r="J1166" s="8">
        <f t="shared" si="19"/>
        <v>1485438</v>
      </c>
      <c r="K1166" s="1"/>
      <c r="L1166" s="3"/>
    </row>
    <row r="1167" spans="1:12" x14ac:dyDescent="0.2">
      <c r="A1167">
        <v>5100540</v>
      </c>
      <c r="B1167" s="8">
        <v>2016</v>
      </c>
      <c r="C1167" s="8" t="s">
        <v>309</v>
      </c>
      <c r="D1167" s="8" t="s">
        <v>310</v>
      </c>
      <c r="E1167" s="8" t="s">
        <v>311</v>
      </c>
      <c r="F1167" t="s">
        <v>46</v>
      </c>
      <c r="G1167" t="s">
        <v>14</v>
      </c>
      <c r="H1167" s="13">
        <v>1504400</v>
      </c>
      <c r="I1167" s="13"/>
      <c r="J1167" s="8">
        <f t="shared" si="19"/>
        <v>1504400</v>
      </c>
      <c r="K1167" s="1"/>
      <c r="L1167" s="3"/>
    </row>
    <row r="1168" spans="1:12" x14ac:dyDescent="0.2">
      <c r="A1168">
        <v>5100540</v>
      </c>
      <c r="B1168" s="8">
        <v>2017</v>
      </c>
      <c r="C1168" s="8" t="s">
        <v>309</v>
      </c>
      <c r="D1168" s="8" t="s">
        <v>310</v>
      </c>
      <c r="E1168" s="8" t="s">
        <v>311</v>
      </c>
      <c r="F1168" t="s">
        <v>46</v>
      </c>
      <c r="G1168" t="s">
        <v>14</v>
      </c>
      <c r="H1168" s="13">
        <v>1545783</v>
      </c>
      <c r="I1168" s="13"/>
      <c r="J1168" s="8">
        <f t="shared" si="19"/>
        <v>1545783</v>
      </c>
      <c r="K1168" s="1"/>
      <c r="L1168" s="3"/>
    </row>
    <row r="1169" spans="1:12" x14ac:dyDescent="0.2">
      <c r="A1169">
        <v>5100540</v>
      </c>
      <c r="B1169" s="8">
        <v>2018</v>
      </c>
      <c r="C1169" s="8" t="s">
        <v>309</v>
      </c>
      <c r="D1169" s="8" t="s">
        <v>310</v>
      </c>
      <c r="E1169" s="8" t="s">
        <v>311</v>
      </c>
      <c r="F1169" t="s">
        <v>46</v>
      </c>
      <c r="G1169" t="s">
        <v>14</v>
      </c>
      <c r="H1169" s="13">
        <v>1718757</v>
      </c>
      <c r="I1169" s="13"/>
      <c r="J1169" s="8">
        <f t="shared" si="19"/>
        <v>1718757</v>
      </c>
      <c r="K1169" s="1"/>
      <c r="L1169" s="3"/>
    </row>
    <row r="1170" spans="1:12" x14ac:dyDescent="0.2">
      <c r="A1170">
        <v>5100540</v>
      </c>
      <c r="B1170" s="8">
        <v>2019</v>
      </c>
      <c r="C1170" s="8" t="s">
        <v>309</v>
      </c>
      <c r="D1170" s="8" t="s">
        <v>310</v>
      </c>
      <c r="E1170" s="8" t="s">
        <v>311</v>
      </c>
      <c r="F1170" t="s">
        <v>46</v>
      </c>
      <c r="G1170" t="s">
        <v>14</v>
      </c>
      <c r="H1170" s="13">
        <v>1651385</v>
      </c>
      <c r="I1170" s="13"/>
      <c r="J1170" s="8">
        <f t="shared" si="19"/>
        <v>1651385</v>
      </c>
      <c r="K1170" s="1"/>
      <c r="L1170" s="3"/>
    </row>
    <row r="1171" spans="1:12" x14ac:dyDescent="0.2">
      <c r="A1171">
        <v>5100540</v>
      </c>
      <c r="B1171" s="8">
        <v>2020</v>
      </c>
      <c r="C1171" s="8" t="s">
        <v>309</v>
      </c>
      <c r="D1171" s="8" t="s">
        <v>310</v>
      </c>
      <c r="E1171" s="8" t="s">
        <v>311</v>
      </c>
      <c r="F1171" t="s">
        <v>46</v>
      </c>
      <c r="G1171" t="s">
        <v>14</v>
      </c>
      <c r="H1171" s="13">
        <v>1739502</v>
      </c>
      <c r="I1171" s="13"/>
      <c r="J1171" s="8">
        <f t="shared" si="19"/>
        <v>1739502</v>
      </c>
      <c r="K1171" s="1"/>
      <c r="L1171" s="3"/>
    </row>
    <row r="1172" spans="1:12" x14ac:dyDescent="0.2">
      <c r="A1172">
        <v>5100540</v>
      </c>
      <c r="B1172" s="8">
        <v>2021</v>
      </c>
      <c r="C1172" s="8" t="s">
        <v>309</v>
      </c>
      <c r="D1172" s="8" t="s">
        <v>310</v>
      </c>
      <c r="E1172" s="8" t="s">
        <v>311</v>
      </c>
      <c r="F1172" t="s">
        <v>46</v>
      </c>
      <c r="G1172" t="s">
        <v>14</v>
      </c>
      <c r="H1172" s="13">
        <v>1866299</v>
      </c>
      <c r="I1172" s="13">
        <v>80925</v>
      </c>
      <c r="J1172" s="8">
        <f t="shared" si="19"/>
        <v>1947224</v>
      </c>
      <c r="K1172" s="1"/>
      <c r="L1172" s="3"/>
    </row>
    <row r="1173" spans="1:12" x14ac:dyDescent="0.2">
      <c r="A1173">
        <v>5100540</v>
      </c>
      <c r="B1173" s="8">
        <v>2022</v>
      </c>
      <c r="C1173" s="8" t="s">
        <v>309</v>
      </c>
      <c r="D1173" s="8" t="s">
        <v>310</v>
      </c>
      <c r="E1173" s="8" t="s">
        <v>311</v>
      </c>
      <c r="F1173" t="s">
        <v>46</v>
      </c>
      <c r="G1173" t="s">
        <v>14</v>
      </c>
      <c r="H1173" s="13">
        <v>1980149</v>
      </c>
      <c r="I1173" s="13">
        <v>589636</v>
      </c>
      <c r="J1173" s="8">
        <f t="shared" si="19"/>
        <v>2569785</v>
      </c>
      <c r="K1173" s="1"/>
      <c r="L1173" s="3"/>
    </row>
    <row r="1174" spans="1:12" x14ac:dyDescent="0.2">
      <c r="A1174">
        <v>5100540</v>
      </c>
      <c r="B1174" s="8">
        <v>2023</v>
      </c>
      <c r="C1174" s="8" t="s">
        <v>309</v>
      </c>
      <c r="D1174" s="8" t="s">
        <v>310</v>
      </c>
      <c r="E1174" s="8" t="s">
        <v>311</v>
      </c>
      <c r="F1174" t="s">
        <v>46</v>
      </c>
      <c r="G1174" t="s">
        <v>14</v>
      </c>
      <c r="H1174" s="13">
        <v>2128917</v>
      </c>
      <c r="I1174" s="13">
        <v>198861</v>
      </c>
      <c r="J1174" s="8">
        <f t="shared" si="19"/>
        <v>2327778</v>
      </c>
      <c r="K1174" s="1"/>
      <c r="L1174" s="3"/>
    </row>
    <row r="1175" spans="1:12" x14ac:dyDescent="0.2">
      <c r="A1175">
        <v>5100510</v>
      </c>
      <c r="B1175" s="8">
        <v>2015</v>
      </c>
      <c r="C1175" s="8" t="s">
        <v>309</v>
      </c>
      <c r="D1175" s="8" t="s">
        <v>310</v>
      </c>
      <c r="E1175" s="8" t="s">
        <v>311</v>
      </c>
      <c r="F1175" t="s">
        <v>45</v>
      </c>
      <c r="G1175" t="s">
        <v>13</v>
      </c>
      <c r="H1175" s="13">
        <v>2175906</v>
      </c>
      <c r="I1175" s="13"/>
      <c r="J1175" s="8">
        <f t="shared" si="19"/>
        <v>2175906</v>
      </c>
      <c r="K1175" s="1"/>
      <c r="L1175" s="3"/>
    </row>
    <row r="1176" spans="1:12" x14ac:dyDescent="0.2">
      <c r="A1176">
        <v>5100510</v>
      </c>
      <c r="B1176" s="8">
        <v>2016</v>
      </c>
      <c r="C1176" s="8" t="s">
        <v>309</v>
      </c>
      <c r="D1176" s="8" t="s">
        <v>310</v>
      </c>
      <c r="E1176" s="8" t="s">
        <v>311</v>
      </c>
      <c r="F1176" t="s">
        <v>45</v>
      </c>
      <c r="G1176" t="s">
        <v>13</v>
      </c>
      <c r="H1176" s="13">
        <v>2057107</v>
      </c>
      <c r="I1176" s="13"/>
      <c r="J1176" s="8">
        <f t="shared" si="19"/>
        <v>2057107</v>
      </c>
      <c r="K1176" s="1"/>
      <c r="L1176" s="3"/>
    </row>
    <row r="1177" spans="1:12" x14ac:dyDescent="0.2">
      <c r="A1177">
        <v>5100510</v>
      </c>
      <c r="B1177" s="8">
        <v>2017</v>
      </c>
      <c r="C1177" s="8" t="s">
        <v>309</v>
      </c>
      <c r="D1177" s="8" t="s">
        <v>310</v>
      </c>
      <c r="E1177" s="8" t="s">
        <v>311</v>
      </c>
      <c r="F1177" t="s">
        <v>45</v>
      </c>
      <c r="G1177" t="s">
        <v>13</v>
      </c>
      <c r="H1177" s="13">
        <v>2045073</v>
      </c>
      <c r="I1177" s="13"/>
      <c r="J1177" s="8">
        <f t="shared" si="19"/>
        <v>2045073</v>
      </c>
      <c r="K1177" s="1"/>
      <c r="L1177" s="3"/>
    </row>
    <row r="1178" spans="1:12" x14ac:dyDescent="0.2">
      <c r="A1178">
        <v>5100510</v>
      </c>
      <c r="B1178" s="8">
        <v>2018</v>
      </c>
      <c r="C1178" s="8" t="s">
        <v>309</v>
      </c>
      <c r="D1178" s="8" t="s">
        <v>310</v>
      </c>
      <c r="E1178" s="8" t="s">
        <v>311</v>
      </c>
      <c r="F1178" t="s">
        <v>45</v>
      </c>
      <c r="G1178" t="s">
        <v>13</v>
      </c>
      <c r="H1178" s="13">
        <v>2223532</v>
      </c>
      <c r="I1178" s="13"/>
      <c r="J1178" s="8">
        <f t="shared" si="19"/>
        <v>2223532</v>
      </c>
      <c r="K1178" s="1"/>
      <c r="L1178" s="3"/>
    </row>
    <row r="1179" spans="1:12" x14ac:dyDescent="0.2">
      <c r="A1179">
        <v>5100510</v>
      </c>
      <c r="B1179" s="8">
        <v>2019</v>
      </c>
      <c r="C1179" s="8" t="s">
        <v>309</v>
      </c>
      <c r="D1179" s="8" t="s">
        <v>310</v>
      </c>
      <c r="E1179" s="8" t="s">
        <v>311</v>
      </c>
      <c r="F1179" t="s">
        <v>45</v>
      </c>
      <c r="G1179" t="s">
        <v>13</v>
      </c>
      <c r="H1179" s="13">
        <v>2101070</v>
      </c>
      <c r="I1179" s="13"/>
      <c r="J1179" s="8">
        <f t="shared" si="19"/>
        <v>2101070</v>
      </c>
      <c r="K1179" s="1"/>
      <c r="L1179" s="3"/>
    </row>
    <row r="1180" spans="1:12" x14ac:dyDescent="0.2">
      <c r="A1180">
        <v>5100510</v>
      </c>
      <c r="B1180" s="8">
        <v>2020</v>
      </c>
      <c r="C1180" s="8" t="s">
        <v>309</v>
      </c>
      <c r="D1180" s="8" t="s">
        <v>310</v>
      </c>
      <c r="E1180" s="8" t="s">
        <v>311</v>
      </c>
      <c r="F1180" t="s">
        <v>45</v>
      </c>
      <c r="G1180" t="s">
        <v>13</v>
      </c>
      <c r="H1180" s="13">
        <v>2102387</v>
      </c>
      <c r="I1180" s="13"/>
      <c r="J1180" s="8">
        <f t="shared" si="19"/>
        <v>2102387</v>
      </c>
      <c r="K1180" s="1"/>
      <c r="L1180" s="3"/>
    </row>
    <row r="1181" spans="1:12" x14ac:dyDescent="0.2">
      <c r="A1181">
        <v>5100510</v>
      </c>
      <c r="B1181" s="8">
        <v>2021</v>
      </c>
      <c r="C1181" s="8" t="s">
        <v>309</v>
      </c>
      <c r="D1181" s="8" t="s">
        <v>310</v>
      </c>
      <c r="E1181" s="8" t="s">
        <v>311</v>
      </c>
      <c r="F1181" t="s">
        <v>45</v>
      </c>
      <c r="G1181" t="s">
        <v>13</v>
      </c>
      <c r="H1181" s="13">
        <v>2198370</v>
      </c>
      <c r="I1181" s="13">
        <v>95323</v>
      </c>
      <c r="J1181" s="8">
        <f t="shared" si="19"/>
        <v>2293693</v>
      </c>
      <c r="K1181" s="1"/>
      <c r="L1181" s="3"/>
    </row>
    <row r="1182" spans="1:12" x14ac:dyDescent="0.2">
      <c r="A1182">
        <v>5100510</v>
      </c>
      <c r="B1182" s="8">
        <v>2022</v>
      </c>
      <c r="C1182" s="8" t="s">
        <v>309</v>
      </c>
      <c r="D1182" s="8" t="s">
        <v>310</v>
      </c>
      <c r="E1182" s="8" t="s">
        <v>311</v>
      </c>
      <c r="F1182" t="s">
        <v>45</v>
      </c>
      <c r="G1182" t="s">
        <v>13</v>
      </c>
      <c r="H1182" s="13">
        <v>2164477</v>
      </c>
      <c r="I1182" s="13">
        <v>644535</v>
      </c>
      <c r="J1182" s="8">
        <f t="shared" si="19"/>
        <v>2809012</v>
      </c>
      <c r="K1182" s="1"/>
      <c r="L1182" s="3"/>
    </row>
    <row r="1183" spans="1:12" x14ac:dyDescent="0.2">
      <c r="A1183">
        <v>5100510</v>
      </c>
      <c r="B1183" s="8">
        <v>2023</v>
      </c>
      <c r="C1183" s="8" t="s">
        <v>309</v>
      </c>
      <c r="D1183" s="8" t="s">
        <v>310</v>
      </c>
      <c r="E1183" s="8" t="s">
        <v>311</v>
      </c>
      <c r="F1183" t="s">
        <v>45</v>
      </c>
      <c r="G1183" t="s">
        <v>13</v>
      </c>
      <c r="H1183" s="13">
        <v>2289204</v>
      </c>
      <c r="I1183" s="13">
        <v>213842</v>
      </c>
      <c r="J1183" s="8">
        <f t="shared" si="19"/>
        <v>2503046</v>
      </c>
      <c r="K1183" s="1"/>
      <c r="L1183" s="3"/>
    </row>
    <row r="1184" spans="1:12" x14ac:dyDescent="0.2">
      <c r="A1184">
        <v>5100480</v>
      </c>
      <c r="B1184" s="8">
        <v>2015</v>
      </c>
      <c r="C1184" s="8" t="s">
        <v>309</v>
      </c>
      <c r="D1184" s="8" t="s">
        <v>310</v>
      </c>
      <c r="E1184" s="8" t="s">
        <v>311</v>
      </c>
      <c r="F1184" t="s">
        <v>44</v>
      </c>
      <c r="G1184" t="s">
        <v>12</v>
      </c>
      <c r="H1184" s="13">
        <v>1354182</v>
      </c>
      <c r="I1184" s="13"/>
      <c r="J1184" s="8">
        <f t="shared" si="19"/>
        <v>1354182</v>
      </c>
      <c r="K1184" s="1"/>
      <c r="L1184" s="3"/>
    </row>
    <row r="1185" spans="1:12" x14ac:dyDescent="0.2">
      <c r="A1185">
        <v>5100480</v>
      </c>
      <c r="B1185" s="8">
        <v>2016</v>
      </c>
      <c r="C1185" s="8" t="s">
        <v>309</v>
      </c>
      <c r="D1185" s="8" t="s">
        <v>310</v>
      </c>
      <c r="E1185" s="8" t="s">
        <v>311</v>
      </c>
      <c r="F1185" t="s">
        <v>44</v>
      </c>
      <c r="G1185" t="s">
        <v>12</v>
      </c>
      <c r="H1185" s="13">
        <v>1334520</v>
      </c>
      <c r="I1185" s="13"/>
      <c r="J1185" s="8">
        <f t="shared" si="19"/>
        <v>1334520</v>
      </c>
      <c r="K1185" s="1"/>
      <c r="L1185" s="3"/>
    </row>
    <row r="1186" spans="1:12" x14ac:dyDescent="0.2">
      <c r="A1186">
        <v>5100480</v>
      </c>
      <c r="B1186" s="8">
        <v>2017</v>
      </c>
      <c r="C1186" s="8" t="s">
        <v>309</v>
      </c>
      <c r="D1186" s="8" t="s">
        <v>310</v>
      </c>
      <c r="E1186" s="8" t="s">
        <v>311</v>
      </c>
      <c r="F1186" t="s">
        <v>44</v>
      </c>
      <c r="G1186" t="s">
        <v>12</v>
      </c>
      <c r="H1186" s="13">
        <v>1390937</v>
      </c>
      <c r="I1186" s="13"/>
      <c r="J1186" s="8">
        <f t="shared" si="19"/>
        <v>1390937</v>
      </c>
      <c r="K1186" s="1"/>
      <c r="L1186" s="3"/>
    </row>
    <row r="1187" spans="1:12" x14ac:dyDescent="0.2">
      <c r="A1187">
        <v>5100480</v>
      </c>
      <c r="B1187" s="8">
        <v>2018</v>
      </c>
      <c r="C1187" s="8" t="s">
        <v>309</v>
      </c>
      <c r="D1187" s="8" t="s">
        <v>310</v>
      </c>
      <c r="E1187" s="8" t="s">
        <v>311</v>
      </c>
      <c r="F1187" t="s">
        <v>44</v>
      </c>
      <c r="G1187" t="s">
        <v>12</v>
      </c>
      <c r="H1187" s="13">
        <v>1488319</v>
      </c>
      <c r="I1187" s="13"/>
      <c r="J1187" s="8">
        <f t="shared" si="19"/>
        <v>1488319</v>
      </c>
      <c r="K1187" s="1"/>
      <c r="L1187" s="3"/>
    </row>
    <row r="1188" spans="1:12" x14ac:dyDescent="0.2">
      <c r="A1188">
        <v>5100480</v>
      </c>
      <c r="B1188" s="8">
        <v>2019</v>
      </c>
      <c r="C1188" s="8" t="s">
        <v>309</v>
      </c>
      <c r="D1188" s="8" t="s">
        <v>310</v>
      </c>
      <c r="E1188" s="8" t="s">
        <v>311</v>
      </c>
      <c r="F1188" t="s">
        <v>44</v>
      </c>
      <c r="G1188" t="s">
        <v>12</v>
      </c>
      <c r="H1188" s="13">
        <v>1378861</v>
      </c>
      <c r="I1188" s="13"/>
      <c r="J1188" s="8">
        <f t="shared" si="19"/>
        <v>1378861</v>
      </c>
      <c r="K1188" s="1"/>
      <c r="L1188" s="3"/>
    </row>
    <row r="1189" spans="1:12" x14ac:dyDescent="0.2">
      <c r="A1189">
        <v>5100480</v>
      </c>
      <c r="B1189" s="8">
        <v>2020</v>
      </c>
      <c r="C1189" s="8" t="s">
        <v>309</v>
      </c>
      <c r="D1189" s="8" t="s">
        <v>310</v>
      </c>
      <c r="E1189" s="8" t="s">
        <v>311</v>
      </c>
      <c r="F1189" t="s">
        <v>44</v>
      </c>
      <c r="G1189" t="s">
        <v>12</v>
      </c>
      <c r="H1189" s="13">
        <v>1421634</v>
      </c>
      <c r="I1189" s="13"/>
      <c r="J1189" s="8">
        <f t="shared" si="19"/>
        <v>1421634</v>
      </c>
      <c r="K1189" s="1"/>
      <c r="L1189" s="3"/>
    </row>
    <row r="1190" spans="1:12" x14ac:dyDescent="0.2">
      <c r="A1190">
        <v>5100480</v>
      </c>
      <c r="B1190" s="8">
        <v>2021</v>
      </c>
      <c r="C1190" s="8" t="s">
        <v>309</v>
      </c>
      <c r="D1190" s="8" t="s">
        <v>310</v>
      </c>
      <c r="E1190" s="8" t="s">
        <v>311</v>
      </c>
      <c r="F1190" t="s">
        <v>44</v>
      </c>
      <c r="G1190" t="s">
        <v>12</v>
      </c>
      <c r="H1190" s="13">
        <v>1414941</v>
      </c>
      <c r="I1190" s="13">
        <v>61357</v>
      </c>
      <c r="J1190" s="8">
        <f t="shared" si="19"/>
        <v>1476298</v>
      </c>
      <c r="K1190" s="1"/>
      <c r="L1190" s="3"/>
    </row>
    <row r="1191" spans="1:12" x14ac:dyDescent="0.2">
      <c r="A1191">
        <v>5100480</v>
      </c>
      <c r="B1191" s="8">
        <v>2022</v>
      </c>
      <c r="C1191" s="8" t="s">
        <v>309</v>
      </c>
      <c r="D1191" s="8" t="s">
        <v>310</v>
      </c>
      <c r="E1191" s="8" t="s">
        <v>311</v>
      </c>
      <c r="F1191" t="s">
        <v>44</v>
      </c>
      <c r="G1191" t="s">
        <v>12</v>
      </c>
      <c r="H1191" s="13">
        <v>1378988</v>
      </c>
      <c r="I1191" s="13">
        <v>410653</v>
      </c>
      <c r="J1191" s="8">
        <f t="shared" si="19"/>
        <v>1789641</v>
      </c>
      <c r="K1191" s="1"/>
      <c r="L1191" s="3"/>
    </row>
    <row r="1192" spans="1:12" x14ac:dyDescent="0.2">
      <c r="A1192">
        <v>5100480</v>
      </c>
      <c r="B1192" s="8">
        <v>2023</v>
      </c>
      <c r="C1192" s="8" t="s">
        <v>309</v>
      </c>
      <c r="D1192" s="8" t="s">
        <v>310</v>
      </c>
      <c r="E1192" s="8" t="s">
        <v>311</v>
      </c>
      <c r="F1192" t="s">
        <v>44</v>
      </c>
      <c r="G1192" t="s">
        <v>12</v>
      </c>
      <c r="H1192" s="13">
        <v>1397659</v>
      </c>
      <c r="I1192" s="13">
        <v>130558</v>
      </c>
      <c r="J1192" s="8">
        <f t="shared" si="19"/>
        <v>1528217</v>
      </c>
      <c r="K1192" s="1"/>
      <c r="L1192" s="3"/>
    </row>
    <row r="1193" spans="1:12" x14ac:dyDescent="0.2">
      <c r="A1193">
        <v>5100420</v>
      </c>
      <c r="B1193" s="8">
        <v>2015</v>
      </c>
      <c r="C1193" s="8" t="s">
        <v>309</v>
      </c>
      <c r="D1193" s="8" t="s">
        <v>310</v>
      </c>
      <c r="E1193" s="8" t="s">
        <v>311</v>
      </c>
      <c r="F1193" t="s">
        <v>43</v>
      </c>
      <c r="G1193" t="s">
        <v>11</v>
      </c>
      <c r="H1193" s="13">
        <v>3788145</v>
      </c>
      <c r="I1193" s="13"/>
      <c r="J1193" s="8">
        <f t="shared" si="19"/>
        <v>3788145</v>
      </c>
      <c r="K1193" s="1"/>
      <c r="L1193" s="3"/>
    </row>
    <row r="1194" spans="1:12" x14ac:dyDescent="0.2">
      <c r="A1194">
        <v>5100420</v>
      </c>
      <c r="B1194" s="8">
        <v>2016</v>
      </c>
      <c r="C1194" s="8" t="s">
        <v>309</v>
      </c>
      <c r="D1194" s="8" t="s">
        <v>310</v>
      </c>
      <c r="E1194" s="8" t="s">
        <v>311</v>
      </c>
      <c r="F1194" t="s">
        <v>43</v>
      </c>
      <c r="G1194" t="s">
        <v>11</v>
      </c>
      <c r="H1194" s="13">
        <v>3693544</v>
      </c>
      <c r="I1194" s="13"/>
      <c r="J1194" s="8">
        <f t="shared" si="19"/>
        <v>3693544</v>
      </c>
      <c r="K1194" s="1"/>
      <c r="L1194" s="3"/>
    </row>
    <row r="1195" spans="1:12" x14ac:dyDescent="0.2">
      <c r="A1195">
        <v>5100420</v>
      </c>
      <c r="B1195" s="8">
        <v>2017</v>
      </c>
      <c r="C1195" s="8" t="s">
        <v>309</v>
      </c>
      <c r="D1195" s="8" t="s">
        <v>310</v>
      </c>
      <c r="E1195" s="8" t="s">
        <v>311</v>
      </c>
      <c r="F1195" t="s">
        <v>43</v>
      </c>
      <c r="G1195" t="s">
        <v>11</v>
      </c>
      <c r="H1195" s="13">
        <v>3907913</v>
      </c>
      <c r="I1195" s="13"/>
      <c r="J1195" s="8">
        <f t="shared" si="19"/>
        <v>3907913</v>
      </c>
      <c r="K1195" s="1"/>
      <c r="L1195" s="3"/>
    </row>
    <row r="1196" spans="1:12" x14ac:dyDescent="0.2">
      <c r="A1196">
        <v>5100420</v>
      </c>
      <c r="B1196" s="8">
        <v>2018</v>
      </c>
      <c r="C1196" s="8" t="s">
        <v>309</v>
      </c>
      <c r="D1196" s="8" t="s">
        <v>310</v>
      </c>
      <c r="E1196" s="8" t="s">
        <v>311</v>
      </c>
      <c r="F1196" t="s">
        <v>43</v>
      </c>
      <c r="G1196" t="s">
        <v>11</v>
      </c>
      <c r="H1196" s="13">
        <v>4305854</v>
      </c>
      <c r="I1196" s="13"/>
      <c r="J1196" s="8">
        <f t="shared" si="19"/>
        <v>4305854</v>
      </c>
      <c r="K1196" s="1"/>
      <c r="L1196" s="3"/>
    </row>
    <row r="1197" spans="1:12" x14ac:dyDescent="0.2">
      <c r="A1197">
        <v>5100420</v>
      </c>
      <c r="B1197" s="8">
        <v>2019</v>
      </c>
      <c r="C1197" s="8" t="s">
        <v>309</v>
      </c>
      <c r="D1197" s="8" t="s">
        <v>310</v>
      </c>
      <c r="E1197" s="8" t="s">
        <v>311</v>
      </c>
      <c r="F1197" t="s">
        <v>43</v>
      </c>
      <c r="G1197" t="s">
        <v>11</v>
      </c>
      <c r="H1197" s="13">
        <v>4268700</v>
      </c>
      <c r="I1197" s="13"/>
      <c r="J1197" s="8">
        <f t="shared" si="19"/>
        <v>4268700</v>
      </c>
      <c r="K1197" s="1"/>
      <c r="L1197" s="3"/>
    </row>
    <row r="1198" spans="1:12" x14ac:dyDescent="0.2">
      <c r="A1198">
        <v>5100420</v>
      </c>
      <c r="B1198" s="8">
        <v>2020</v>
      </c>
      <c r="C1198" s="8" t="s">
        <v>309</v>
      </c>
      <c r="D1198" s="8" t="s">
        <v>310</v>
      </c>
      <c r="E1198" s="8" t="s">
        <v>311</v>
      </c>
      <c r="F1198" t="s">
        <v>43</v>
      </c>
      <c r="G1198" t="s">
        <v>11</v>
      </c>
      <c r="H1198" s="13">
        <v>4393394</v>
      </c>
      <c r="I1198" s="13"/>
      <c r="J1198" s="8">
        <f t="shared" si="19"/>
        <v>4393394</v>
      </c>
      <c r="K1198" s="1"/>
      <c r="L1198" s="3"/>
    </row>
    <row r="1199" spans="1:12" x14ac:dyDescent="0.2">
      <c r="A1199">
        <v>5100420</v>
      </c>
      <c r="B1199" s="8">
        <v>2021</v>
      </c>
      <c r="C1199" s="8" t="s">
        <v>309</v>
      </c>
      <c r="D1199" s="8" t="s">
        <v>310</v>
      </c>
      <c r="E1199" s="8" t="s">
        <v>311</v>
      </c>
      <c r="F1199" t="s">
        <v>43</v>
      </c>
      <c r="G1199" t="s">
        <v>11</v>
      </c>
      <c r="H1199" s="13">
        <v>4540818</v>
      </c>
      <c r="I1199" s="13">
        <v>196897</v>
      </c>
      <c r="J1199" s="8">
        <f t="shared" si="19"/>
        <v>4737715</v>
      </c>
      <c r="K1199" s="1"/>
      <c r="L1199" s="3"/>
    </row>
    <row r="1200" spans="1:12" x14ac:dyDescent="0.2">
      <c r="A1200">
        <v>5100420</v>
      </c>
      <c r="B1200" s="8">
        <v>2022</v>
      </c>
      <c r="C1200" s="8" t="s">
        <v>309</v>
      </c>
      <c r="D1200" s="8" t="s">
        <v>310</v>
      </c>
      <c r="E1200" s="8" t="s">
        <v>311</v>
      </c>
      <c r="F1200" t="s">
        <v>43</v>
      </c>
      <c r="G1200" t="s">
        <v>11</v>
      </c>
      <c r="H1200" s="13">
        <v>4715240</v>
      </c>
      <c r="I1200" s="13">
        <v>1404086</v>
      </c>
      <c r="J1200" s="8">
        <f t="shared" si="19"/>
        <v>6119326</v>
      </c>
      <c r="K1200" s="1"/>
      <c r="L1200" s="3"/>
    </row>
    <row r="1201" spans="1:12" x14ac:dyDescent="0.2">
      <c r="A1201">
        <v>5100420</v>
      </c>
      <c r="B1201" s="8">
        <v>2023</v>
      </c>
      <c r="C1201" s="8" t="s">
        <v>309</v>
      </c>
      <c r="D1201" s="8" t="s">
        <v>310</v>
      </c>
      <c r="E1201" s="8" t="s">
        <v>311</v>
      </c>
      <c r="F1201" t="s">
        <v>43</v>
      </c>
      <c r="G1201" t="s">
        <v>11</v>
      </c>
      <c r="H1201" s="13">
        <v>4963835</v>
      </c>
      <c r="I1201" s="13">
        <v>463679</v>
      </c>
      <c r="J1201" s="8">
        <f t="shared" si="19"/>
        <v>5427514</v>
      </c>
      <c r="K1201" s="1"/>
      <c r="L1201" s="3"/>
    </row>
    <row r="1202" spans="1:12" x14ac:dyDescent="0.2">
      <c r="A1202">
        <v>5100390</v>
      </c>
      <c r="B1202" s="8">
        <v>2015</v>
      </c>
      <c r="C1202" s="8" t="s">
        <v>309</v>
      </c>
      <c r="D1202" s="8" t="s">
        <v>310</v>
      </c>
      <c r="E1202" s="8" t="s">
        <v>311</v>
      </c>
      <c r="F1202" t="s">
        <v>42</v>
      </c>
      <c r="G1202" t="s">
        <v>10</v>
      </c>
      <c r="H1202" s="13">
        <v>566316</v>
      </c>
      <c r="I1202" s="13"/>
      <c r="J1202" s="8">
        <f t="shared" si="19"/>
        <v>566316</v>
      </c>
      <c r="K1202" s="1"/>
      <c r="L1202" s="3"/>
    </row>
    <row r="1203" spans="1:12" x14ac:dyDescent="0.2">
      <c r="A1203">
        <v>5100390</v>
      </c>
      <c r="B1203" s="8">
        <v>2016</v>
      </c>
      <c r="C1203" s="8" t="s">
        <v>309</v>
      </c>
      <c r="D1203" s="8" t="s">
        <v>310</v>
      </c>
      <c r="E1203" s="8" t="s">
        <v>311</v>
      </c>
      <c r="F1203" t="s">
        <v>42</v>
      </c>
      <c r="G1203" t="s">
        <v>10</v>
      </c>
      <c r="H1203" s="13">
        <v>520472</v>
      </c>
      <c r="I1203" s="13"/>
      <c r="J1203" s="8">
        <f t="shared" si="19"/>
        <v>520472</v>
      </c>
      <c r="K1203" s="1"/>
      <c r="L1203" s="3"/>
    </row>
    <row r="1204" spans="1:12" x14ac:dyDescent="0.2">
      <c r="A1204">
        <v>5100390</v>
      </c>
      <c r="B1204" s="8">
        <v>2017</v>
      </c>
      <c r="C1204" s="8" t="s">
        <v>309</v>
      </c>
      <c r="D1204" s="8" t="s">
        <v>310</v>
      </c>
      <c r="E1204" s="8" t="s">
        <v>311</v>
      </c>
      <c r="F1204" t="s">
        <v>42</v>
      </c>
      <c r="G1204" t="s">
        <v>10</v>
      </c>
      <c r="H1204" s="13">
        <v>562122</v>
      </c>
      <c r="I1204" s="13"/>
      <c r="J1204" s="8">
        <f t="shared" si="19"/>
        <v>562122</v>
      </c>
      <c r="K1204" s="1"/>
      <c r="L1204" s="3"/>
    </row>
    <row r="1205" spans="1:12" x14ac:dyDescent="0.2">
      <c r="A1205">
        <v>5100390</v>
      </c>
      <c r="B1205" s="8">
        <v>2018</v>
      </c>
      <c r="C1205" s="8" t="s">
        <v>309</v>
      </c>
      <c r="D1205" s="8" t="s">
        <v>310</v>
      </c>
      <c r="E1205" s="8" t="s">
        <v>311</v>
      </c>
      <c r="F1205" t="s">
        <v>42</v>
      </c>
      <c r="G1205" t="s">
        <v>10</v>
      </c>
      <c r="H1205" s="13">
        <v>573637</v>
      </c>
      <c r="I1205" s="13"/>
      <c r="J1205" s="8">
        <f t="shared" si="19"/>
        <v>573637</v>
      </c>
      <c r="K1205" s="1"/>
      <c r="L1205" s="3"/>
    </row>
    <row r="1206" spans="1:12" x14ac:dyDescent="0.2">
      <c r="A1206">
        <v>5100390</v>
      </c>
      <c r="B1206" s="8">
        <v>2019</v>
      </c>
      <c r="C1206" s="8" t="s">
        <v>309</v>
      </c>
      <c r="D1206" s="8" t="s">
        <v>310</v>
      </c>
      <c r="E1206" s="8" t="s">
        <v>311</v>
      </c>
      <c r="F1206" t="s">
        <v>42</v>
      </c>
      <c r="G1206" t="s">
        <v>10</v>
      </c>
      <c r="H1206" s="13">
        <v>535709</v>
      </c>
      <c r="I1206" s="13"/>
      <c r="J1206" s="8">
        <f t="shared" si="19"/>
        <v>535709</v>
      </c>
      <c r="K1206" s="1"/>
      <c r="L1206" s="3"/>
    </row>
    <row r="1207" spans="1:12" x14ac:dyDescent="0.2">
      <c r="A1207">
        <v>5100390</v>
      </c>
      <c r="B1207" s="8">
        <v>2020</v>
      </c>
      <c r="C1207" s="8" t="s">
        <v>309</v>
      </c>
      <c r="D1207" s="8" t="s">
        <v>310</v>
      </c>
      <c r="E1207" s="8" t="s">
        <v>311</v>
      </c>
      <c r="F1207" t="s">
        <v>42</v>
      </c>
      <c r="G1207" t="s">
        <v>10</v>
      </c>
      <c r="H1207" s="13">
        <v>551169</v>
      </c>
      <c r="I1207" s="13"/>
      <c r="J1207" s="8">
        <f t="shared" si="19"/>
        <v>551169</v>
      </c>
      <c r="K1207" s="1"/>
      <c r="L1207" s="3"/>
    </row>
    <row r="1208" spans="1:12" x14ac:dyDescent="0.2">
      <c r="A1208">
        <v>5100390</v>
      </c>
      <c r="B1208" s="8">
        <v>2021</v>
      </c>
      <c r="C1208" s="8" t="s">
        <v>309</v>
      </c>
      <c r="D1208" s="8" t="s">
        <v>310</v>
      </c>
      <c r="E1208" s="8" t="s">
        <v>311</v>
      </c>
      <c r="F1208" t="s">
        <v>42</v>
      </c>
      <c r="G1208" t="s">
        <v>10</v>
      </c>
      <c r="H1208" s="13">
        <v>605008</v>
      </c>
      <c r="I1208" s="13">
        <v>26231</v>
      </c>
      <c r="J1208" s="8">
        <f t="shared" si="19"/>
        <v>631239</v>
      </c>
      <c r="K1208" s="1"/>
      <c r="L1208" s="3"/>
    </row>
    <row r="1209" spans="1:12" x14ac:dyDescent="0.2">
      <c r="A1209">
        <v>5100390</v>
      </c>
      <c r="B1209" s="8">
        <v>2022</v>
      </c>
      <c r="C1209" s="8" t="s">
        <v>309</v>
      </c>
      <c r="D1209" s="8" t="s">
        <v>310</v>
      </c>
      <c r="E1209" s="8" t="s">
        <v>311</v>
      </c>
      <c r="F1209" t="s">
        <v>42</v>
      </c>
      <c r="G1209" t="s">
        <v>10</v>
      </c>
      <c r="H1209" s="13">
        <v>644159</v>
      </c>
      <c r="I1209" s="13">
        <v>191812</v>
      </c>
      <c r="J1209" s="8">
        <f t="shared" si="19"/>
        <v>835971</v>
      </c>
      <c r="K1209" s="1"/>
      <c r="L1209" s="3"/>
    </row>
    <row r="1210" spans="1:12" x14ac:dyDescent="0.2">
      <c r="A1210">
        <v>5100390</v>
      </c>
      <c r="B1210" s="8">
        <v>2023</v>
      </c>
      <c r="C1210" s="8" t="s">
        <v>309</v>
      </c>
      <c r="D1210" s="8" t="s">
        <v>310</v>
      </c>
      <c r="E1210" s="8" t="s">
        <v>311</v>
      </c>
      <c r="F1210" t="s">
        <v>42</v>
      </c>
      <c r="G1210" t="s">
        <v>10</v>
      </c>
      <c r="H1210" s="13">
        <v>657996</v>
      </c>
      <c r="I1210" s="13">
        <v>61460</v>
      </c>
      <c r="J1210" s="8">
        <f t="shared" si="19"/>
        <v>719456</v>
      </c>
      <c r="K1210" s="1"/>
      <c r="L1210" s="3"/>
    </row>
    <row r="1211" spans="1:12" x14ac:dyDescent="0.2">
      <c r="A1211">
        <v>5100360</v>
      </c>
      <c r="B1211" s="8">
        <v>2015</v>
      </c>
      <c r="C1211" s="8" t="s">
        <v>309</v>
      </c>
      <c r="D1211" s="8" t="s">
        <v>310</v>
      </c>
      <c r="E1211" s="8" t="s">
        <v>311</v>
      </c>
      <c r="F1211" t="s">
        <v>41</v>
      </c>
      <c r="G1211" t="s">
        <v>9</v>
      </c>
      <c r="H1211" s="13">
        <v>6724158</v>
      </c>
      <c r="I1211" s="13"/>
      <c r="J1211" s="8">
        <f t="shared" si="19"/>
        <v>6724158</v>
      </c>
      <c r="K1211" s="1"/>
      <c r="L1211" s="3"/>
    </row>
    <row r="1212" spans="1:12" x14ac:dyDescent="0.2">
      <c r="A1212">
        <v>5100360</v>
      </c>
      <c r="B1212" s="8">
        <v>2016</v>
      </c>
      <c r="C1212" s="8" t="s">
        <v>309</v>
      </c>
      <c r="D1212" s="8" t="s">
        <v>310</v>
      </c>
      <c r="E1212" s="8" t="s">
        <v>311</v>
      </c>
      <c r="F1212" t="s">
        <v>41</v>
      </c>
      <c r="G1212" t="s">
        <v>9</v>
      </c>
      <c r="H1212" s="13">
        <v>6752285</v>
      </c>
      <c r="I1212" s="13"/>
      <c r="J1212" s="8">
        <f t="shared" si="19"/>
        <v>6752285</v>
      </c>
      <c r="K1212" s="1"/>
      <c r="L1212" s="3"/>
    </row>
    <row r="1213" spans="1:12" x14ac:dyDescent="0.2">
      <c r="A1213">
        <v>5100360</v>
      </c>
      <c r="B1213" s="8">
        <v>2017</v>
      </c>
      <c r="C1213" s="8" t="s">
        <v>309</v>
      </c>
      <c r="D1213" s="8" t="s">
        <v>310</v>
      </c>
      <c r="E1213" s="8" t="s">
        <v>311</v>
      </c>
      <c r="F1213" t="s">
        <v>41</v>
      </c>
      <c r="G1213" t="s">
        <v>9</v>
      </c>
      <c r="H1213" s="13">
        <v>6961826</v>
      </c>
      <c r="I1213" s="13"/>
      <c r="J1213" s="8">
        <f t="shared" si="19"/>
        <v>6961826</v>
      </c>
      <c r="K1213" s="1"/>
      <c r="L1213" s="3"/>
    </row>
    <row r="1214" spans="1:12" x14ac:dyDescent="0.2">
      <c r="A1214">
        <v>5100360</v>
      </c>
      <c r="B1214" s="8">
        <v>2018</v>
      </c>
      <c r="C1214" s="8" t="s">
        <v>309</v>
      </c>
      <c r="D1214" s="8" t="s">
        <v>310</v>
      </c>
      <c r="E1214" s="8" t="s">
        <v>311</v>
      </c>
      <c r="F1214" t="s">
        <v>41</v>
      </c>
      <c r="G1214" t="s">
        <v>9</v>
      </c>
      <c r="H1214" s="13">
        <v>8024883</v>
      </c>
      <c r="I1214" s="13"/>
      <c r="J1214" s="8">
        <f t="shared" si="19"/>
        <v>8024883</v>
      </c>
      <c r="K1214" s="1"/>
      <c r="L1214" s="3"/>
    </row>
    <row r="1215" spans="1:12" x14ac:dyDescent="0.2">
      <c r="A1215">
        <v>5100360</v>
      </c>
      <c r="B1215" s="8">
        <v>2019</v>
      </c>
      <c r="C1215" s="8" t="s">
        <v>309</v>
      </c>
      <c r="D1215" s="8" t="s">
        <v>310</v>
      </c>
      <c r="E1215" s="8" t="s">
        <v>311</v>
      </c>
      <c r="F1215" t="s">
        <v>41</v>
      </c>
      <c r="G1215" t="s">
        <v>9</v>
      </c>
      <c r="H1215" s="13">
        <v>7967770</v>
      </c>
      <c r="I1215" s="13"/>
      <c r="J1215" s="8">
        <f t="shared" si="19"/>
        <v>7967770</v>
      </c>
      <c r="K1215" s="1"/>
      <c r="L1215" s="3"/>
    </row>
    <row r="1216" spans="1:12" x14ac:dyDescent="0.2">
      <c r="A1216">
        <v>5100360</v>
      </c>
      <c r="B1216" s="8">
        <v>2020</v>
      </c>
      <c r="C1216" s="8" t="s">
        <v>309</v>
      </c>
      <c r="D1216" s="8" t="s">
        <v>310</v>
      </c>
      <c r="E1216" s="8" t="s">
        <v>311</v>
      </c>
      <c r="F1216" t="s">
        <v>41</v>
      </c>
      <c r="G1216" t="s">
        <v>9</v>
      </c>
      <c r="H1216" s="13">
        <v>8166050</v>
      </c>
      <c r="I1216" s="13"/>
      <c r="J1216" s="8">
        <f t="shared" si="19"/>
        <v>8166050</v>
      </c>
      <c r="K1216" s="1"/>
      <c r="L1216" s="3"/>
    </row>
    <row r="1217" spans="1:12" x14ac:dyDescent="0.2">
      <c r="A1217">
        <v>5100360</v>
      </c>
      <c r="B1217" s="8">
        <v>2021</v>
      </c>
      <c r="C1217" s="8" t="s">
        <v>309</v>
      </c>
      <c r="D1217" s="8" t="s">
        <v>310</v>
      </c>
      <c r="E1217" s="8" t="s">
        <v>311</v>
      </c>
      <c r="F1217" t="s">
        <v>41</v>
      </c>
      <c r="G1217" t="s">
        <v>9</v>
      </c>
      <c r="H1217" s="13">
        <v>8610986</v>
      </c>
      <c r="I1217" s="13">
        <v>373384</v>
      </c>
      <c r="J1217" s="8">
        <f t="shared" si="19"/>
        <v>8984370</v>
      </c>
      <c r="K1217" s="1"/>
      <c r="L1217" s="3"/>
    </row>
    <row r="1218" spans="1:12" x14ac:dyDescent="0.2">
      <c r="A1218">
        <v>5100360</v>
      </c>
      <c r="B1218" s="8">
        <v>2022</v>
      </c>
      <c r="C1218" s="8" t="s">
        <v>309</v>
      </c>
      <c r="D1218" s="8" t="s">
        <v>310</v>
      </c>
      <c r="E1218" s="8" t="s">
        <v>311</v>
      </c>
      <c r="F1218" t="s">
        <v>41</v>
      </c>
      <c r="G1218" t="s">
        <v>9</v>
      </c>
      <c r="H1218" s="13">
        <v>8905168</v>
      </c>
      <c r="I1218" s="13">
        <v>2651749</v>
      </c>
      <c r="J1218" s="8">
        <f t="shared" si="19"/>
        <v>11556917</v>
      </c>
      <c r="K1218" s="1"/>
      <c r="L1218" s="3"/>
    </row>
    <row r="1219" spans="1:12" x14ac:dyDescent="0.2">
      <c r="A1219">
        <v>5100360</v>
      </c>
      <c r="B1219" s="8">
        <v>2023</v>
      </c>
      <c r="C1219" s="8" t="s">
        <v>309</v>
      </c>
      <c r="D1219" s="8" t="s">
        <v>310</v>
      </c>
      <c r="E1219" s="8" t="s">
        <v>311</v>
      </c>
      <c r="F1219" t="s">
        <v>41</v>
      </c>
      <c r="G1219" t="s">
        <v>9</v>
      </c>
      <c r="H1219" s="13">
        <v>9360508</v>
      </c>
      <c r="I1219" s="13">
        <v>874391</v>
      </c>
      <c r="J1219" s="8">
        <f t="shared" ref="J1219:J1282" si="20">SUM(H1219:I1219)</f>
        <v>10234899</v>
      </c>
      <c r="K1219" s="1"/>
      <c r="L1219" s="3"/>
    </row>
    <row r="1220" spans="1:12" x14ac:dyDescent="0.2">
      <c r="A1220">
        <v>5100330</v>
      </c>
      <c r="B1220" s="8">
        <v>2015</v>
      </c>
      <c r="C1220" s="8" t="s">
        <v>309</v>
      </c>
      <c r="D1220" s="8" t="s">
        <v>310</v>
      </c>
      <c r="E1220" s="8" t="s">
        <v>311</v>
      </c>
      <c r="F1220" t="s">
        <v>40</v>
      </c>
      <c r="G1220" t="s">
        <v>8</v>
      </c>
      <c r="H1220" s="13">
        <v>660048</v>
      </c>
      <c r="I1220" s="13"/>
      <c r="J1220" s="8">
        <f t="shared" si="20"/>
        <v>660048</v>
      </c>
      <c r="K1220" s="1"/>
      <c r="L1220" s="3"/>
    </row>
    <row r="1221" spans="1:12" x14ac:dyDescent="0.2">
      <c r="A1221">
        <v>5100330</v>
      </c>
      <c r="B1221" s="8">
        <v>2016</v>
      </c>
      <c r="C1221" s="8" t="s">
        <v>309</v>
      </c>
      <c r="D1221" s="8" t="s">
        <v>310</v>
      </c>
      <c r="E1221" s="8" t="s">
        <v>311</v>
      </c>
      <c r="F1221" t="s">
        <v>40</v>
      </c>
      <c r="G1221" t="s">
        <v>8</v>
      </c>
      <c r="H1221" s="13">
        <v>642494</v>
      </c>
      <c r="I1221" s="13"/>
      <c r="J1221" s="8">
        <f t="shared" si="20"/>
        <v>642494</v>
      </c>
      <c r="K1221" s="1"/>
      <c r="L1221" s="3"/>
    </row>
    <row r="1222" spans="1:12" x14ac:dyDescent="0.2">
      <c r="A1222">
        <v>5100330</v>
      </c>
      <c r="B1222" s="8">
        <v>2017</v>
      </c>
      <c r="C1222" s="8" t="s">
        <v>309</v>
      </c>
      <c r="D1222" s="8" t="s">
        <v>310</v>
      </c>
      <c r="E1222" s="8" t="s">
        <v>311</v>
      </c>
      <c r="F1222" t="s">
        <v>40</v>
      </c>
      <c r="G1222" t="s">
        <v>8</v>
      </c>
      <c r="H1222" s="13">
        <v>668530</v>
      </c>
      <c r="I1222" s="13"/>
      <c r="J1222" s="8">
        <f t="shared" si="20"/>
        <v>668530</v>
      </c>
      <c r="K1222" s="1"/>
      <c r="L1222" s="3"/>
    </row>
    <row r="1223" spans="1:12" x14ac:dyDescent="0.2">
      <c r="A1223">
        <v>5100330</v>
      </c>
      <c r="B1223" s="8">
        <v>2018</v>
      </c>
      <c r="C1223" s="8" t="s">
        <v>309</v>
      </c>
      <c r="D1223" s="8" t="s">
        <v>310</v>
      </c>
      <c r="E1223" s="8" t="s">
        <v>311</v>
      </c>
      <c r="F1223" t="s">
        <v>40</v>
      </c>
      <c r="G1223" t="s">
        <v>8</v>
      </c>
      <c r="H1223" s="13">
        <v>735754</v>
      </c>
      <c r="I1223" s="13"/>
      <c r="J1223" s="8">
        <f t="shared" si="20"/>
        <v>735754</v>
      </c>
      <c r="K1223" s="1"/>
      <c r="L1223" s="3"/>
    </row>
    <row r="1224" spans="1:12" x14ac:dyDescent="0.2">
      <c r="A1224">
        <v>5100330</v>
      </c>
      <c r="B1224" s="8">
        <v>2019</v>
      </c>
      <c r="C1224" s="8" t="s">
        <v>309</v>
      </c>
      <c r="D1224" s="8" t="s">
        <v>310</v>
      </c>
      <c r="E1224" s="8" t="s">
        <v>311</v>
      </c>
      <c r="F1224" t="s">
        <v>40</v>
      </c>
      <c r="G1224" t="s">
        <v>8</v>
      </c>
      <c r="H1224" s="13">
        <v>696997</v>
      </c>
      <c r="I1224" s="13"/>
      <c r="J1224" s="8">
        <f t="shared" si="20"/>
        <v>696997</v>
      </c>
      <c r="K1224" s="1"/>
      <c r="L1224" s="3"/>
    </row>
    <row r="1225" spans="1:12" x14ac:dyDescent="0.2">
      <c r="A1225">
        <v>5100330</v>
      </c>
      <c r="B1225" s="8">
        <v>2020</v>
      </c>
      <c r="C1225" s="8" t="s">
        <v>309</v>
      </c>
      <c r="D1225" s="8" t="s">
        <v>310</v>
      </c>
      <c r="E1225" s="8" t="s">
        <v>311</v>
      </c>
      <c r="F1225" t="s">
        <v>40</v>
      </c>
      <c r="G1225" t="s">
        <v>8</v>
      </c>
      <c r="H1225" s="13">
        <v>702573</v>
      </c>
      <c r="I1225" s="13"/>
      <c r="J1225" s="8">
        <f t="shared" si="20"/>
        <v>702573</v>
      </c>
      <c r="K1225" s="1"/>
      <c r="L1225" s="3"/>
    </row>
    <row r="1226" spans="1:12" x14ac:dyDescent="0.2">
      <c r="A1226">
        <v>5100330</v>
      </c>
      <c r="B1226" s="8">
        <v>2021</v>
      </c>
      <c r="C1226" s="8" t="s">
        <v>309</v>
      </c>
      <c r="D1226" s="8" t="s">
        <v>310</v>
      </c>
      <c r="E1226" s="8" t="s">
        <v>311</v>
      </c>
      <c r="F1226" t="s">
        <v>40</v>
      </c>
      <c r="G1226" t="s">
        <v>8</v>
      </c>
      <c r="H1226" s="13">
        <v>727755</v>
      </c>
      <c r="I1226" s="13">
        <v>31555</v>
      </c>
      <c r="J1226" s="8">
        <f t="shared" si="20"/>
        <v>759310</v>
      </c>
      <c r="K1226" s="1"/>
      <c r="L1226" s="3"/>
    </row>
    <row r="1227" spans="1:12" x14ac:dyDescent="0.2">
      <c r="A1227">
        <v>5100330</v>
      </c>
      <c r="B1227" s="8">
        <v>2022</v>
      </c>
      <c r="C1227" s="8" t="s">
        <v>309</v>
      </c>
      <c r="D1227" s="8" t="s">
        <v>310</v>
      </c>
      <c r="E1227" s="8" t="s">
        <v>311</v>
      </c>
      <c r="F1227" t="s">
        <v>40</v>
      </c>
      <c r="G1227" t="s">
        <v>8</v>
      </c>
      <c r="H1227" s="13">
        <v>734928</v>
      </c>
      <c r="I1227" s="13">
        <v>218841</v>
      </c>
      <c r="J1227" s="8">
        <f t="shared" si="20"/>
        <v>953769</v>
      </c>
      <c r="K1227" s="1"/>
      <c r="L1227" s="3"/>
    </row>
    <row r="1228" spans="1:12" x14ac:dyDescent="0.2">
      <c r="A1228">
        <v>5100330</v>
      </c>
      <c r="B1228" s="8">
        <v>2023</v>
      </c>
      <c r="C1228" s="8" t="s">
        <v>309</v>
      </c>
      <c r="D1228" s="8" t="s">
        <v>310</v>
      </c>
      <c r="E1228" s="8" t="s">
        <v>311</v>
      </c>
      <c r="F1228" t="s">
        <v>40</v>
      </c>
      <c r="G1228" t="s">
        <v>8</v>
      </c>
      <c r="H1228" s="13">
        <v>765925</v>
      </c>
      <c r="I1228" s="13">
        <v>71546</v>
      </c>
      <c r="J1228" s="8">
        <f t="shared" si="20"/>
        <v>837471</v>
      </c>
      <c r="K1228" s="1"/>
      <c r="L1228" s="3"/>
    </row>
    <row r="1229" spans="1:12" x14ac:dyDescent="0.2">
      <c r="A1229">
        <v>5100300</v>
      </c>
      <c r="B1229" s="8">
        <v>2015</v>
      </c>
      <c r="C1229" s="8" t="s">
        <v>309</v>
      </c>
      <c r="D1229" s="8" t="s">
        <v>310</v>
      </c>
      <c r="E1229" s="8" t="s">
        <v>311</v>
      </c>
      <c r="F1229" t="s">
        <v>39</v>
      </c>
      <c r="G1229" t="s">
        <v>7</v>
      </c>
      <c r="H1229" s="13">
        <v>8064922</v>
      </c>
      <c r="I1229" s="13"/>
      <c r="J1229" s="8">
        <f t="shared" si="20"/>
        <v>8064922</v>
      </c>
      <c r="K1229" s="1"/>
      <c r="L1229" s="3"/>
    </row>
    <row r="1230" spans="1:12" x14ac:dyDescent="0.2">
      <c r="A1230">
        <v>5100300</v>
      </c>
      <c r="B1230" s="8">
        <v>2016</v>
      </c>
      <c r="C1230" s="8" t="s">
        <v>309</v>
      </c>
      <c r="D1230" s="8" t="s">
        <v>310</v>
      </c>
      <c r="E1230" s="8" t="s">
        <v>311</v>
      </c>
      <c r="F1230" t="s">
        <v>39</v>
      </c>
      <c r="G1230" t="s">
        <v>7</v>
      </c>
      <c r="H1230" s="13">
        <v>7779214</v>
      </c>
      <c r="I1230" s="13"/>
      <c r="J1230" s="8">
        <f t="shared" si="20"/>
        <v>7779214</v>
      </c>
      <c r="K1230" s="1"/>
      <c r="L1230" s="3"/>
    </row>
    <row r="1231" spans="1:12" x14ac:dyDescent="0.2">
      <c r="A1231">
        <v>5100300</v>
      </c>
      <c r="B1231" s="8">
        <v>2017</v>
      </c>
      <c r="C1231" s="8" t="s">
        <v>309</v>
      </c>
      <c r="D1231" s="8" t="s">
        <v>310</v>
      </c>
      <c r="E1231" s="8" t="s">
        <v>311</v>
      </c>
      <c r="F1231" t="s">
        <v>39</v>
      </c>
      <c r="G1231" t="s">
        <v>7</v>
      </c>
      <c r="H1231" s="13">
        <v>8350365</v>
      </c>
      <c r="I1231" s="13"/>
      <c r="J1231" s="8">
        <f t="shared" si="20"/>
        <v>8350365</v>
      </c>
      <c r="K1231" s="1"/>
      <c r="L1231" s="3"/>
    </row>
    <row r="1232" spans="1:12" x14ac:dyDescent="0.2">
      <c r="A1232">
        <v>5100300</v>
      </c>
      <c r="B1232" s="8">
        <v>2018</v>
      </c>
      <c r="C1232" s="8" t="s">
        <v>309</v>
      </c>
      <c r="D1232" s="8" t="s">
        <v>310</v>
      </c>
      <c r="E1232" s="8" t="s">
        <v>311</v>
      </c>
      <c r="F1232" t="s">
        <v>39</v>
      </c>
      <c r="G1232" t="s">
        <v>7</v>
      </c>
      <c r="H1232" s="13">
        <v>9227799</v>
      </c>
      <c r="I1232" s="13"/>
      <c r="J1232" s="8">
        <f t="shared" si="20"/>
        <v>9227799</v>
      </c>
      <c r="K1232" s="1"/>
      <c r="L1232" s="3"/>
    </row>
    <row r="1233" spans="1:12" x14ac:dyDescent="0.2">
      <c r="A1233">
        <v>5100300</v>
      </c>
      <c r="B1233" s="8">
        <v>2019</v>
      </c>
      <c r="C1233" s="8" t="s">
        <v>309</v>
      </c>
      <c r="D1233" s="8" t="s">
        <v>310</v>
      </c>
      <c r="E1233" s="8" t="s">
        <v>311</v>
      </c>
      <c r="F1233" t="s">
        <v>39</v>
      </c>
      <c r="G1233" t="s">
        <v>7</v>
      </c>
      <c r="H1233" s="13">
        <v>9055663</v>
      </c>
      <c r="I1233" s="13"/>
      <c r="J1233" s="8">
        <f t="shared" si="20"/>
        <v>9055663</v>
      </c>
      <c r="K1233" s="1"/>
      <c r="L1233" s="3"/>
    </row>
    <row r="1234" spans="1:12" x14ac:dyDescent="0.2">
      <c r="A1234">
        <v>5100300</v>
      </c>
      <c r="B1234" s="8">
        <v>2020</v>
      </c>
      <c r="C1234" s="8" t="s">
        <v>309</v>
      </c>
      <c r="D1234" s="8" t="s">
        <v>310</v>
      </c>
      <c r="E1234" s="8" t="s">
        <v>311</v>
      </c>
      <c r="F1234" t="s">
        <v>39</v>
      </c>
      <c r="G1234" t="s">
        <v>7</v>
      </c>
      <c r="H1234" s="13">
        <v>9300598</v>
      </c>
      <c r="I1234" s="13"/>
      <c r="J1234" s="8">
        <f t="shared" si="20"/>
        <v>9300598</v>
      </c>
      <c r="K1234" s="1"/>
      <c r="L1234" s="3"/>
    </row>
    <row r="1235" spans="1:12" x14ac:dyDescent="0.2">
      <c r="A1235">
        <v>5100300</v>
      </c>
      <c r="B1235" s="8">
        <v>2021</v>
      </c>
      <c r="C1235" s="8" t="s">
        <v>309</v>
      </c>
      <c r="D1235" s="8" t="s">
        <v>310</v>
      </c>
      <c r="E1235" s="8" t="s">
        <v>311</v>
      </c>
      <c r="F1235" t="s">
        <v>39</v>
      </c>
      <c r="G1235" t="s">
        <v>7</v>
      </c>
      <c r="H1235" s="13">
        <v>9741603</v>
      </c>
      <c r="I1235" s="13">
        <v>422411</v>
      </c>
      <c r="J1235" s="8">
        <f t="shared" si="20"/>
        <v>10164014</v>
      </c>
      <c r="K1235" s="1"/>
      <c r="L1235" s="3"/>
    </row>
    <row r="1236" spans="1:12" x14ac:dyDescent="0.2">
      <c r="A1236">
        <v>5100300</v>
      </c>
      <c r="B1236" s="8">
        <v>2022</v>
      </c>
      <c r="C1236" s="8" t="s">
        <v>309</v>
      </c>
      <c r="D1236" s="8" t="s">
        <v>310</v>
      </c>
      <c r="E1236" s="8" t="s">
        <v>311</v>
      </c>
      <c r="F1236" t="s">
        <v>39</v>
      </c>
      <c r="G1236" t="s">
        <v>7</v>
      </c>
      <c r="H1236" s="13">
        <v>10194064</v>
      </c>
      <c r="I1236" s="13">
        <v>3035595</v>
      </c>
      <c r="J1236" s="8">
        <f t="shared" si="20"/>
        <v>13229659</v>
      </c>
      <c r="K1236" s="1"/>
      <c r="L1236" s="3"/>
    </row>
    <row r="1237" spans="1:12" x14ac:dyDescent="0.2">
      <c r="A1237">
        <v>5100300</v>
      </c>
      <c r="B1237" s="8">
        <v>2023</v>
      </c>
      <c r="C1237" s="8" t="s">
        <v>309</v>
      </c>
      <c r="D1237" s="8" t="s">
        <v>310</v>
      </c>
      <c r="E1237" s="8" t="s">
        <v>311</v>
      </c>
      <c r="F1237" t="s">
        <v>39</v>
      </c>
      <c r="G1237" t="s">
        <v>7</v>
      </c>
      <c r="H1237" s="13">
        <v>11118034</v>
      </c>
      <c r="I1237" s="13">
        <v>1038569</v>
      </c>
      <c r="J1237" s="8">
        <f t="shared" si="20"/>
        <v>12156603</v>
      </c>
      <c r="K1237" s="1"/>
      <c r="L1237" s="3"/>
    </row>
    <row r="1238" spans="1:12" x14ac:dyDescent="0.2">
      <c r="A1238">
        <v>5100270</v>
      </c>
      <c r="B1238" s="8">
        <v>2015</v>
      </c>
      <c r="C1238" s="8" t="s">
        <v>309</v>
      </c>
      <c r="D1238" s="8" t="s">
        <v>310</v>
      </c>
      <c r="E1238" s="8" t="s">
        <v>311</v>
      </c>
      <c r="F1238" t="s">
        <v>38</v>
      </c>
      <c r="G1238" t="s">
        <v>6</v>
      </c>
      <c r="H1238" s="13">
        <v>37835814</v>
      </c>
      <c r="I1238" s="13"/>
      <c r="J1238" s="8">
        <f t="shared" si="20"/>
        <v>37835814</v>
      </c>
      <c r="K1238" s="1"/>
      <c r="L1238" s="3"/>
    </row>
    <row r="1239" spans="1:12" x14ac:dyDescent="0.2">
      <c r="A1239">
        <v>5100270</v>
      </c>
      <c r="B1239" s="8">
        <v>2016</v>
      </c>
      <c r="C1239" s="8" t="s">
        <v>309</v>
      </c>
      <c r="D1239" s="8" t="s">
        <v>310</v>
      </c>
      <c r="E1239" s="8" t="s">
        <v>311</v>
      </c>
      <c r="F1239" t="s">
        <v>38</v>
      </c>
      <c r="G1239" t="s">
        <v>6</v>
      </c>
      <c r="H1239" s="13">
        <v>38030415</v>
      </c>
      <c r="I1239" s="13"/>
      <c r="J1239" s="8">
        <f t="shared" si="20"/>
        <v>38030415</v>
      </c>
      <c r="K1239" s="1"/>
      <c r="L1239" s="3"/>
    </row>
    <row r="1240" spans="1:12" x14ac:dyDescent="0.2">
      <c r="A1240">
        <v>5100270</v>
      </c>
      <c r="B1240" s="8">
        <v>2017</v>
      </c>
      <c r="C1240" s="8" t="s">
        <v>309</v>
      </c>
      <c r="D1240" s="8" t="s">
        <v>310</v>
      </c>
      <c r="E1240" s="8" t="s">
        <v>311</v>
      </c>
      <c r="F1240" t="s">
        <v>38</v>
      </c>
      <c r="G1240" t="s">
        <v>6</v>
      </c>
      <c r="H1240" s="13">
        <v>41229265</v>
      </c>
      <c r="I1240" s="13"/>
      <c r="J1240" s="8">
        <f t="shared" si="20"/>
        <v>41229265</v>
      </c>
      <c r="K1240" s="1"/>
      <c r="L1240" s="3"/>
    </row>
    <row r="1241" spans="1:12" x14ac:dyDescent="0.2">
      <c r="A1241">
        <v>5100270</v>
      </c>
      <c r="B1241" s="8">
        <v>2018</v>
      </c>
      <c r="C1241" s="8" t="s">
        <v>309</v>
      </c>
      <c r="D1241" s="8" t="s">
        <v>310</v>
      </c>
      <c r="E1241" s="8" t="s">
        <v>311</v>
      </c>
      <c r="F1241" t="s">
        <v>38</v>
      </c>
      <c r="G1241" t="s">
        <v>6</v>
      </c>
      <c r="H1241" s="13">
        <v>47952349</v>
      </c>
      <c r="I1241" s="13"/>
      <c r="J1241" s="8">
        <f t="shared" si="20"/>
        <v>47952349</v>
      </c>
      <c r="K1241" s="1"/>
      <c r="L1241" s="3"/>
    </row>
    <row r="1242" spans="1:12" x14ac:dyDescent="0.2">
      <c r="A1242">
        <v>5100270</v>
      </c>
      <c r="B1242" s="8">
        <v>2019</v>
      </c>
      <c r="C1242" s="8" t="s">
        <v>309</v>
      </c>
      <c r="D1242" s="8" t="s">
        <v>310</v>
      </c>
      <c r="E1242" s="8" t="s">
        <v>311</v>
      </c>
      <c r="F1242" t="s">
        <v>38</v>
      </c>
      <c r="G1242" t="s">
        <v>6</v>
      </c>
      <c r="H1242" s="13">
        <v>47253709</v>
      </c>
      <c r="I1242" s="13"/>
      <c r="J1242" s="8">
        <f t="shared" si="20"/>
        <v>47253709</v>
      </c>
      <c r="K1242" s="1"/>
      <c r="L1242" s="3"/>
    </row>
    <row r="1243" spans="1:12" x14ac:dyDescent="0.2">
      <c r="A1243">
        <v>5100270</v>
      </c>
      <c r="B1243" s="8">
        <v>2020</v>
      </c>
      <c r="C1243" s="8" t="s">
        <v>309</v>
      </c>
      <c r="D1243" s="8" t="s">
        <v>310</v>
      </c>
      <c r="E1243" s="8" t="s">
        <v>311</v>
      </c>
      <c r="F1243" t="s">
        <v>38</v>
      </c>
      <c r="G1243" t="s">
        <v>6</v>
      </c>
      <c r="H1243" s="13">
        <v>48738280</v>
      </c>
      <c r="I1243" s="13"/>
      <c r="J1243" s="8">
        <f t="shared" si="20"/>
        <v>48738280</v>
      </c>
      <c r="K1243" s="1"/>
      <c r="L1243" s="3"/>
    </row>
    <row r="1244" spans="1:12" x14ac:dyDescent="0.2">
      <c r="A1244">
        <v>5100270</v>
      </c>
      <c r="B1244" s="8">
        <v>2021</v>
      </c>
      <c r="C1244" s="8" t="s">
        <v>309</v>
      </c>
      <c r="D1244" s="8" t="s">
        <v>310</v>
      </c>
      <c r="E1244" s="8" t="s">
        <v>311</v>
      </c>
      <c r="F1244" t="s">
        <v>38</v>
      </c>
      <c r="G1244" t="s">
        <v>6</v>
      </c>
      <c r="H1244" s="13">
        <v>50932896</v>
      </c>
      <c r="I1244" s="13">
        <v>2208510</v>
      </c>
      <c r="J1244" s="8">
        <f t="shared" si="20"/>
        <v>53141406</v>
      </c>
      <c r="K1244" s="1"/>
      <c r="L1244" s="3"/>
    </row>
    <row r="1245" spans="1:12" x14ac:dyDescent="0.2">
      <c r="A1245">
        <v>5100270</v>
      </c>
      <c r="B1245" s="8">
        <v>2022</v>
      </c>
      <c r="C1245" s="8" t="s">
        <v>309</v>
      </c>
      <c r="D1245" s="8" t="s">
        <v>310</v>
      </c>
      <c r="E1245" s="8" t="s">
        <v>311</v>
      </c>
      <c r="F1245" t="s">
        <v>38</v>
      </c>
      <c r="G1245" t="s">
        <v>6</v>
      </c>
      <c r="H1245" s="13">
        <v>51959377</v>
      </c>
      <c r="I1245" s="13">
        <v>15472415</v>
      </c>
      <c r="J1245" s="8">
        <f t="shared" si="20"/>
        <v>67431792</v>
      </c>
      <c r="K1245" s="1"/>
      <c r="L1245" s="3"/>
    </row>
    <row r="1246" spans="1:12" x14ac:dyDescent="0.2">
      <c r="A1246">
        <v>5100270</v>
      </c>
      <c r="B1246" s="8">
        <v>2023</v>
      </c>
      <c r="C1246" s="8" t="s">
        <v>309</v>
      </c>
      <c r="D1246" s="8" t="s">
        <v>310</v>
      </c>
      <c r="E1246" s="8" t="s">
        <v>311</v>
      </c>
      <c r="F1246" t="s">
        <v>38</v>
      </c>
      <c r="G1246" t="s">
        <v>6</v>
      </c>
      <c r="H1246" s="13">
        <v>57699731</v>
      </c>
      <c r="I1246" s="13">
        <v>5389879</v>
      </c>
      <c r="J1246" s="8">
        <f t="shared" si="20"/>
        <v>63089610</v>
      </c>
      <c r="K1246" s="1"/>
      <c r="L1246" s="3"/>
    </row>
    <row r="1247" spans="1:12" x14ac:dyDescent="0.2">
      <c r="A1247">
        <v>5100240</v>
      </c>
      <c r="B1247" s="8">
        <v>2015</v>
      </c>
      <c r="C1247" s="8" t="s">
        <v>309</v>
      </c>
      <c r="D1247" s="8" t="s">
        <v>310</v>
      </c>
      <c r="E1247" s="8" t="s">
        <v>311</v>
      </c>
      <c r="F1247" t="s">
        <v>37</v>
      </c>
      <c r="G1247" t="s">
        <v>5</v>
      </c>
      <c r="H1247" s="13">
        <v>1497409</v>
      </c>
      <c r="I1247" s="13"/>
      <c r="J1247" s="8">
        <f t="shared" si="20"/>
        <v>1497409</v>
      </c>
      <c r="K1247" s="1"/>
      <c r="L1247" s="3"/>
    </row>
    <row r="1248" spans="1:12" x14ac:dyDescent="0.2">
      <c r="A1248">
        <v>5100240</v>
      </c>
      <c r="B1248" s="8">
        <v>2016</v>
      </c>
      <c r="C1248" s="8" t="s">
        <v>309</v>
      </c>
      <c r="D1248" s="8" t="s">
        <v>310</v>
      </c>
      <c r="E1248" s="8" t="s">
        <v>311</v>
      </c>
      <c r="F1248" t="s">
        <v>37</v>
      </c>
      <c r="G1248" t="s">
        <v>5</v>
      </c>
      <c r="H1248" s="13">
        <v>1448349</v>
      </c>
      <c r="I1248" s="13"/>
      <c r="J1248" s="8">
        <f t="shared" si="20"/>
        <v>1448349</v>
      </c>
      <c r="K1248" s="1"/>
      <c r="L1248" s="3"/>
    </row>
    <row r="1249" spans="1:12" x14ac:dyDescent="0.2">
      <c r="A1249">
        <v>5100240</v>
      </c>
      <c r="B1249" s="8">
        <v>2017</v>
      </c>
      <c r="C1249" s="8" t="s">
        <v>309</v>
      </c>
      <c r="D1249" s="8" t="s">
        <v>310</v>
      </c>
      <c r="E1249" s="8" t="s">
        <v>311</v>
      </c>
      <c r="F1249" t="s">
        <v>37</v>
      </c>
      <c r="G1249" t="s">
        <v>5</v>
      </c>
      <c r="H1249" s="13">
        <v>1581020</v>
      </c>
      <c r="I1249" s="13"/>
      <c r="J1249" s="8">
        <f t="shared" si="20"/>
        <v>1581020</v>
      </c>
      <c r="K1249" s="1"/>
      <c r="L1249" s="3"/>
    </row>
    <row r="1250" spans="1:12" x14ac:dyDescent="0.2">
      <c r="A1250">
        <v>5100240</v>
      </c>
      <c r="B1250" s="8">
        <v>2018</v>
      </c>
      <c r="C1250" s="8" t="s">
        <v>309</v>
      </c>
      <c r="D1250" s="8" t="s">
        <v>310</v>
      </c>
      <c r="E1250" s="8" t="s">
        <v>311</v>
      </c>
      <c r="F1250" t="s">
        <v>37</v>
      </c>
      <c r="G1250" t="s">
        <v>5</v>
      </c>
      <c r="H1250" s="13">
        <v>1805306</v>
      </c>
      <c r="I1250" s="13"/>
      <c r="J1250" s="8">
        <f t="shared" si="20"/>
        <v>1805306</v>
      </c>
      <c r="K1250" s="1"/>
      <c r="L1250" s="3"/>
    </row>
    <row r="1251" spans="1:12" x14ac:dyDescent="0.2">
      <c r="A1251">
        <v>5100240</v>
      </c>
      <c r="B1251" s="8">
        <v>2019</v>
      </c>
      <c r="C1251" s="8" t="s">
        <v>309</v>
      </c>
      <c r="D1251" s="8" t="s">
        <v>310</v>
      </c>
      <c r="E1251" s="8" t="s">
        <v>311</v>
      </c>
      <c r="F1251" t="s">
        <v>37</v>
      </c>
      <c r="G1251" t="s">
        <v>5</v>
      </c>
      <c r="H1251" s="13">
        <v>1731624</v>
      </c>
      <c r="I1251" s="13"/>
      <c r="J1251" s="8">
        <f t="shared" si="20"/>
        <v>1731624</v>
      </c>
      <c r="K1251" s="1"/>
      <c r="L1251" s="3"/>
    </row>
    <row r="1252" spans="1:12" x14ac:dyDescent="0.2">
      <c r="A1252">
        <v>5100240</v>
      </c>
      <c r="B1252" s="8">
        <v>2020</v>
      </c>
      <c r="C1252" s="8" t="s">
        <v>309</v>
      </c>
      <c r="D1252" s="8" t="s">
        <v>310</v>
      </c>
      <c r="E1252" s="8" t="s">
        <v>311</v>
      </c>
      <c r="F1252" t="s">
        <v>37</v>
      </c>
      <c r="G1252" t="s">
        <v>5</v>
      </c>
      <c r="H1252" s="13">
        <v>1773070</v>
      </c>
      <c r="I1252" s="13"/>
      <c r="J1252" s="8">
        <f t="shared" si="20"/>
        <v>1773070</v>
      </c>
      <c r="K1252" s="1"/>
      <c r="L1252" s="3"/>
    </row>
    <row r="1253" spans="1:12" x14ac:dyDescent="0.2">
      <c r="A1253">
        <v>5100240</v>
      </c>
      <c r="B1253" s="8">
        <v>2021</v>
      </c>
      <c r="C1253" s="8" t="s">
        <v>309</v>
      </c>
      <c r="D1253" s="8" t="s">
        <v>310</v>
      </c>
      <c r="E1253" s="8" t="s">
        <v>311</v>
      </c>
      <c r="F1253" t="s">
        <v>37</v>
      </c>
      <c r="G1253" t="s">
        <v>5</v>
      </c>
      <c r="H1253" s="13">
        <v>1887412</v>
      </c>
      <c r="I1253" s="13">
        <v>81839</v>
      </c>
      <c r="J1253" s="8">
        <f t="shared" si="20"/>
        <v>1969251</v>
      </c>
      <c r="K1253" s="1"/>
      <c r="L1253" s="3"/>
    </row>
    <row r="1254" spans="1:12" x14ac:dyDescent="0.2">
      <c r="A1254">
        <v>5100240</v>
      </c>
      <c r="B1254" s="8">
        <v>2022</v>
      </c>
      <c r="C1254" s="8" t="s">
        <v>309</v>
      </c>
      <c r="D1254" s="8" t="s">
        <v>310</v>
      </c>
      <c r="E1254" s="8" t="s">
        <v>311</v>
      </c>
      <c r="F1254" t="s">
        <v>37</v>
      </c>
      <c r="G1254" t="s">
        <v>5</v>
      </c>
      <c r="H1254" s="13">
        <v>2094416</v>
      </c>
      <c r="I1254" s="13">
        <v>623655</v>
      </c>
      <c r="J1254" s="8">
        <f t="shared" si="20"/>
        <v>2718071</v>
      </c>
      <c r="K1254" s="1"/>
      <c r="L1254" s="3"/>
    </row>
    <row r="1255" spans="1:12" x14ac:dyDescent="0.2">
      <c r="A1255">
        <v>5100240</v>
      </c>
      <c r="B1255" s="8">
        <v>2023</v>
      </c>
      <c r="C1255" s="8" t="s">
        <v>309</v>
      </c>
      <c r="D1255" s="8" t="s">
        <v>310</v>
      </c>
      <c r="E1255" s="8" t="s">
        <v>311</v>
      </c>
      <c r="F1255" t="s">
        <v>37</v>
      </c>
      <c r="G1255" t="s">
        <v>5</v>
      </c>
      <c r="H1255" s="13">
        <v>2208196</v>
      </c>
      <c r="I1255" s="13">
        <v>206278</v>
      </c>
      <c r="J1255" s="8">
        <f t="shared" si="20"/>
        <v>2414474</v>
      </c>
      <c r="K1255" s="1"/>
      <c r="L1255" s="3"/>
    </row>
    <row r="1256" spans="1:12" x14ac:dyDescent="0.2">
      <c r="A1256">
        <v>5100210</v>
      </c>
      <c r="B1256" s="8">
        <v>2015</v>
      </c>
      <c r="C1256" s="8" t="s">
        <v>309</v>
      </c>
      <c r="D1256" s="8" t="s">
        <v>310</v>
      </c>
      <c r="E1256" s="8" t="s">
        <v>311</v>
      </c>
      <c r="F1256" t="s">
        <v>36</v>
      </c>
      <c r="G1256" t="s">
        <v>4</v>
      </c>
      <c r="H1256" s="13">
        <v>3351804</v>
      </c>
      <c r="I1256" s="13"/>
      <c r="J1256" s="8">
        <f t="shared" si="20"/>
        <v>3351804</v>
      </c>
      <c r="K1256" s="1"/>
      <c r="L1256" s="3"/>
    </row>
    <row r="1257" spans="1:12" x14ac:dyDescent="0.2">
      <c r="A1257">
        <v>5100210</v>
      </c>
      <c r="B1257" s="8">
        <v>2016</v>
      </c>
      <c r="C1257" s="8" t="s">
        <v>309</v>
      </c>
      <c r="D1257" s="8" t="s">
        <v>310</v>
      </c>
      <c r="E1257" s="8" t="s">
        <v>311</v>
      </c>
      <c r="F1257" t="s">
        <v>36</v>
      </c>
      <c r="G1257" t="s">
        <v>4</v>
      </c>
      <c r="H1257" s="13">
        <v>3316888</v>
      </c>
      <c r="I1257" s="13"/>
      <c r="J1257" s="8">
        <f t="shared" si="20"/>
        <v>3316888</v>
      </c>
      <c r="K1257" s="1"/>
      <c r="L1257" s="3"/>
    </row>
    <row r="1258" spans="1:12" x14ac:dyDescent="0.2">
      <c r="A1258">
        <v>5100210</v>
      </c>
      <c r="B1258" s="8">
        <v>2017</v>
      </c>
      <c r="C1258" s="8" t="s">
        <v>309</v>
      </c>
      <c r="D1258" s="8" t="s">
        <v>310</v>
      </c>
      <c r="E1258" s="8" t="s">
        <v>311</v>
      </c>
      <c r="F1258" t="s">
        <v>36</v>
      </c>
      <c r="G1258" t="s">
        <v>4</v>
      </c>
      <c r="H1258" s="13">
        <v>3357315</v>
      </c>
      <c r="I1258" s="13"/>
      <c r="J1258" s="8">
        <f t="shared" si="20"/>
        <v>3357315</v>
      </c>
      <c r="K1258" s="1"/>
      <c r="L1258" s="3"/>
    </row>
    <row r="1259" spans="1:12" x14ac:dyDescent="0.2">
      <c r="A1259">
        <v>5100210</v>
      </c>
      <c r="B1259" s="8">
        <v>2018</v>
      </c>
      <c r="C1259" s="8" t="s">
        <v>309</v>
      </c>
      <c r="D1259" s="8" t="s">
        <v>310</v>
      </c>
      <c r="E1259" s="8" t="s">
        <v>311</v>
      </c>
      <c r="F1259" t="s">
        <v>36</v>
      </c>
      <c r="G1259" t="s">
        <v>4</v>
      </c>
      <c r="H1259" s="13">
        <v>3695911</v>
      </c>
      <c r="I1259" s="13"/>
      <c r="J1259" s="8">
        <f t="shared" si="20"/>
        <v>3695911</v>
      </c>
      <c r="K1259" s="1"/>
      <c r="L1259" s="3"/>
    </row>
    <row r="1260" spans="1:12" x14ac:dyDescent="0.2">
      <c r="A1260">
        <v>5100210</v>
      </c>
      <c r="B1260" s="8">
        <v>2019</v>
      </c>
      <c r="C1260" s="8" t="s">
        <v>309</v>
      </c>
      <c r="D1260" s="8" t="s">
        <v>310</v>
      </c>
      <c r="E1260" s="8" t="s">
        <v>311</v>
      </c>
      <c r="F1260" t="s">
        <v>36</v>
      </c>
      <c r="G1260" t="s">
        <v>4</v>
      </c>
      <c r="H1260" s="13">
        <v>3642767</v>
      </c>
      <c r="I1260" s="13"/>
      <c r="J1260" s="8">
        <f t="shared" si="20"/>
        <v>3642767</v>
      </c>
      <c r="K1260" s="1"/>
      <c r="L1260" s="3"/>
    </row>
    <row r="1261" spans="1:12" x14ac:dyDescent="0.2">
      <c r="A1261">
        <v>5100210</v>
      </c>
      <c r="B1261" s="8">
        <v>2020</v>
      </c>
      <c r="C1261" s="8" t="s">
        <v>309</v>
      </c>
      <c r="D1261" s="8" t="s">
        <v>310</v>
      </c>
      <c r="E1261" s="8" t="s">
        <v>311</v>
      </c>
      <c r="F1261" t="s">
        <v>36</v>
      </c>
      <c r="G1261" t="s">
        <v>4</v>
      </c>
      <c r="H1261" s="13">
        <v>3836338</v>
      </c>
      <c r="I1261" s="13"/>
      <c r="J1261" s="8">
        <f t="shared" si="20"/>
        <v>3836338</v>
      </c>
      <c r="K1261" s="1"/>
      <c r="L1261" s="3"/>
    </row>
    <row r="1262" spans="1:12" x14ac:dyDescent="0.2">
      <c r="A1262">
        <v>5100210</v>
      </c>
      <c r="B1262" s="8">
        <v>2021</v>
      </c>
      <c r="C1262" s="8" t="s">
        <v>309</v>
      </c>
      <c r="D1262" s="8" t="s">
        <v>310</v>
      </c>
      <c r="E1262" s="8" t="s">
        <v>311</v>
      </c>
      <c r="F1262" t="s">
        <v>36</v>
      </c>
      <c r="G1262" t="s">
        <v>4</v>
      </c>
      <c r="H1262" s="13">
        <v>4090894</v>
      </c>
      <c r="I1262" s="13">
        <v>177383</v>
      </c>
      <c r="J1262" s="8">
        <f t="shared" si="20"/>
        <v>4268277</v>
      </c>
      <c r="K1262" s="1"/>
      <c r="L1262" s="3"/>
    </row>
    <row r="1263" spans="1:12" x14ac:dyDescent="0.2">
      <c r="A1263">
        <v>5100210</v>
      </c>
      <c r="B1263" s="8">
        <v>2022</v>
      </c>
      <c r="C1263" s="8" t="s">
        <v>309</v>
      </c>
      <c r="D1263" s="8" t="s">
        <v>310</v>
      </c>
      <c r="E1263" s="8" t="s">
        <v>311</v>
      </c>
      <c r="F1263" t="s">
        <v>36</v>
      </c>
      <c r="G1263" t="s">
        <v>4</v>
      </c>
      <c r="H1263" s="13">
        <v>4297566</v>
      </c>
      <c r="I1263" s="13">
        <v>1279735</v>
      </c>
      <c r="J1263" s="8">
        <f t="shared" si="20"/>
        <v>5577301</v>
      </c>
      <c r="K1263" s="1"/>
      <c r="L1263" s="3"/>
    </row>
    <row r="1264" spans="1:12" x14ac:dyDescent="0.2">
      <c r="A1264">
        <v>5100210</v>
      </c>
      <c r="B1264" s="8">
        <v>2023</v>
      </c>
      <c r="C1264" s="8" t="s">
        <v>309</v>
      </c>
      <c r="D1264" s="8" t="s">
        <v>310</v>
      </c>
      <c r="E1264" s="8" t="s">
        <v>311</v>
      </c>
      <c r="F1264" t="s">
        <v>36</v>
      </c>
      <c r="G1264" t="s">
        <v>4</v>
      </c>
      <c r="H1264" s="13">
        <v>4515887</v>
      </c>
      <c r="I1264" s="13">
        <v>421845</v>
      </c>
      <c r="J1264" s="8">
        <f t="shared" si="20"/>
        <v>4937732</v>
      </c>
      <c r="K1264" s="1"/>
      <c r="L1264" s="3"/>
    </row>
    <row r="1265" spans="1:12" x14ac:dyDescent="0.2">
      <c r="A1265">
        <v>5100180</v>
      </c>
      <c r="B1265" s="8">
        <v>2015</v>
      </c>
      <c r="C1265" s="8" t="s">
        <v>309</v>
      </c>
      <c r="D1265" s="8" t="s">
        <v>310</v>
      </c>
      <c r="E1265" s="8" t="s">
        <v>311</v>
      </c>
      <c r="F1265" t="s">
        <v>35</v>
      </c>
      <c r="G1265" t="s">
        <v>3</v>
      </c>
      <c r="H1265" s="13">
        <v>1190051</v>
      </c>
      <c r="I1265" s="13"/>
      <c r="J1265" s="8">
        <f t="shared" si="20"/>
        <v>1190051</v>
      </c>
      <c r="K1265" s="1"/>
      <c r="L1265" s="3"/>
    </row>
    <row r="1266" spans="1:12" x14ac:dyDescent="0.2">
      <c r="A1266">
        <v>5100180</v>
      </c>
      <c r="B1266" s="8">
        <v>2016</v>
      </c>
      <c r="C1266" s="8" t="s">
        <v>309</v>
      </c>
      <c r="D1266" s="8" t="s">
        <v>310</v>
      </c>
      <c r="E1266" s="8" t="s">
        <v>311</v>
      </c>
      <c r="F1266" t="s">
        <v>35</v>
      </c>
      <c r="G1266" t="s">
        <v>3</v>
      </c>
      <c r="H1266" s="13">
        <v>1159745</v>
      </c>
      <c r="I1266" s="13"/>
      <c r="J1266" s="8">
        <f t="shared" si="20"/>
        <v>1159745</v>
      </c>
      <c r="K1266" s="1"/>
      <c r="L1266" s="3"/>
    </row>
    <row r="1267" spans="1:12" x14ac:dyDescent="0.2">
      <c r="A1267">
        <v>5100180</v>
      </c>
      <c r="B1267" s="8">
        <v>2017</v>
      </c>
      <c r="C1267" s="8" t="s">
        <v>309</v>
      </c>
      <c r="D1267" s="8" t="s">
        <v>310</v>
      </c>
      <c r="E1267" s="8" t="s">
        <v>311</v>
      </c>
      <c r="F1267" t="s">
        <v>35</v>
      </c>
      <c r="G1267" t="s">
        <v>3</v>
      </c>
      <c r="H1267" s="13">
        <v>1239255</v>
      </c>
      <c r="I1267" s="13"/>
      <c r="J1267" s="8">
        <f t="shared" si="20"/>
        <v>1239255</v>
      </c>
      <c r="K1267" s="1"/>
      <c r="L1267" s="3"/>
    </row>
    <row r="1268" spans="1:12" x14ac:dyDescent="0.2">
      <c r="A1268">
        <v>5100180</v>
      </c>
      <c r="B1268" s="8">
        <v>2018</v>
      </c>
      <c r="C1268" s="8" t="s">
        <v>309</v>
      </c>
      <c r="D1268" s="8" t="s">
        <v>310</v>
      </c>
      <c r="E1268" s="8" t="s">
        <v>311</v>
      </c>
      <c r="F1268" t="s">
        <v>35</v>
      </c>
      <c r="G1268" t="s">
        <v>3</v>
      </c>
      <c r="H1268" s="13">
        <v>1347879</v>
      </c>
      <c r="I1268" s="13"/>
      <c r="J1268" s="8">
        <f t="shared" si="20"/>
        <v>1347879</v>
      </c>
      <c r="K1268" s="1"/>
      <c r="L1268" s="3"/>
    </row>
    <row r="1269" spans="1:12" x14ac:dyDescent="0.2">
      <c r="A1269">
        <v>5100180</v>
      </c>
      <c r="B1269" s="8">
        <v>2019</v>
      </c>
      <c r="C1269" s="8" t="s">
        <v>309</v>
      </c>
      <c r="D1269" s="8" t="s">
        <v>310</v>
      </c>
      <c r="E1269" s="8" t="s">
        <v>311</v>
      </c>
      <c r="F1269" t="s">
        <v>35</v>
      </c>
      <c r="G1269" t="s">
        <v>3</v>
      </c>
      <c r="H1269" s="13">
        <v>1251063</v>
      </c>
      <c r="I1269" s="13"/>
      <c r="J1269" s="8">
        <f t="shared" si="20"/>
        <v>1251063</v>
      </c>
      <c r="K1269" s="1"/>
      <c r="L1269" s="3"/>
    </row>
    <row r="1270" spans="1:12" x14ac:dyDescent="0.2">
      <c r="A1270">
        <v>5100180</v>
      </c>
      <c r="B1270" s="8">
        <v>2020</v>
      </c>
      <c r="C1270" s="8" t="s">
        <v>309</v>
      </c>
      <c r="D1270" s="8" t="s">
        <v>310</v>
      </c>
      <c r="E1270" s="8" t="s">
        <v>311</v>
      </c>
      <c r="F1270" t="s">
        <v>35</v>
      </c>
      <c r="G1270" t="s">
        <v>3</v>
      </c>
      <c r="H1270" s="13">
        <v>1307931</v>
      </c>
      <c r="I1270" s="13"/>
      <c r="J1270" s="8">
        <f t="shared" si="20"/>
        <v>1307931</v>
      </c>
      <c r="K1270" s="1"/>
      <c r="L1270" s="3"/>
    </row>
    <row r="1271" spans="1:12" x14ac:dyDescent="0.2">
      <c r="A1271">
        <v>5100180</v>
      </c>
      <c r="B1271" s="8">
        <v>2021</v>
      </c>
      <c r="C1271" s="8" t="s">
        <v>309</v>
      </c>
      <c r="D1271" s="8" t="s">
        <v>310</v>
      </c>
      <c r="E1271" s="8" t="s">
        <v>311</v>
      </c>
      <c r="F1271" t="s">
        <v>35</v>
      </c>
      <c r="G1271" t="s">
        <v>3</v>
      </c>
      <c r="H1271" s="13">
        <v>1445168</v>
      </c>
      <c r="I1271" s="13">
        <v>62663</v>
      </c>
      <c r="J1271" s="8">
        <f t="shared" si="20"/>
        <v>1507831</v>
      </c>
      <c r="K1271" s="1"/>
      <c r="L1271" s="3"/>
    </row>
    <row r="1272" spans="1:12" x14ac:dyDescent="0.2">
      <c r="A1272">
        <v>5100180</v>
      </c>
      <c r="B1272" s="8">
        <v>2022</v>
      </c>
      <c r="C1272" s="8" t="s">
        <v>309</v>
      </c>
      <c r="D1272" s="8" t="s">
        <v>310</v>
      </c>
      <c r="E1272" s="8" t="s">
        <v>311</v>
      </c>
      <c r="F1272" t="s">
        <v>35</v>
      </c>
      <c r="G1272" t="s">
        <v>3</v>
      </c>
      <c r="H1272" s="13">
        <v>1519581</v>
      </c>
      <c r="I1272" s="13">
        <v>452501</v>
      </c>
      <c r="J1272" s="8">
        <f t="shared" si="20"/>
        <v>1972082</v>
      </c>
      <c r="K1272" s="1"/>
      <c r="L1272" s="3"/>
    </row>
    <row r="1273" spans="1:12" x14ac:dyDescent="0.2">
      <c r="A1273">
        <v>5100180</v>
      </c>
      <c r="B1273" s="8">
        <v>2023</v>
      </c>
      <c r="C1273" s="8" t="s">
        <v>309</v>
      </c>
      <c r="D1273" s="8" t="s">
        <v>310</v>
      </c>
      <c r="E1273" s="8" t="s">
        <v>311</v>
      </c>
      <c r="F1273" t="s">
        <v>35</v>
      </c>
      <c r="G1273" t="s">
        <v>3</v>
      </c>
      <c r="H1273" s="13">
        <v>1595852</v>
      </c>
      <c r="I1273" s="13">
        <v>149079</v>
      </c>
      <c r="J1273" s="8">
        <f t="shared" si="20"/>
        <v>1744931</v>
      </c>
      <c r="K1273" s="1"/>
      <c r="L1273" s="3"/>
    </row>
    <row r="1274" spans="1:12" x14ac:dyDescent="0.2">
      <c r="A1274">
        <v>5100152</v>
      </c>
      <c r="B1274" s="8">
        <v>2015</v>
      </c>
      <c r="C1274" s="8" t="s">
        <v>309</v>
      </c>
      <c r="D1274" s="8" t="s">
        <v>310</v>
      </c>
      <c r="E1274" s="8" t="s">
        <v>311</v>
      </c>
      <c r="F1274" t="s">
        <v>34</v>
      </c>
      <c r="G1274" t="s">
        <v>2</v>
      </c>
      <c r="H1274" s="13">
        <v>1731500</v>
      </c>
      <c r="I1274" s="13"/>
      <c r="J1274" s="8">
        <f t="shared" si="20"/>
        <v>1731500</v>
      </c>
      <c r="K1274" s="1"/>
      <c r="L1274" s="3"/>
    </row>
    <row r="1275" spans="1:12" x14ac:dyDescent="0.2">
      <c r="A1275">
        <v>5100152</v>
      </c>
      <c r="B1275" s="8">
        <v>2016</v>
      </c>
      <c r="C1275" s="8" t="s">
        <v>309</v>
      </c>
      <c r="D1275" s="8" t="s">
        <v>310</v>
      </c>
      <c r="E1275" s="8" t="s">
        <v>311</v>
      </c>
      <c r="F1275" t="s">
        <v>34</v>
      </c>
      <c r="G1275" t="s">
        <v>2</v>
      </c>
      <c r="H1275" s="13">
        <v>1661155</v>
      </c>
      <c r="I1275" s="13"/>
      <c r="J1275" s="8">
        <f t="shared" si="20"/>
        <v>1661155</v>
      </c>
      <c r="K1275" s="1"/>
      <c r="L1275" s="3"/>
    </row>
    <row r="1276" spans="1:12" x14ac:dyDescent="0.2">
      <c r="A1276">
        <v>5100152</v>
      </c>
      <c r="B1276" s="8">
        <v>2017</v>
      </c>
      <c r="C1276" s="8" t="s">
        <v>309</v>
      </c>
      <c r="D1276" s="8" t="s">
        <v>310</v>
      </c>
      <c r="E1276" s="8" t="s">
        <v>311</v>
      </c>
      <c r="F1276" t="s">
        <v>34</v>
      </c>
      <c r="G1276" t="s">
        <v>2</v>
      </c>
      <c r="H1276" s="13">
        <v>1695928</v>
      </c>
      <c r="I1276" s="13"/>
      <c r="J1276" s="8">
        <f t="shared" si="20"/>
        <v>1695928</v>
      </c>
      <c r="K1276" s="1"/>
      <c r="L1276" s="3"/>
    </row>
    <row r="1277" spans="1:12" x14ac:dyDescent="0.2">
      <c r="A1277">
        <v>5100152</v>
      </c>
      <c r="B1277" s="8">
        <v>2018</v>
      </c>
      <c r="C1277" s="8" t="s">
        <v>309</v>
      </c>
      <c r="D1277" s="8" t="s">
        <v>310</v>
      </c>
      <c r="E1277" s="8" t="s">
        <v>311</v>
      </c>
      <c r="F1277" t="s">
        <v>34</v>
      </c>
      <c r="G1277" t="s">
        <v>2</v>
      </c>
      <c r="H1277" s="13">
        <v>1823447</v>
      </c>
      <c r="I1277" s="13"/>
      <c r="J1277" s="8">
        <f t="shared" si="20"/>
        <v>1823447</v>
      </c>
      <c r="K1277" s="1"/>
      <c r="L1277" s="3"/>
    </row>
    <row r="1278" spans="1:12" x14ac:dyDescent="0.2">
      <c r="A1278">
        <v>5100152</v>
      </c>
      <c r="B1278" s="8">
        <v>2019</v>
      </c>
      <c r="C1278" s="8" t="s">
        <v>309</v>
      </c>
      <c r="D1278" s="8" t="s">
        <v>310</v>
      </c>
      <c r="E1278" s="8" t="s">
        <v>311</v>
      </c>
      <c r="F1278" t="s">
        <v>34</v>
      </c>
      <c r="G1278" t="s">
        <v>2</v>
      </c>
      <c r="H1278" s="13">
        <v>1753675</v>
      </c>
      <c r="I1278" s="13"/>
      <c r="J1278" s="8">
        <f t="shared" si="20"/>
        <v>1753675</v>
      </c>
      <c r="K1278" s="1"/>
      <c r="L1278" s="3"/>
    </row>
    <row r="1279" spans="1:12" x14ac:dyDescent="0.2">
      <c r="A1279">
        <v>5100152</v>
      </c>
      <c r="B1279" s="8">
        <v>2020</v>
      </c>
      <c r="C1279" s="8" t="s">
        <v>309</v>
      </c>
      <c r="D1279" s="8" t="s">
        <v>310</v>
      </c>
      <c r="E1279" s="8" t="s">
        <v>311</v>
      </c>
      <c r="F1279" t="s">
        <v>34</v>
      </c>
      <c r="G1279" t="s">
        <v>2</v>
      </c>
      <c r="H1279" s="13">
        <v>1760805</v>
      </c>
      <c r="I1279" s="13"/>
      <c r="J1279" s="8">
        <f t="shared" si="20"/>
        <v>1760805</v>
      </c>
      <c r="K1279" s="1"/>
      <c r="L1279" s="3"/>
    </row>
    <row r="1280" spans="1:12" x14ac:dyDescent="0.2">
      <c r="A1280">
        <v>5100152</v>
      </c>
      <c r="B1280" s="8">
        <v>2021</v>
      </c>
      <c r="C1280" s="8" t="s">
        <v>309</v>
      </c>
      <c r="D1280" s="8" t="s">
        <v>310</v>
      </c>
      <c r="E1280" s="8" t="s">
        <v>311</v>
      </c>
      <c r="F1280" t="s">
        <v>34</v>
      </c>
      <c r="G1280" t="s">
        <v>2</v>
      </c>
      <c r="H1280" s="13">
        <v>1792185</v>
      </c>
      <c r="I1280" s="13">
        <v>77711</v>
      </c>
      <c r="J1280" s="8">
        <f t="shared" si="20"/>
        <v>1869896</v>
      </c>
      <c r="K1280" s="1"/>
      <c r="L1280" s="3"/>
    </row>
    <row r="1281" spans="1:12" x14ac:dyDescent="0.2">
      <c r="A1281">
        <v>5100152</v>
      </c>
      <c r="B1281" s="8">
        <v>2022</v>
      </c>
      <c r="C1281" s="8" t="s">
        <v>309</v>
      </c>
      <c r="D1281" s="8" t="s">
        <v>310</v>
      </c>
      <c r="E1281" s="8" t="s">
        <v>311</v>
      </c>
      <c r="F1281" t="s">
        <v>34</v>
      </c>
      <c r="G1281" t="s">
        <v>2</v>
      </c>
      <c r="H1281" s="13">
        <v>2844927</v>
      </c>
      <c r="I1281" s="13">
        <v>847141</v>
      </c>
      <c r="J1281" s="8">
        <f t="shared" si="20"/>
        <v>3692068</v>
      </c>
      <c r="K1281" s="1"/>
      <c r="L1281" s="3"/>
    </row>
    <row r="1282" spans="1:12" x14ac:dyDescent="0.2">
      <c r="A1282">
        <v>5100152</v>
      </c>
      <c r="B1282" s="8">
        <v>2023</v>
      </c>
      <c r="C1282" s="8" t="s">
        <v>309</v>
      </c>
      <c r="D1282" s="8" t="s">
        <v>310</v>
      </c>
      <c r="E1282" s="8" t="s">
        <v>311</v>
      </c>
      <c r="F1282" t="s">
        <v>34</v>
      </c>
      <c r="G1282" t="s">
        <v>2</v>
      </c>
      <c r="H1282" s="13">
        <v>2893321</v>
      </c>
      <c r="I1282" s="13">
        <v>270274</v>
      </c>
      <c r="J1282" s="8">
        <f t="shared" si="20"/>
        <v>3163595</v>
      </c>
      <c r="K1282" s="1"/>
      <c r="L1282" s="3"/>
    </row>
    <row r="1283" spans="1:12" x14ac:dyDescent="0.2">
      <c r="A1283">
        <v>5100090</v>
      </c>
      <c r="B1283" s="8">
        <v>2015</v>
      </c>
      <c r="C1283" s="8" t="s">
        <v>309</v>
      </c>
      <c r="D1283" s="8" t="s">
        <v>310</v>
      </c>
      <c r="E1283" s="8" t="s">
        <v>311</v>
      </c>
      <c r="F1283" t="s">
        <v>33</v>
      </c>
      <c r="G1283" t="s">
        <v>1</v>
      </c>
      <c r="H1283" s="13">
        <v>11946492</v>
      </c>
      <c r="I1283" s="13"/>
      <c r="J1283" s="8">
        <f t="shared" ref="J1283:J1300" si="21">SUM(H1283:I1283)</f>
        <v>11946492</v>
      </c>
      <c r="K1283" s="1"/>
      <c r="L1283" s="3"/>
    </row>
    <row r="1284" spans="1:12" x14ac:dyDescent="0.2">
      <c r="A1284">
        <v>5100090</v>
      </c>
      <c r="B1284" s="8">
        <v>2016</v>
      </c>
      <c r="C1284" s="8" t="s">
        <v>309</v>
      </c>
      <c r="D1284" s="8" t="s">
        <v>310</v>
      </c>
      <c r="E1284" s="8" t="s">
        <v>311</v>
      </c>
      <c r="F1284" t="s">
        <v>33</v>
      </c>
      <c r="G1284" t="s">
        <v>1</v>
      </c>
      <c r="H1284" s="13">
        <v>12057308</v>
      </c>
      <c r="I1284" s="13"/>
      <c r="J1284" s="8">
        <f t="shared" si="21"/>
        <v>12057308</v>
      </c>
      <c r="K1284" s="1"/>
      <c r="L1284" s="3"/>
    </row>
    <row r="1285" spans="1:12" x14ac:dyDescent="0.2">
      <c r="A1285">
        <v>5100090</v>
      </c>
      <c r="B1285" s="8">
        <v>2017</v>
      </c>
      <c r="C1285" s="8" t="s">
        <v>309</v>
      </c>
      <c r="D1285" s="8" t="s">
        <v>310</v>
      </c>
      <c r="E1285" s="8" t="s">
        <v>311</v>
      </c>
      <c r="F1285" t="s">
        <v>33</v>
      </c>
      <c r="G1285" t="s">
        <v>1</v>
      </c>
      <c r="H1285" s="13">
        <v>12777409</v>
      </c>
      <c r="I1285" s="13"/>
      <c r="J1285" s="8">
        <f t="shared" si="21"/>
        <v>12777409</v>
      </c>
      <c r="K1285" s="1"/>
      <c r="L1285" s="3"/>
    </row>
    <row r="1286" spans="1:12" x14ac:dyDescent="0.2">
      <c r="A1286">
        <v>5100090</v>
      </c>
      <c r="B1286" s="8">
        <v>2018</v>
      </c>
      <c r="C1286" s="8" t="s">
        <v>309</v>
      </c>
      <c r="D1286" s="8" t="s">
        <v>310</v>
      </c>
      <c r="E1286" s="8" t="s">
        <v>311</v>
      </c>
      <c r="F1286" t="s">
        <v>33</v>
      </c>
      <c r="G1286" t="s">
        <v>1</v>
      </c>
      <c r="H1286" s="13">
        <v>14635237</v>
      </c>
      <c r="I1286" s="13"/>
      <c r="J1286" s="8">
        <f t="shared" si="21"/>
        <v>14635237</v>
      </c>
      <c r="K1286" s="1"/>
      <c r="L1286" s="3"/>
    </row>
    <row r="1287" spans="1:12" x14ac:dyDescent="0.2">
      <c r="A1287">
        <v>5100090</v>
      </c>
      <c r="B1287" s="8">
        <v>2019</v>
      </c>
      <c r="C1287" s="8" t="s">
        <v>309</v>
      </c>
      <c r="D1287" s="8" t="s">
        <v>310</v>
      </c>
      <c r="E1287" s="8" t="s">
        <v>311</v>
      </c>
      <c r="F1287" t="s">
        <v>33</v>
      </c>
      <c r="G1287" t="s">
        <v>1</v>
      </c>
      <c r="H1287" s="13">
        <v>14849314</v>
      </c>
      <c r="I1287" s="13"/>
      <c r="J1287" s="8">
        <f t="shared" si="21"/>
        <v>14849314</v>
      </c>
      <c r="K1287" s="1"/>
      <c r="L1287" s="3"/>
    </row>
    <row r="1288" spans="1:12" x14ac:dyDescent="0.2">
      <c r="A1288">
        <v>5100090</v>
      </c>
      <c r="B1288" s="8">
        <v>2020</v>
      </c>
      <c r="C1288" s="8" t="s">
        <v>309</v>
      </c>
      <c r="D1288" s="8" t="s">
        <v>310</v>
      </c>
      <c r="E1288" s="8" t="s">
        <v>311</v>
      </c>
      <c r="F1288" t="s">
        <v>33</v>
      </c>
      <c r="G1288" t="s">
        <v>1</v>
      </c>
      <c r="H1288" s="13">
        <v>15466883</v>
      </c>
      <c r="I1288" s="13"/>
      <c r="J1288" s="8">
        <f t="shared" si="21"/>
        <v>15466883</v>
      </c>
      <c r="K1288" s="1"/>
      <c r="L1288" s="3"/>
    </row>
    <row r="1289" spans="1:12" x14ac:dyDescent="0.2">
      <c r="A1289">
        <v>5100090</v>
      </c>
      <c r="B1289" s="8">
        <v>2021</v>
      </c>
      <c r="C1289" s="8" t="s">
        <v>309</v>
      </c>
      <c r="D1289" s="8" t="s">
        <v>310</v>
      </c>
      <c r="E1289" s="8" t="s">
        <v>311</v>
      </c>
      <c r="F1289" t="s">
        <v>33</v>
      </c>
      <c r="G1289" t="s">
        <v>1</v>
      </c>
      <c r="H1289" s="13">
        <v>16033889</v>
      </c>
      <c r="I1289" s="13">
        <v>695251</v>
      </c>
      <c r="J1289" s="8">
        <f t="shared" si="21"/>
        <v>16729140</v>
      </c>
      <c r="K1289" s="1"/>
      <c r="L1289" s="3"/>
    </row>
    <row r="1290" spans="1:12" x14ac:dyDescent="0.2">
      <c r="A1290">
        <v>5100090</v>
      </c>
      <c r="B1290" s="8">
        <v>2022</v>
      </c>
      <c r="C1290" s="8" t="s">
        <v>309</v>
      </c>
      <c r="D1290" s="8" t="s">
        <v>310</v>
      </c>
      <c r="E1290" s="8" t="s">
        <v>311</v>
      </c>
      <c r="F1290" t="s">
        <v>33</v>
      </c>
      <c r="G1290" t="s">
        <v>1</v>
      </c>
      <c r="H1290" s="13">
        <v>17910347</v>
      </c>
      <c r="I1290" s="13">
        <v>5333314</v>
      </c>
      <c r="J1290" s="8">
        <f t="shared" si="21"/>
        <v>23243661</v>
      </c>
      <c r="K1290" s="1"/>
      <c r="L1290" s="3"/>
    </row>
    <row r="1291" spans="1:12" x14ac:dyDescent="0.2">
      <c r="A1291">
        <v>5100090</v>
      </c>
      <c r="B1291" s="8">
        <v>2023</v>
      </c>
      <c r="C1291" s="8" t="s">
        <v>309</v>
      </c>
      <c r="D1291" s="8" t="s">
        <v>310</v>
      </c>
      <c r="E1291" s="8" t="s">
        <v>311</v>
      </c>
      <c r="F1291" t="s">
        <v>33</v>
      </c>
      <c r="G1291" t="s">
        <v>1</v>
      </c>
      <c r="H1291" s="13">
        <v>19353135</v>
      </c>
      <c r="I1291" s="13">
        <v>1807823</v>
      </c>
      <c r="J1291" s="8">
        <f t="shared" si="21"/>
        <v>21160958</v>
      </c>
      <c r="K1291" s="1"/>
      <c r="L1291" s="3"/>
    </row>
    <row r="1292" spans="1:12" x14ac:dyDescent="0.2">
      <c r="A1292">
        <v>5100060</v>
      </c>
      <c r="B1292" s="8">
        <v>2015</v>
      </c>
      <c r="C1292" s="8" t="s">
        <v>309</v>
      </c>
      <c r="D1292" s="8" t="s">
        <v>310</v>
      </c>
      <c r="E1292" s="8" t="s">
        <v>311</v>
      </c>
      <c r="F1292" t="s">
        <v>32</v>
      </c>
      <c r="G1292" t="s">
        <v>0</v>
      </c>
      <c r="H1292" s="13">
        <v>3732612</v>
      </c>
      <c r="I1292" s="13"/>
      <c r="J1292" s="8">
        <f t="shared" si="21"/>
        <v>3732612</v>
      </c>
      <c r="K1292" s="1"/>
      <c r="L1292" s="3"/>
    </row>
    <row r="1293" spans="1:12" x14ac:dyDescent="0.2">
      <c r="A1293">
        <v>5100060</v>
      </c>
      <c r="B1293" s="8">
        <v>2016</v>
      </c>
      <c r="C1293" s="8" t="s">
        <v>309</v>
      </c>
      <c r="D1293" s="8" t="s">
        <v>310</v>
      </c>
      <c r="E1293" s="8" t="s">
        <v>311</v>
      </c>
      <c r="F1293" t="s">
        <v>32</v>
      </c>
      <c r="G1293" t="s">
        <v>0</v>
      </c>
      <c r="H1293" s="13">
        <v>3656970</v>
      </c>
      <c r="I1293" s="13"/>
      <c r="J1293" s="8">
        <f t="shared" si="21"/>
        <v>3656970</v>
      </c>
      <c r="K1293" s="1"/>
      <c r="L1293" s="3"/>
    </row>
    <row r="1294" spans="1:12" x14ac:dyDescent="0.2">
      <c r="A1294">
        <v>5100060</v>
      </c>
      <c r="B1294" s="8">
        <v>2017</v>
      </c>
      <c r="C1294" s="8" t="s">
        <v>309</v>
      </c>
      <c r="D1294" s="8" t="s">
        <v>310</v>
      </c>
      <c r="E1294" s="8" t="s">
        <v>311</v>
      </c>
      <c r="F1294" t="s">
        <v>32</v>
      </c>
      <c r="G1294" t="s">
        <v>0</v>
      </c>
      <c r="H1294" s="13">
        <v>3910649</v>
      </c>
      <c r="I1294" s="13"/>
      <c r="J1294" s="8">
        <f t="shared" si="21"/>
        <v>3910649</v>
      </c>
      <c r="K1294" s="1"/>
      <c r="L1294" s="3"/>
    </row>
    <row r="1295" spans="1:12" x14ac:dyDescent="0.2">
      <c r="A1295">
        <v>5100060</v>
      </c>
      <c r="B1295" s="8">
        <v>2018</v>
      </c>
      <c r="C1295" s="8" t="s">
        <v>309</v>
      </c>
      <c r="D1295" s="8" t="s">
        <v>310</v>
      </c>
      <c r="E1295" s="8" t="s">
        <v>311</v>
      </c>
      <c r="F1295" t="s">
        <v>32</v>
      </c>
      <c r="G1295" t="s">
        <v>0</v>
      </c>
      <c r="H1295" s="13">
        <v>4470781</v>
      </c>
      <c r="I1295" s="13"/>
      <c r="J1295" s="8">
        <f t="shared" si="21"/>
        <v>4470781</v>
      </c>
      <c r="K1295" s="1"/>
      <c r="L1295" s="3"/>
    </row>
    <row r="1296" spans="1:12" x14ac:dyDescent="0.2">
      <c r="A1296">
        <v>5100060</v>
      </c>
      <c r="B1296" s="8">
        <v>2019</v>
      </c>
      <c r="C1296" s="8" t="s">
        <v>309</v>
      </c>
      <c r="D1296" s="8" t="s">
        <v>310</v>
      </c>
      <c r="E1296" s="8" t="s">
        <v>311</v>
      </c>
      <c r="F1296" t="s">
        <v>32</v>
      </c>
      <c r="G1296" t="s">
        <v>0</v>
      </c>
      <c r="H1296" s="13">
        <v>4317242</v>
      </c>
      <c r="I1296" s="13"/>
      <c r="J1296" s="8">
        <f t="shared" si="21"/>
        <v>4317242</v>
      </c>
      <c r="K1296" s="1"/>
      <c r="L1296" s="3"/>
    </row>
    <row r="1297" spans="1:12" x14ac:dyDescent="0.2">
      <c r="A1297">
        <v>5100060</v>
      </c>
      <c r="B1297" s="8">
        <v>2020</v>
      </c>
      <c r="C1297" s="8" t="s">
        <v>309</v>
      </c>
      <c r="D1297" s="8" t="s">
        <v>310</v>
      </c>
      <c r="E1297" s="8" t="s">
        <v>311</v>
      </c>
      <c r="F1297" t="s">
        <v>32</v>
      </c>
      <c r="G1297" t="s">
        <v>0</v>
      </c>
      <c r="H1297" s="13">
        <v>4363784</v>
      </c>
      <c r="I1297" s="13"/>
      <c r="J1297" s="8">
        <f t="shared" si="21"/>
        <v>4363784</v>
      </c>
      <c r="K1297" s="1"/>
      <c r="L1297" s="3"/>
    </row>
    <row r="1298" spans="1:12" x14ac:dyDescent="0.2">
      <c r="A1298">
        <v>5100060</v>
      </c>
      <c r="B1298" s="8">
        <v>2021</v>
      </c>
      <c r="C1298" s="8" t="s">
        <v>309</v>
      </c>
      <c r="D1298" s="8" t="s">
        <v>310</v>
      </c>
      <c r="E1298" s="8" t="s">
        <v>311</v>
      </c>
      <c r="F1298" t="s">
        <v>32</v>
      </c>
      <c r="G1298" t="s">
        <v>0</v>
      </c>
      <c r="H1298" s="13">
        <v>4404335</v>
      </c>
      <c r="I1298" s="13">
        <v>190977</v>
      </c>
      <c r="J1298" s="8">
        <f t="shared" si="21"/>
        <v>4595312</v>
      </c>
      <c r="K1298" s="1"/>
      <c r="L1298" s="3"/>
    </row>
    <row r="1299" spans="1:12" x14ac:dyDescent="0.2">
      <c r="A1299">
        <v>5100060</v>
      </c>
      <c r="B1299" s="8">
        <v>2022</v>
      </c>
      <c r="C1299" s="8" t="s">
        <v>309</v>
      </c>
      <c r="D1299" s="8" t="s">
        <v>310</v>
      </c>
      <c r="E1299" s="8" t="s">
        <v>311</v>
      </c>
      <c r="F1299" t="s">
        <v>32</v>
      </c>
      <c r="G1299" t="s">
        <v>0</v>
      </c>
      <c r="H1299" s="13">
        <v>4780667</v>
      </c>
      <c r="I1299" s="13">
        <v>1423594</v>
      </c>
      <c r="J1299" s="8">
        <f t="shared" si="21"/>
        <v>6204261</v>
      </c>
      <c r="K1299" s="1"/>
      <c r="L1299" s="3"/>
    </row>
    <row r="1300" spans="1:12" x14ac:dyDescent="0.2">
      <c r="A1300">
        <v>5100060</v>
      </c>
      <c r="B1300" s="8">
        <v>2023</v>
      </c>
      <c r="C1300" s="8" t="s">
        <v>309</v>
      </c>
      <c r="D1300" s="8" t="s">
        <v>310</v>
      </c>
      <c r="E1300" s="8" t="s">
        <v>311</v>
      </c>
      <c r="F1300" t="s">
        <v>32</v>
      </c>
      <c r="G1300" t="s">
        <v>0</v>
      </c>
      <c r="H1300" s="13">
        <v>4873699</v>
      </c>
      <c r="I1300" s="13">
        <v>455259</v>
      </c>
      <c r="J1300" s="8">
        <f t="shared" si="21"/>
        <v>5328958</v>
      </c>
      <c r="K1300" s="1"/>
      <c r="L1300" s="3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6FD5F-4A21-7045-9302-26A93CB38316}">
  <dimension ref="A1:B146"/>
  <sheetViews>
    <sheetView topLeftCell="A74" workbookViewId="0">
      <selection activeCell="A131" sqref="A131"/>
    </sheetView>
  </sheetViews>
  <sheetFormatPr baseColWidth="10" defaultRowHeight="16" x14ac:dyDescent="0.2"/>
  <cols>
    <col min="1" max="1" width="46.6640625" bestFit="1" customWidth="1"/>
  </cols>
  <sheetData>
    <row r="1" spans="1:2" x14ac:dyDescent="0.2">
      <c r="A1" s="15" t="s">
        <v>313</v>
      </c>
      <c r="B1" s="15" t="s">
        <v>314</v>
      </c>
    </row>
    <row r="2" spans="1:2" x14ac:dyDescent="0.2">
      <c r="A2" t="s">
        <v>0</v>
      </c>
      <c r="B2">
        <v>5100060</v>
      </c>
    </row>
    <row r="3" spans="1:2" x14ac:dyDescent="0.2">
      <c r="A3" t="s">
        <v>1</v>
      </c>
      <c r="B3">
        <v>5100090</v>
      </c>
    </row>
    <row r="4" spans="1:2" x14ac:dyDescent="0.2">
      <c r="A4" t="s">
        <v>159</v>
      </c>
      <c r="B4">
        <v>5100120</v>
      </c>
    </row>
    <row r="5" spans="1:2" x14ac:dyDescent="0.2">
      <c r="A5" t="s">
        <v>2</v>
      </c>
      <c r="B5">
        <v>5100152</v>
      </c>
    </row>
    <row r="6" spans="1:2" x14ac:dyDescent="0.2">
      <c r="A6" t="s">
        <v>3</v>
      </c>
      <c r="B6">
        <v>5100180</v>
      </c>
    </row>
    <row r="7" spans="1:2" x14ac:dyDescent="0.2">
      <c r="A7" t="s">
        <v>296</v>
      </c>
      <c r="B7">
        <v>5100013</v>
      </c>
    </row>
    <row r="8" spans="1:2" x14ac:dyDescent="0.2">
      <c r="A8" t="s">
        <v>4</v>
      </c>
      <c r="B8">
        <v>5100210</v>
      </c>
    </row>
    <row r="9" spans="1:2" x14ac:dyDescent="0.2">
      <c r="A9" t="s">
        <v>5</v>
      </c>
      <c r="B9">
        <v>5100240</v>
      </c>
    </row>
    <row r="10" spans="1:2" x14ac:dyDescent="0.2">
      <c r="A10" t="s">
        <v>274</v>
      </c>
      <c r="B10">
        <v>5100032</v>
      </c>
    </row>
    <row r="11" spans="1:2" x14ac:dyDescent="0.2">
      <c r="A11" t="s">
        <v>6</v>
      </c>
      <c r="B11">
        <v>5100270</v>
      </c>
    </row>
    <row r="12" spans="1:2" x14ac:dyDescent="0.2">
      <c r="A12" t="s">
        <v>7</v>
      </c>
      <c r="B12">
        <v>5100300</v>
      </c>
    </row>
    <row r="13" spans="1:2" x14ac:dyDescent="0.2">
      <c r="A13" t="s">
        <v>8</v>
      </c>
      <c r="B13">
        <v>5100330</v>
      </c>
    </row>
    <row r="14" spans="1:2" x14ac:dyDescent="0.2">
      <c r="A14" t="s">
        <v>9</v>
      </c>
      <c r="B14">
        <v>5100360</v>
      </c>
    </row>
    <row r="15" spans="1:2" x14ac:dyDescent="0.2">
      <c r="A15" t="s">
        <v>10</v>
      </c>
      <c r="B15">
        <v>5100390</v>
      </c>
    </row>
    <row r="16" spans="1:2" x14ac:dyDescent="0.2">
      <c r="A16" t="s">
        <v>11</v>
      </c>
      <c r="B16">
        <v>5100420</v>
      </c>
    </row>
    <row r="17" spans="1:2" x14ac:dyDescent="0.2">
      <c r="A17" t="s">
        <v>275</v>
      </c>
      <c r="B17">
        <v>5100255</v>
      </c>
    </row>
    <row r="18" spans="1:2" x14ac:dyDescent="0.2">
      <c r="A18" t="s">
        <v>160</v>
      </c>
      <c r="B18">
        <v>5100450</v>
      </c>
    </row>
    <row r="19" spans="1:2" x14ac:dyDescent="0.2">
      <c r="A19" t="s">
        <v>12</v>
      </c>
      <c r="B19">
        <v>5100480</v>
      </c>
    </row>
    <row r="20" spans="1:2" x14ac:dyDescent="0.2">
      <c r="A20" t="s">
        <v>13</v>
      </c>
      <c r="B20">
        <v>5100510</v>
      </c>
    </row>
    <row r="21" spans="1:2" x14ac:dyDescent="0.2">
      <c r="A21" t="s">
        <v>14</v>
      </c>
      <c r="B21">
        <v>5100540</v>
      </c>
    </row>
    <row r="22" spans="1:2" x14ac:dyDescent="0.2">
      <c r="A22" t="s">
        <v>161</v>
      </c>
      <c r="B22">
        <v>5100560</v>
      </c>
    </row>
    <row r="23" spans="1:2" x14ac:dyDescent="0.2">
      <c r="A23" t="s">
        <v>15</v>
      </c>
      <c r="B23">
        <v>5100600</v>
      </c>
    </row>
    <row r="24" spans="1:2" x14ac:dyDescent="0.2">
      <c r="A24" t="s">
        <v>16</v>
      </c>
      <c r="B24">
        <v>5100660</v>
      </c>
    </row>
    <row r="25" spans="1:2" x14ac:dyDescent="0.2">
      <c r="A25" t="s">
        <v>17</v>
      </c>
      <c r="B25">
        <v>5100690</v>
      </c>
    </row>
    <row r="26" spans="1:2" x14ac:dyDescent="0.2">
      <c r="A26" t="s">
        <v>18</v>
      </c>
      <c r="B26">
        <v>5100720</v>
      </c>
    </row>
    <row r="27" spans="1:2" x14ac:dyDescent="0.2">
      <c r="A27" t="s">
        <v>19</v>
      </c>
      <c r="B27">
        <v>5100750</v>
      </c>
    </row>
    <row r="28" spans="1:2" x14ac:dyDescent="0.2">
      <c r="A28" t="s">
        <v>162</v>
      </c>
      <c r="B28">
        <v>5100780</v>
      </c>
    </row>
    <row r="29" spans="1:2" x14ac:dyDescent="0.2">
      <c r="A29" t="s">
        <v>295</v>
      </c>
      <c r="B29">
        <v>5100003</v>
      </c>
    </row>
    <row r="30" spans="1:2" x14ac:dyDescent="0.2">
      <c r="A30" t="s">
        <v>218</v>
      </c>
      <c r="B30">
        <v>5100810</v>
      </c>
    </row>
    <row r="31" spans="1:2" x14ac:dyDescent="0.2">
      <c r="A31" t="s">
        <v>20</v>
      </c>
      <c r="B31">
        <v>5100840</v>
      </c>
    </row>
    <row r="32" spans="1:2" x14ac:dyDescent="0.2">
      <c r="A32" t="s">
        <v>228</v>
      </c>
      <c r="B32">
        <v>5103460</v>
      </c>
    </row>
    <row r="33" spans="1:2" x14ac:dyDescent="0.2">
      <c r="A33" t="s">
        <v>21</v>
      </c>
      <c r="B33">
        <v>5100870</v>
      </c>
    </row>
    <row r="34" spans="1:2" x14ac:dyDescent="0.2">
      <c r="A34" t="s">
        <v>214</v>
      </c>
      <c r="B34">
        <v>5100960</v>
      </c>
    </row>
    <row r="35" spans="1:2" x14ac:dyDescent="0.2">
      <c r="A35" t="s">
        <v>215</v>
      </c>
      <c r="B35">
        <v>5100990</v>
      </c>
    </row>
    <row r="36" spans="1:2" x14ac:dyDescent="0.2">
      <c r="A36" t="s">
        <v>22</v>
      </c>
      <c r="B36">
        <v>5101020</v>
      </c>
    </row>
    <row r="37" spans="1:2" x14ac:dyDescent="0.2">
      <c r="A37" t="s">
        <v>23</v>
      </c>
      <c r="B37">
        <v>5101050</v>
      </c>
    </row>
    <row r="38" spans="1:2" x14ac:dyDescent="0.2">
      <c r="A38" t="s">
        <v>24</v>
      </c>
      <c r="B38">
        <v>5101080</v>
      </c>
    </row>
    <row r="39" spans="1:2" x14ac:dyDescent="0.2">
      <c r="A39" t="s">
        <v>196</v>
      </c>
      <c r="B39">
        <v>5101110</v>
      </c>
    </row>
    <row r="40" spans="1:2" x14ac:dyDescent="0.2">
      <c r="A40" t="s">
        <v>25</v>
      </c>
      <c r="B40">
        <v>5101140</v>
      </c>
    </row>
    <row r="41" spans="1:2" x14ac:dyDescent="0.2">
      <c r="A41" t="s">
        <v>26</v>
      </c>
      <c r="B41">
        <v>5101170</v>
      </c>
    </row>
    <row r="42" spans="1:2" x14ac:dyDescent="0.2">
      <c r="A42" t="s">
        <v>27</v>
      </c>
      <c r="B42">
        <v>5101200</v>
      </c>
    </row>
    <row r="43" spans="1:2" x14ac:dyDescent="0.2">
      <c r="A43" t="s">
        <v>216</v>
      </c>
      <c r="B43">
        <v>5101230</v>
      </c>
    </row>
    <row r="44" spans="1:2" x14ac:dyDescent="0.2">
      <c r="A44" t="s">
        <v>28</v>
      </c>
      <c r="B44">
        <v>5101260</v>
      </c>
    </row>
    <row r="45" spans="1:2" x14ac:dyDescent="0.2">
      <c r="A45" t="s">
        <v>213</v>
      </c>
      <c r="B45">
        <v>5101290</v>
      </c>
    </row>
    <row r="46" spans="1:2" x14ac:dyDescent="0.2">
      <c r="A46" t="s">
        <v>29</v>
      </c>
      <c r="B46">
        <v>5101320</v>
      </c>
    </row>
    <row r="47" spans="1:2" x14ac:dyDescent="0.2">
      <c r="A47" t="s">
        <v>30</v>
      </c>
      <c r="B47">
        <v>5101350</v>
      </c>
    </row>
    <row r="48" spans="1:2" x14ac:dyDescent="0.2">
      <c r="A48" t="s">
        <v>31</v>
      </c>
      <c r="B48">
        <v>5101380</v>
      </c>
    </row>
    <row r="49" spans="1:2" x14ac:dyDescent="0.2">
      <c r="A49" t="s">
        <v>217</v>
      </c>
      <c r="B49">
        <v>5101410</v>
      </c>
    </row>
    <row r="50" spans="1:2" x14ac:dyDescent="0.2">
      <c r="A50" t="s">
        <v>64</v>
      </c>
      <c r="B50">
        <v>5101440</v>
      </c>
    </row>
    <row r="51" spans="1:2" x14ac:dyDescent="0.2">
      <c r="A51" t="s">
        <v>65</v>
      </c>
      <c r="B51">
        <v>5101470</v>
      </c>
    </row>
    <row r="52" spans="1:2" x14ac:dyDescent="0.2">
      <c r="A52" t="s">
        <v>197</v>
      </c>
      <c r="B52">
        <v>5101510</v>
      </c>
    </row>
    <row r="53" spans="1:2" x14ac:dyDescent="0.2">
      <c r="A53" t="s">
        <v>225</v>
      </c>
      <c r="B53">
        <v>5101560</v>
      </c>
    </row>
    <row r="54" spans="1:2" x14ac:dyDescent="0.2">
      <c r="A54" t="s">
        <v>66</v>
      </c>
      <c r="B54">
        <v>5101590</v>
      </c>
    </row>
    <row r="55" spans="1:2" x14ac:dyDescent="0.2">
      <c r="A55" t="s">
        <v>67</v>
      </c>
      <c r="B55">
        <v>5101620</v>
      </c>
    </row>
    <row r="56" spans="1:2" x14ac:dyDescent="0.2">
      <c r="A56" t="s">
        <v>68</v>
      </c>
      <c r="B56">
        <v>5101650</v>
      </c>
    </row>
    <row r="57" spans="1:2" x14ac:dyDescent="0.2">
      <c r="A57" t="s">
        <v>69</v>
      </c>
      <c r="B57">
        <v>5101690</v>
      </c>
    </row>
    <row r="58" spans="1:2" x14ac:dyDescent="0.2">
      <c r="A58" t="s">
        <v>70</v>
      </c>
      <c r="B58">
        <v>5101710</v>
      </c>
    </row>
    <row r="59" spans="1:2" x14ac:dyDescent="0.2">
      <c r="A59" t="s">
        <v>71</v>
      </c>
      <c r="B59">
        <v>5101740</v>
      </c>
    </row>
    <row r="60" spans="1:2" x14ac:dyDescent="0.2">
      <c r="A60" t="s">
        <v>72</v>
      </c>
      <c r="B60">
        <v>5101770</v>
      </c>
    </row>
    <row r="61" spans="1:2" x14ac:dyDescent="0.2">
      <c r="A61" t="s">
        <v>198</v>
      </c>
      <c r="B61">
        <v>5101800</v>
      </c>
    </row>
    <row r="62" spans="1:2" x14ac:dyDescent="0.2">
      <c r="A62" t="s">
        <v>73</v>
      </c>
      <c r="B62">
        <v>5101830</v>
      </c>
    </row>
    <row r="63" spans="1:2" x14ac:dyDescent="0.2">
      <c r="A63" t="s">
        <v>199</v>
      </c>
      <c r="B63">
        <v>5101860</v>
      </c>
    </row>
    <row r="64" spans="1:2" x14ac:dyDescent="0.2">
      <c r="A64" t="s">
        <v>74</v>
      </c>
      <c r="B64">
        <v>5101890</v>
      </c>
    </row>
    <row r="65" spans="1:2" x14ac:dyDescent="0.2">
      <c r="A65" t="s">
        <v>75</v>
      </c>
      <c r="B65">
        <v>5101920</v>
      </c>
    </row>
    <row r="66" spans="1:2" x14ac:dyDescent="0.2">
      <c r="A66" t="s">
        <v>76</v>
      </c>
      <c r="B66">
        <v>5101950</v>
      </c>
    </row>
    <row r="67" spans="1:2" x14ac:dyDescent="0.2">
      <c r="A67" t="s">
        <v>200</v>
      </c>
      <c r="B67">
        <v>5101980</v>
      </c>
    </row>
    <row r="68" spans="1:2" x14ac:dyDescent="0.2">
      <c r="A68" t="s">
        <v>77</v>
      </c>
      <c r="B68">
        <v>5102010</v>
      </c>
    </row>
    <row r="69" spans="1:2" x14ac:dyDescent="0.2">
      <c r="A69" t="s">
        <v>267</v>
      </c>
      <c r="B69">
        <v>5100004</v>
      </c>
    </row>
    <row r="70" spans="1:2" x14ac:dyDescent="0.2">
      <c r="A70" t="s">
        <v>79</v>
      </c>
      <c r="B70">
        <v>5102070</v>
      </c>
    </row>
    <row r="71" spans="1:2" x14ac:dyDescent="0.2">
      <c r="A71" t="s">
        <v>78</v>
      </c>
      <c r="B71">
        <v>5102100</v>
      </c>
    </row>
    <row r="72" spans="1:2" x14ac:dyDescent="0.2">
      <c r="A72" t="s">
        <v>80</v>
      </c>
      <c r="B72">
        <v>5102120</v>
      </c>
    </row>
    <row r="73" spans="1:2" x14ac:dyDescent="0.2">
      <c r="A73" t="s">
        <v>81</v>
      </c>
      <c r="B73">
        <v>5102160</v>
      </c>
    </row>
    <row r="74" spans="1:2" x14ac:dyDescent="0.2">
      <c r="A74" t="s">
        <v>82</v>
      </c>
      <c r="B74">
        <v>5102190</v>
      </c>
    </row>
    <row r="75" spans="1:2" x14ac:dyDescent="0.2">
      <c r="A75" t="s">
        <v>222</v>
      </c>
      <c r="B75">
        <v>5102220</v>
      </c>
    </row>
    <row r="76" spans="1:2" x14ac:dyDescent="0.2">
      <c r="A76" t="s">
        <v>83</v>
      </c>
      <c r="B76">
        <v>5102250</v>
      </c>
    </row>
    <row r="77" spans="1:2" x14ac:dyDescent="0.2">
      <c r="A77" t="s">
        <v>84</v>
      </c>
      <c r="B77">
        <v>5102280</v>
      </c>
    </row>
    <row r="78" spans="1:2" x14ac:dyDescent="0.2">
      <c r="A78" t="s">
        <v>85</v>
      </c>
      <c r="B78">
        <v>5102310</v>
      </c>
    </row>
    <row r="79" spans="1:2" x14ac:dyDescent="0.2">
      <c r="A79" t="s">
        <v>201</v>
      </c>
      <c r="B79">
        <v>5102340</v>
      </c>
    </row>
    <row r="80" spans="1:2" x14ac:dyDescent="0.2">
      <c r="A80" t="s">
        <v>86</v>
      </c>
      <c r="B80">
        <v>5102370</v>
      </c>
    </row>
    <row r="81" spans="1:2" x14ac:dyDescent="0.2">
      <c r="A81" t="s">
        <v>273</v>
      </c>
      <c r="B81">
        <v>5100061</v>
      </c>
    </row>
    <row r="82" spans="1:2" x14ac:dyDescent="0.2">
      <c r="A82" t="s">
        <v>227</v>
      </c>
      <c r="B82">
        <v>5102360</v>
      </c>
    </row>
    <row r="83" spans="1:2" x14ac:dyDescent="0.2">
      <c r="A83" t="s">
        <v>220</v>
      </c>
      <c r="B83">
        <v>5102390</v>
      </c>
    </row>
    <row r="84" spans="1:2" x14ac:dyDescent="0.2">
      <c r="A84" t="s">
        <v>212</v>
      </c>
      <c r="B84">
        <v>5102400</v>
      </c>
    </row>
    <row r="85" spans="1:2" x14ac:dyDescent="0.2">
      <c r="A85" t="s">
        <v>87</v>
      </c>
      <c r="B85">
        <v>5102430</v>
      </c>
    </row>
    <row r="86" spans="1:2" x14ac:dyDescent="0.2">
      <c r="A86" t="s">
        <v>88</v>
      </c>
      <c r="B86">
        <v>5102460</v>
      </c>
    </row>
    <row r="87" spans="1:2" x14ac:dyDescent="0.2">
      <c r="A87" t="s">
        <v>89</v>
      </c>
      <c r="B87">
        <v>5102490</v>
      </c>
    </row>
    <row r="88" spans="1:2" x14ac:dyDescent="0.2">
      <c r="A88" t="s">
        <v>90</v>
      </c>
      <c r="B88">
        <v>5102520</v>
      </c>
    </row>
    <row r="89" spans="1:2" x14ac:dyDescent="0.2">
      <c r="A89" t="s">
        <v>91</v>
      </c>
      <c r="B89">
        <v>5102580</v>
      </c>
    </row>
    <row r="90" spans="1:2" x14ac:dyDescent="0.2">
      <c r="A90" t="s">
        <v>268</v>
      </c>
      <c r="B90">
        <v>5100009</v>
      </c>
    </row>
    <row r="91" spans="1:2" x14ac:dyDescent="0.2">
      <c r="A91" t="s">
        <v>92</v>
      </c>
      <c r="B91">
        <v>5102610</v>
      </c>
    </row>
    <row r="92" spans="1:2" x14ac:dyDescent="0.2">
      <c r="A92" t="s">
        <v>202</v>
      </c>
      <c r="B92">
        <v>5102640</v>
      </c>
    </row>
    <row r="93" spans="1:2" x14ac:dyDescent="0.2">
      <c r="A93" t="s">
        <v>203</v>
      </c>
      <c r="B93">
        <v>5102670</v>
      </c>
    </row>
    <row r="94" spans="1:2" x14ac:dyDescent="0.2">
      <c r="A94" t="s">
        <v>93</v>
      </c>
      <c r="B94">
        <v>5102710</v>
      </c>
    </row>
    <row r="95" spans="1:2" x14ac:dyDescent="0.2">
      <c r="A95" t="s">
        <v>272</v>
      </c>
      <c r="B95">
        <v>5100097</v>
      </c>
    </row>
    <row r="96" spans="1:2" x14ac:dyDescent="0.2">
      <c r="A96" t="s">
        <v>269</v>
      </c>
      <c r="B96">
        <v>5100012</v>
      </c>
    </row>
    <row r="97" spans="1:2" x14ac:dyDescent="0.2">
      <c r="A97" t="s">
        <v>94</v>
      </c>
      <c r="B97">
        <v>5102730</v>
      </c>
    </row>
    <row r="98" spans="1:2" x14ac:dyDescent="0.2">
      <c r="A98" t="s">
        <v>226</v>
      </c>
      <c r="B98">
        <v>5102760</v>
      </c>
    </row>
    <row r="99" spans="1:2" x14ac:dyDescent="0.2">
      <c r="A99" t="s">
        <v>95</v>
      </c>
      <c r="B99">
        <v>5102790</v>
      </c>
    </row>
    <row r="100" spans="1:2" x14ac:dyDescent="0.2">
      <c r="A100" t="s">
        <v>96</v>
      </c>
      <c r="B100">
        <v>5102820</v>
      </c>
    </row>
    <row r="101" spans="1:2" x14ac:dyDescent="0.2">
      <c r="A101" t="s">
        <v>130</v>
      </c>
      <c r="B101">
        <v>5102850</v>
      </c>
    </row>
    <row r="102" spans="1:2" x14ac:dyDescent="0.2">
      <c r="A102" t="s">
        <v>131</v>
      </c>
      <c r="B102">
        <v>5102880</v>
      </c>
    </row>
    <row r="103" spans="1:2" x14ac:dyDescent="0.2">
      <c r="A103" t="s">
        <v>204</v>
      </c>
      <c r="B103">
        <v>5102910</v>
      </c>
    </row>
    <row r="104" spans="1:2" x14ac:dyDescent="0.2">
      <c r="A104" t="s">
        <v>132</v>
      </c>
      <c r="B104">
        <v>5102940</v>
      </c>
    </row>
    <row r="105" spans="1:2" x14ac:dyDescent="0.2">
      <c r="A105" t="s">
        <v>263</v>
      </c>
      <c r="B105">
        <v>5102980</v>
      </c>
    </row>
    <row r="106" spans="1:2" x14ac:dyDescent="0.2">
      <c r="A106" t="s">
        <v>205</v>
      </c>
      <c r="B106">
        <v>5103000</v>
      </c>
    </row>
    <row r="107" spans="1:2" x14ac:dyDescent="0.2">
      <c r="A107" t="s">
        <v>133</v>
      </c>
      <c r="B107">
        <v>5103030</v>
      </c>
    </row>
    <row r="108" spans="1:2" x14ac:dyDescent="0.2">
      <c r="A108" t="s">
        <v>134</v>
      </c>
      <c r="B108">
        <v>5103060</v>
      </c>
    </row>
    <row r="109" spans="1:2" x14ac:dyDescent="0.2">
      <c r="A109" t="s">
        <v>135</v>
      </c>
      <c r="B109">
        <v>5103090</v>
      </c>
    </row>
    <row r="110" spans="1:2" x14ac:dyDescent="0.2">
      <c r="A110" t="s">
        <v>136</v>
      </c>
      <c r="B110">
        <v>5103130</v>
      </c>
    </row>
    <row r="111" spans="1:2" x14ac:dyDescent="0.2">
      <c r="A111" t="s">
        <v>137</v>
      </c>
      <c r="B111">
        <v>5103150</v>
      </c>
    </row>
    <row r="112" spans="1:2" x14ac:dyDescent="0.2">
      <c r="A112" t="s">
        <v>206</v>
      </c>
      <c r="B112">
        <v>5103180</v>
      </c>
    </row>
    <row r="113" spans="1:2" x14ac:dyDescent="0.2">
      <c r="A113" t="s">
        <v>138</v>
      </c>
      <c r="B113">
        <v>5103210</v>
      </c>
    </row>
    <row r="114" spans="1:2" x14ac:dyDescent="0.2">
      <c r="A114" t="s">
        <v>139</v>
      </c>
      <c r="B114">
        <v>5103270</v>
      </c>
    </row>
    <row r="115" spans="1:2" x14ac:dyDescent="0.2">
      <c r="A115" t="s">
        <v>207</v>
      </c>
      <c r="B115">
        <v>5103240</v>
      </c>
    </row>
    <row r="116" spans="1:2" x14ac:dyDescent="0.2">
      <c r="A116" t="s">
        <v>208</v>
      </c>
      <c r="B116">
        <v>5103300</v>
      </c>
    </row>
    <row r="117" spans="1:2" x14ac:dyDescent="0.2">
      <c r="A117" t="s">
        <v>140</v>
      </c>
      <c r="B117">
        <v>5103330</v>
      </c>
    </row>
    <row r="118" spans="1:2" x14ac:dyDescent="0.2">
      <c r="A118" t="s">
        <v>141</v>
      </c>
      <c r="B118">
        <v>5103370</v>
      </c>
    </row>
    <row r="119" spans="1:2" x14ac:dyDescent="0.2">
      <c r="A119" t="s">
        <v>142</v>
      </c>
      <c r="B119">
        <v>5103390</v>
      </c>
    </row>
    <row r="120" spans="1:2" x14ac:dyDescent="0.2">
      <c r="A120" t="s">
        <v>270</v>
      </c>
      <c r="B120">
        <v>5100011</v>
      </c>
    </row>
    <row r="121" spans="1:2" x14ac:dyDescent="0.2">
      <c r="A121" t="s">
        <v>143</v>
      </c>
      <c r="B121">
        <v>5103420</v>
      </c>
    </row>
    <row r="122" spans="1:2" x14ac:dyDescent="0.2">
      <c r="A122" t="s">
        <v>144</v>
      </c>
      <c r="B122">
        <v>5103480</v>
      </c>
    </row>
    <row r="123" spans="1:2" x14ac:dyDescent="0.2">
      <c r="A123" t="s">
        <v>145</v>
      </c>
      <c r="B123">
        <v>5103510</v>
      </c>
    </row>
    <row r="124" spans="1:2" x14ac:dyDescent="0.2">
      <c r="A124" t="s">
        <v>146</v>
      </c>
      <c r="B124">
        <v>5103520</v>
      </c>
    </row>
    <row r="125" spans="1:2" x14ac:dyDescent="0.2">
      <c r="A125" t="s">
        <v>147</v>
      </c>
      <c r="B125">
        <v>5103600</v>
      </c>
    </row>
    <row r="126" spans="1:2" x14ac:dyDescent="0.2">
      <c r="A126" t="s">
        <v>148</v>
      </c>
      <c r="B126">
        <v>5103640</v>
      </c>
    </row>
    <row r="127" spans="1:2" x14ac:dyDescent="0.2">
      <c r="A127" t="s">
        <v>149</v>
      </c>
      <c r="B127">
        <v>5103660</v>
      </c>
    </row>
    <row r="128" spans="1:2" x14ac:dyDescent="0.2">
      <c r="A128" t="s">
        <v>209</v>
      </c>
      <c r="B128">
        <v>5103690</v>
      </c>
    </row>
    <row r="129" spans="1:2" x14ac:dyDescent="0.2">
      <c r="A129" t="s">
        <v>210</v>
      </c>
      <c r="B129">
        <v>5103710</v>
      </c>
    </row>
    <row r="130" spans="1:2" x14ac:dyDescent="0.2">
      <c r="A130" t="s">
        <v>150</v>
      </c>
      <c r="B130">
        <v>5103750</v>
      </c>
    </row>
    <row r="131" spans="1:2" x14ac:dyDescent="0.2">
      <c r="A131" t="s">
        <v>151</v>
      </c>
      <c r="B131">
        <v>5103780</v>
      </c>
    </row>
    <row r="132" spans="1:2" x14ac:dyDescent="0.2">
      <c r="A132" t="s">
        <v>152</v>
      </c>
      <c r="B132">
        <v>5103810</v>
      </c>
    </row>
    <row r="133" spans="1:2" x14ac:dyDescent="0.2">
      <c r="A133" t="s">
        <v>266</v>
      </c>
      <c r="B133">
        <v>5100010</v>
      </c>
    </row>
    <row r="134" spans="1:2" x14ac:dyDescent="0.2">
      <c r="A134" t="s">
        <v>224</v>
      </c>
      <c r="B134">
        <v>5100930</v>
      </c>
    </row>
    <row r="135" spans="1:2" x14ac:dyDescent="0.2">
      <c r="A135" t="s">
        <v>221</v>
      </c>
      <c r="B135">
        <v>5103950</v>
      </c>
    </row>
    <row r="136" spans="1:2" x14ac:dyDescent="0.2">
      <c r="A136" t="s">
        <v>264</v>
      </c>
      <c r="B136">
        <v>5100008</v>
      </c>
    </row>
    <row r="137" spans="1:2" x14ac:dyDescent="0.2">
      <c r="A137" t="s">
        <v>219</v>
      </c>
      <c r="B137">
        <v>5103840</v>
      </c>
    </row>
    <row r="138" spans="1:2" x14ac:dyDescent="0.2">
      <c r="A138" t="s">
        <v>153</v>
      </c>
      <c r="B138">
        <v>5103870</v>
      </c>
    </row>
    <row r="139" spans="1:2" x14ac:dyDescent="0.2">
      <c r="A139" t="s">
        <v>154</v>
      </c>
      <c r="B139">
        <v>5103900</v>
      </c>
    </row>
    <row r="140" spans="1:2" x14ac:dyDescent="0.2">
      <c r="A140" t="s">
        <v>223</v>
      </c>
      <c r="B140">
        <v>5103930</v>
      </c>
    </row>
    <row r="141" spans="1:2" x14ac:dyDescent="0.2">
      <c r="A141" t="s">
        <v>155</v>
      </c>
      <c r="B141">
        <v>5103980</v>
      </c>
    </row>
    <row r="142" spans="1:2" x14ac:dyDescent="0.2">
      <c r="A142" t="s">
        <v>294</v>
      </c>
      <c r="B142">
        <v>5104020</v>
      </c>
    </row>
    <row r="143" spans="1:2" x14ac:dyDescent="0.2">
      <c r="A143" t="s">
        <v>211</v>
      </c>
      <c r="B143">
        <v>5104050</v>
      </c>
    </row>
    <row r="144" spans="1:2" x14ac:dyDescent="0.2">
      <c r="A144" t="s">
        <v>156</v>
      </c>
      <c r="B144">
        <v>5104080</v>
      </c>
    </row>
    <row r="145" spans="1:2" x14ac:dyDescent="0.2">
      <c r="A145" t="s">
        <v>157</v>
      </c>
      <c r="B145">
        <v>5104110</v>
      </c>
    </row>
    <row r="146" spans="1:2" x14ac:dyDescent="0.2">
      <c r="A146" t="s">
        <v>158</v>
      </c>
      <c r="B146">
        <v>5104150</v>
      </c>
    </row>
  </sheetData>
  <autoFilter ref="A1:B1" xr:uid="{8956FD5F-4A21-7045-9302-26A93CB38316}">
    <sortState xmlns:xlrd2="http://schemas.microsoft.com/office/spreadsheetml/2017/richdata2" ref="A2:B146">
      <sortCondition ref="A1:A14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812B0-9F20-2A47-9B48-FF245BA15EA8}">
  <dimension ref="A1:D431"/>
  <sheetViews>
    <sheetView topLeftCell="A253" workbookViewId="0">
      <selection activeCell="A289" sqref="A289"/>
    </sheetView>
  </sheetViews>
  <sheetFormatPr baseColWidth="10" defaultRowHeight="16" x14ac:dyDescent="0.2"/>
  <cols>
    <col min="2" max="3" width="10.83203125" style="1"/>
  </cols>
  <sheetData>
    <row r="1" spans="1:4" x14ac:dyDescent="0.2">
      <c r="A1">
        <v>2021</v>
      </c>
      <c r="B1" s="1" t="s">
        <v>32</v>
      </c>
      <c r="C1" s="1" t="s">
        <v>0</v>
      </c>
      <c r="D1" s="2">
        <v>190977</v>
      </c>
    </row>
    <row r="2" spans="1:4" x14ac:dyDescent="0.2">
      <c r="A2">
        <v>2021</v>
      </c>
      <c r="B2" s="1" t="s">
        <v>33</v>
      </c>
      <c r="C2" s="1" t="s">
        <v>1</v>
      </c>
      <c r="D2" s="3">
        <v>695251</v>
      </c>
    </row>
    <row r="3" spans="1:4" x14ac:dyDescent="0.2">
      <c r="A3">
        <v>2021</v>
      </c>
      <c r="B3" s="1" t="s">
        <v>34</v>
      </c>
      <c r="C3" s="1" t="s">
        <v>2</v>
      </c>
      <c r="D3" s="3">
        <v>77711</v>
      </c>
    </row>
    <row r="4" spans="1:4" x14ac:dyDescent="0.2">
      <c r="A4">
        <v>2021</v>
      </c>
      <c r="B4" s="1" t="s">
        <v>35</v>
      </c>
      <c r="C4" s="1" t="s">
        <v>3</v>
      </c>
      <c r="D4" s="3">
        <v>62663</v>
      </c>
    </row>
    <row r="5" spans="1:4" x14ac:dyDescent="0.2">
      <c r="A5">
        <v>2021</v>
      </c>
      <c r="B5" s="1" t="s">
        <v>36</v>
      </c>
      <c r="C5" s="1" t="s">
        <v>4</v>
      </c>
      <c r="D5" s="3">
        <v>177383</v>
      </c>
    </row>
    <row r="6" spans="1:4" x14ac:dyDescent="0.2">
      <c r="A6">
        <v>2021</v>
      </c>
      <c r="B6" s="1" t="s">
        <v>37</v>
      </c>
      <c r="C6" s="1" t="s">
        <v>5</v>
      </c>
      <c r="D6" s="3">
        <v>81839</v>
      </c>
    </row>
    <row r="7" spans="1:4" x14ac:dyDescent="0.2">
      <c r="A7">
        <v>2021</v>
      </c>
      <c r="B7" s="1" t="s">
        <v>38</v>
      </c>
      <c r="C7" s="1" t="s">
        <v>6</v>
      </c>
      <c r="D7" s="3">
        <v>2208510</v>
      </c>
    </row>
    <row r="8" spans="1:4" x14ac:dyDescent="0.2">
      <c r="A8">
        <v>2021</v>
      </c>
      <c r="B8" s="1" t="s">
        <v>39</v>
      </c>
      <c r="C8" s="1" t="s">
        <v>7</v>
      </c>
      <c r="D8" s="3">
        <v>422411</v>
      </c>
    </row>
    <row r="9" spans="1:4" x14ac:dyDescent="0.2">
      <c r="A9">
        <v>2021</v>
      </c>
      <c r="B9" s="1" t="s">
        <v>40</v>
      </c>
      <c r="C9" s="1" t="s">
        <v>8</v>
      </c>
      <c r="D9" s="3">
        <v>31555</v>
      </c>
    </row>
    <row r="10" spans="1:4" x14ac:dyDescent="0.2">
      <c r="A10">
        <v>2021</v>
      </c>
      <c r="B10" s="1" t="s">
        <v>41</v>
      </c>
      <c r="C10" s="1" t="s">
        <v>9</v>
      </c>
      <c r="D10" s="3">
        <v>373384</v>
      </c>
    </row>
    <row r="11" spans="1:4" x14ac:dyDescent="0.2">
      <c r="A11">
        <v>2021</v>
      </c>
      <c r="B11" s="1" t="s">
        <v>42</v>
      </c>
      <c r="C11" s="1" t="s">
        <v>10</v>
      </c>
      <c r="D11" s="3">
        <v>26231</v>
      </c>
    </row>
    <row r="12" spans="1:4" x14ac:dyDescent="0.2">
      <c r="A12">
        <v>2021</v>
      </c>
      <c r="B12" s="1" t="s">
        <v>43</v>
      </c>
      <c r="C12" s="1" t="s">
        <v>11</v>
      </c>
      <c r="D12" s="3">
        <v>196897</v>
      </c>
    </row>
    <row r="13" spans="1:4" x14ac:dyDescent="0.2">
      <c r="A13">
        <v>2021</v>
      </c>
      <c r="B13" s="1" t="s">
        <v>44</v>
      </c>
      <c r="C13" s="1" t="s">
        <v>12</v>
      </c>
      <c r="D13" s="3">
        <v>61357</v>
      </c>
    </row>
    <row r="14" spans="1:4" x14ac:dyDescent="0.2">
      <c r="A14">
        <v>2021</v>
      </c>
      <c r="B14" s="1" t="s">
        <v>45</v>
      </c>
      <c r="C14" s="1" t="s">
        <v>13</v>
      </c>
      <c r="D14" s="3">
        <v>95323</v>
      </c>
    </row>
    <row r="15" spans="1:4" x14ac:dyDescent="0.2">
      <c r="A15">
        <v>2021</v>
      </c>
      <c r="B15" s="1" t="s">
        <v>46</v>
      </c>
      <c r="C15" s="1" t="s">
        <v>14</v>
      </c>
      <c r="D15" s="3">
        <v>80925</v>
      </c>
    </row>
    <row r="16" spans="1:4" x14ac:dyDescent="0.2">
      <c r="A16">
        <v>2021</v>
      </c>
      <c r="B16" s="1" t="s">
        <v>47</v>
      </c>
      <c r="C16" s="1" t="s">
        <v>15</v>
      </c>
      <c r="D16" s="3">
        <v>293716</v>
      </c>
    </row>
    <row r="17" spans="1:4" x14ac:dyDescent="0.2">
      <c r="A17">
        <v>2021</v>
      </c>
      <c r="B17" s="1" t="s">
        <v>48</v>
      </c>
      <c r="C17" s="1" t="s">
        <v>16</v>
      </c>
      <c r="D17" s="3">
        <v>157311</v>
      </c>
    </row>
    <row r="18" spans="1:4" x14ac:dyDescent="0.2">
      <c r="A18">
        <v>2021</v>
      </c>
      <c r="B18" s="1" t="s">
        <v>49</v>
      </c>
      <c r="C18" s="1" t="s">
        <v>17</v>
      </c>
      <c r="D18" s="3">
        <v>150778</v>
      </c>
    </row>
    <row r="19" spans="1:4" x14ac:dyDescent="0.2">
      <c r="A19">
        <v>2021</v>
      </c>
      <c r="B19" s="1" t="s">
        <v>50</v>
      </c>
      <c r="C19" s="1" t="s">
        <v>18</v>
      </c>
      <c r="D19" s="3">
        <v>28991</v>
      </c>
    </row>
    <row r="20" spans="1:4" x14ac:dyDescent="0.2">
      <c r="A20">
        <v>2021</v>
      </c>
      <c r="B20" s="1" t="s">
        <v>51</v>
      </c>
      <c r="C20" s="1" t="s">
        <v>19</v>
      </c>
      <c r="D20" s="3">
        <v>82919</v>
      </c>
    </row>
    <row r="21" spans="1:4" x14ac:dyDescent="0.2">
      <c r="A21">
        <v>2021</v>
      </c>
      <c r="B21" s="1" t="s">
        <v>52</v>
      </c>
      <c r="C21" s="1" t="s">
        <v>20</v>
      </c>
      <c r="D21" s="3">
        <v>2332579</v>
      </c>
    </row>
    <row r="22" spans="1:4" x14ac:dyDescent="0.2">
      <c r="A22">
        <v>2021</v>
      </c>
      <c r="B22" s="1" t="s">
        <v>53</v>
      </c>
      <c r="C22" s="1" t="s">
        <v>21</v>
      </c>
      <c r="D22" s="3">
        <v>84581</v>
      </c>
    </row>
    <row r="23" spans="1:4" x14ac:dyDescent="0.2">
      <c r="A23">
        <v>2021</v>
      </c>
      <c r="B23" s="1" t="s">
        <v>54</v>
      </c>
      <c r="C23" s="1" t="s">
        <v>22</v>
      </c>
      <c r="D23" s="3">
        <v>25562</v>
      </c>
    </row>
    <row r="24" spans="1:4" x14ac:dyDescent="0.2">
      <c r="A24">
        <v>2021</v>
      </c>
      <c r="B24" s="1" t="s">
        <v>55</v>
      </c>
      <c r="C24" s="1" t="s">
        <v>23</v>
      </c>
      <c r="D24" s="3">
        <v>321377</v>
      </c>
    </row>
    <row r="25" spans="1:4" x14ac:dyDescent="0.2">
      <c r="A25">
        <v>2021</v>
      </c>
      <c r="B25" s="1" t="s">
        <v>56</v>
      </c>
      <c r="C25" s="1" t="s">
        <v>24</v>
      </c>
      <c r="D25" s="3">
        <v>59357</v>
      </c>
    </row>
    <row r="26" spans="1:4" x14ac:dyDescent="0.2">
      <c r="A26">
        <v>2021</v>
      </c>
      <c r="B26" s="1" t="s">
        <v>57</v>
      </c>
      <c r="C26" s="1" t="s">
        <v>25</v>
      </c>
      <c r="D26" s="3">
        <v>69411</v>
      </c>
    </row>
    <row r="27" spans="1:4" x14ac:dyDescent="0.2">
      <c r="A27">
        <v>2021</v>
      </c>
      <c r="B27" s="1" t="s">
        <v>58</v>
      </c>
      <c r="C27" s="1" t="s">
        <v>26</v>
      </c>
      <c r="D27" s="3">
        <v>168862</v>
      </c>
    </row>
    <row r="28" spans="1:4" x14ac:dyDescent="0.2">
      <c r="A28">
        <v>2021</v>
      </c>
      <c r="B28" s="1" t="s">
        <v>59</v>
      </c>
      <c r="C28" s="1" t="s">
        <v>27</v>
      </c>
      <c r="D28" s="3">
        <v>55547</v>
      </c>
    </row>
    <row r="29" spans="1:4" x14ac:dyDescent="0.2">
      <c r="A29">
        <v>2021</v>
      </c>
      <c r="B29" s="1" t="s">
        <v>60</v>
      </c>
      <c r="C29" s="1" t="s">
        <v>28</v>
      </c>
      <c r="D29" s="3">
        <v>11285433</v>
      </c>
    </row>
    <row r="30" spans="1:4" x14ac:dyDescent="0.2">
      <c r="A30">
        <v>2021</v>
      </c>
      <c r="B30" s="1" t="s">
        <v>61</v>
      </c>
      <c r="C30" s="1" t="s">
        <v>29</v>
      </c>
      <c r="D30" s="3">
        <v>533186</v>
      </c>
    </row>
    <row r="31" spans="1:4" x14ac:dyDescent="0.2">
      <c r="A31">
        <v>2021</v>
      </c>
      <c r="B31" s="1" t="s">
        <v>62</v>
      </c>
      <c r="C31" s="1" t="s">
        <v>30</v>
      </c>
      <c r="D31" s="3">
        <v>77907</v>
      </c>
    </row>
    <row r="32" spans="1:4" x14ac:dyDescent="0.2">
      <c r="A32">
        <v>2021</v>
      </c>
      <c r="B32" s="1" t="s">
        <v>63</v>
      </c>
      <c r="C32" s="1" t="s">
        <v>31</v>
      </c>
      <c r="D32" s="3">
        <v>172660</v>
      </c>
    </row>
    <row r="33" spans="1:4" x14ac:dyDescent="0.2">
      <c r="A33">
        <v>2021</v>
      </c>
      <c r="B33" s="1" t="s">
        <v>97</v>
      </c>
      <c r="C33" s="1" t="s">
        <v>64</v>
      </c>
      <c r="D33" s="3">
        <v>291993</v>
      </c>
    </row>
    <row r="34" spans="1:4" x14ac:dyDescent="0.2">
      <c r="A34">
        <v>2021</v>
      </c>
      <c r="B34" s="1" t="s">
        <v>98</v>
      </c>
      <c r="C34" s="1" t="s">
        <v>65</v>
      </c>
      <c r="D34" s="3">
        <v>670548</v>
      </c>
    </row>
    <row r="35" spans="1:4" x14ac:dyDescent="0.2">
      <c r="A35">
        <v>2021</v>
      </c>
      <c r="B35" s="1" t="s">
        <v>99</v>
      </c>
      <c r="C35" s="1" t="s">
        <v>66</v>
      </c>
      <c r="D35" s="3">
        <v>90072</v>
      </c>
    </row>
    <row r="36" spans="1:4" x14ac:dyDescent="0.2">
      <c r="A36">
        <v>2021</v>
      </c>
      <c r="B36" s="1" t="s">
        <v>100</v>
      </c>
      <c r="C36" s="1" t="s">
        <v>67</v>
      </c>
      <c r="D36" s="3">
        <v>217367</v>
      </c>
    </row>
    <row r="37" spans="1:4" x14ac:dyDescent="0.2">
      <c r="A37">
        <v>2021</v>
      </c>
      <c r="B37" s="1" t="s">
        <v>101</v>
      </c>
      <c r="C37" s="1" t="s">
        <v>68</v>
      </c>
      <c r="D37" s="3">
        <v>111843</v>
      </c>
    </row>
    <row r="38" spans="1:4" x14ac:dyDescent="0.2">
      <c r="A38">
        <v>2021</v>
      </c>
      <c r="B38" s="1" t="s">
        <v>102</v>
      </c>
      <c r="C38" s="1" t="s">
        <v>69</v>
      </c>
      <c r="D38" s="3">
        <v>67485</v>
      </c>
    </row>
    <row r="39" spans="1:4" x14ac:dyDescent="0.2">
      <c r="A39">
        <v>2021</v>
      </c>
      <c r="B39" s="1" t="s">
        <v>103</v>
      </c>
      <c r="C39" s="1" t="s">
        <v>70</v>
      </c>
      <c r="D39" s="3">
        <v>120290</v>
      </c>
    </row>
    <row r="40" spans="1:4" x14ac:dyDescent="0.2">
      <c r="A40">
        <v>2021</v>
      </c>
      <c r="B40" s="1" t="s">
        <v>104</v>
      </c>
      <c r="C40" s="1" t="s">
        <v>71</v>
      </c>
      <c r="D40" s="3">
        <v>93851</v>
      </c>
    </row>
    <row r="41" spans="1:4" x14ac:dyDescent="0.2">
      <c r="A41">
        <v>2021</v>
      </c>
      <c r="B41" s="1" t="s">
        <v>105</v>
      </c>
      <c r="C41" s="1" t="s">
        <v>72</v>
      </c>
      <c r="D41" s="3">
        <v>193891</v>
      </c>
    </row>
    <row r="42" spans="1:4" x14ac:dyDescent="0.2">
      <c r="A42">
        <v>2021</v>
      </c>
      <c r="B42" s="1" t="s">
        <v>106</v>
      </c>
      <c r="C42" s="1" t="s">
        <v>73</v>
      </c>
      <c r="D42" s="3">
        <v>732751</v>
      </c>
    </row>
    <row r="43" spans="1:4" x14ac:dyDescent="0.2">
      <c r="A43">
        <v>2021</v>
      </c>
      <c r="B43" s="1" t="s">
        <v>107</v>
      </c>
      <c r="C43" s="1" t="s">
        <v>74</v>
      </c>
      <c r="D43" s="3">
        <v>2035464</v>
      </c>
    </row>
    <row r="44" spans="1:4" x14ac:dyDescent="0.2">
      <c r="A44">
        <v>2021</v>
      </c>
      <c r="B44" s="1" t="s">
        <v>108</v>
      </c>
      <c r="C44" s="1" t="s">
        <v>75</v>
      </c>
      <c r="D44" s="3">
        <v>272313</v>
      </c>
    </row>
    <row r="45" spans="1:4" x14ac:dyDescent="0.2">
      <c r="A45">
        <v>2021</v>
      </c>
      <c r="B45" s="1" t="s">
        <v>109</v>
      </c>
      <c r="C45" s="1" t="s">
        <v>76</v>
      </c>
      <c r="D45" s="3">
        <v>13189</v>
      </c>
    </row>
    <row r="46" spans="1:4" x14ac:dyDescent="0.2">
      <c r="A46">
        <v>2021</v>
      </c>
      <c r="B46" s="1" t="s">
        <v>110</v>
      </c>
      <c r="C46" s="1" t="s">
        <v>77</v>
      </c>
      <c r="D46" s="3">
        <v>222680</v>
      </c>
    </row>
    <row r="47" spans="1:4" x14ac:dyDescent="0.2">
      <c r="A47">
        <v>2021</v>
      </c>
      <c r="B47" s="1" t="s">
        <v>111</v>
      </c>
      <c r="C47" s="1" t="s">
        <v>78</v>
      </c>
      <c r="D47" s="3">
        <v>169114</v>
      </c>
    </row>
    <row r="48" spans="1:4" x14ac:dyDescent="0.2">
      <c r="A48">
        <v>2021</v>
      </c>
      <c r="B48" s="1" t="s">
        <v>112</v>
      </c>
      <c r="C48" s="1" t="s">
        <v>79</v>
      </c>
      <c r="D48" s="3">
        <v>33954</v>
      </c>
    </row>
    <row r="49" spans="1:4" x14ac:dyDescent="0.2">
      <c r="A49">
        <v>2021</v>
      </c>
      <c r="B49" s="1" t="s">
        <v>113</v>
      </c>
      <c r="C49" s="1" t="s">
        <v>80</v>
      </c>
      <c r="D49" s="3">
        <v>85299</v>
      </c>
    </row>
    <row r="50" spans="1:4" x14ac:dyDescent="0.2">
      <c r="A50">
        <v>2021</v>
      </c>
      <c r="B50" s="1" t="s">
        <v>114</v>
      </c>
      <c r="C50" s="1" t="s">
        <v>81</v>
      </c>
      <c r="D50" s="3">
        <v>47572</v>
      </c>
    </row>
    <row r="51" spans="1:4" x14ac:dyDescent="0.2">
      <c r="A51">
        <v>2021</v>
      </c>
      <c r="B51" s="1" t="s">
        <v>115</v>
      </c>
      <c r="C51" s="1" t="s">
        <v>82</v>
      </c>
      <c r="D51" s="3">
        <v>131111</v>
      </c>
    </row>
    <row r="52" spans="1:4" x14ac:dyDescent="0.2">
      <c r="A52">
        <v>2021</v>
      </c>
      <c r="B52" s="1" t="s">
        <v>116</v>
      </c>
      <c r="C52" s="1" t="s">
        <v>83</v>
      </c>
      <c r="D52" s="3">
        <v>5011238</v>
      </c>
    </row>
    <row r="53" spans="1:4" x14ac:dyDescent="0.2">
      <c r="A53">
        <v>2021</v>
      </c>
      <c r="B53" s="1" t="s">
        <v>117</v>
      </c>
      <c r="C53" s="1" t="s">
        <v>84</v>
      </c>
      <c r="D53" s="3">
        <v>225508</v>
      </c>
    </row>
    <row r="54" spans="1:4" x14ac:dyDescent="0.2">
      <c r="A54">
        <v>2021</v>
      </c>
      <c r="B54" s="1" t="s">
        <v>118</v>
      </c>
      <c r="C54" s="1" t="s">
        <v>85</v>
      </c>
      <c r="D54" s="3">
        <v>61804</v>
      </c>
    </row>
    <row r="55" spans="1:4" x14ac:dyDescent="0.2">
      <c r="A55">
        <v>2021</v>
      </c>
      <c r="B55" s="1" t="s">
        <v>119</v>
      </c>
      <c r="C55" s="1" t="s">
        <v>86</v>
      </c>
      <c r="D55" s="3">
        <v>69791</v>
      </c>
    </row>
    <row r="56" spans="1:4" x14ac:dyDescent="0.2">
      <c r="A56">
        <v>2021</v>
      </c>
      <c r="B56" s="1" t="s">
        <v>120</v>
      </c>
      <c r="C56" s="1" t="s">
        <v>87</v>
      </c>
      <c r="D56" s="3">
        <v>53100</v>
      </c>
    </row>
    <row r="57" spans="1:4" x14ac:dyDescent="0.2">
      <c r="A57">
        <v>2021</v>
      </c>
      <c r="B57" s="1" t="s">
        <v>121</v>
      </c>
      <c r="C57" s="1" t="s">
        <v>88</v>
      </c>
      <c r="D57" s="3">
        <v>169378</v>
      </c>
    </row>
    <row r="58" spans="1:4" x14ac:dyDescent="0.2">
      <c r="A58">
        <v>2021</v>
      </c>
      <c r="B58" s="1" t="s">
        <v>122</v>
      </c>
      <c r="C58" s="1" t="s">
        <v>89</v>
      </c>
      <c r="D58" s="3">
        <v>63062</v>
      </c>
    </row>
    <row r="59" spans="1:4" x14ac:dyDescent="0.2">
      <c r="A59">
        <v>2021</v>
      </c>
      <c r="B59" s="1" t="s">
        <v>123</v>
      </c>
      <c r="C59" s="1" t="s">
        <v>90</v>
      </c>
      <c r="D59" s="3">
        <v>410761</v>
      </c>
    </row>
    <row r="60" spans="1:4" x14ac:dyDescent="0.2">
      <c r="A60">
        <v>2021</v>
      </c>
      <c r="B60" s="1" t="s">
        <v>124</v>
      </c>
      <c r="C60" s="1" t="s">
        <v>91</v>
      </c>
      <c r="D60" s="3">
        <v>79729</v>
      </c>
    </row>
    <row r="61" spans="1:4" x14ac:dyDescent="0.2">
      <c r="A61">
        <v>2021</v>
      </c>
      <c r="B61" s="1" t="s">
        <v>125</v>
      </c>
      <c r="C61" s="1" t="s">
        <v>92</v>
      </c>
      <c r="D61" s="3">
        <v>125290</v>
      </c>
    </row>
    <row r="62" spans="1:4" x14ac:dyDescent="0.2">
      <c r="A62">
        <v>2021</v>
      </c>
      <c r="B62" s="1" t="s">
        <v>126</v>
      </c>
      <c r="C62" s="1" t="s">
        <v>93</v>
      </c>
      <c r="D62" s="3">
        <v>63994</v>
      </c>
    </row>
    <row r="63" spans="1:4" x14ac:dyDescent="0.2">
      <c r="A63">
        <v>2021</v>
      </c>
      <c r="B63" s="1" t="s">
        <v>127</v>
      </c>
      <c r="C63" s="1" t="s">
        <v>94</v>
      </c>
      <c r="D63" s="3">
        <v>59608</v>
      </c>
    </row>
    <row r="64" spans="1:4" x14ac:dyDescent="0.2">
      <c r="A64">
        <v>2021</v>
      </c>
      <c r="B64" s="1" t="s">
        <v>128</v>
      </c>
      <c r="C64" s="1" t="s">
        <v>95</v>
      </c>
      <c r="D64" s="3">
        <v>77748</v>
      </c>
    </row>
    <row r="65" spans="1:4" x14ac:dyDescent="0.2">
      <c r="A65">
        <v>2021</v>
      </c>
      <c r="B65" s="1" t="s">
        <v>129</v>
      </c>
      <c r="C65" s="1" t="s">
        <v>96</v>
      </c>
      <c r="D65" s="3">
        <v>189302</v>
      </c>
    </row>
    <row r="66" spans="1:4" x14ac:dyDescent="0.2">
      <c r="A66">
        <v>2021</v>
      </c>
      <c r="B66" s="1" t="s">
        <v>163</v>
      </c>
      <c r="C66" s="1" t="s">
        <v>130</v>
      </c>
      <c r="D66" s="3">
        <v>130449</v>
      </c>
    </row>
    <row r="67" spans="1:4" x14ac:dyDescent="0.2">
      <c r="A67">
        <v>2021</v>
      </c>
      <c r="B67" s="1" t="s">
        <v>164</v>
      </c>
      <c r="C67" s="1" t="s">
        <v>131</v>
      </c>
      <c r="D67" s="3">
        <v>88710</v>
      </c>
    </row>
    <row r="68" spans="1:4" x14ac:dyDescent="0.2">
      <c r="A68">
        <v>2021</v>
      </c>
      <c r="B68" s="1" t="s">
        <v>165</v>
      </c>
      <c r="C68" s="1" t="s">
        <v>132</v>
      </c>
      <c r="D68" s="3">
        <v>316941</v>
      </c>
    </row>
    <row r="69" spans="1:4" x14ac:dyDescent="0.2">
      <c r="A69">
        <v>2021</v>
      </c>
      <c r="B69" s="1" t="s">
        <v>166</v>
      </c>
      <c r="C69" s="1" t="s">
        <v>133</v>
      </c>
      <c r="D69" s="3">
        <v>175892</v>
      </c>
    </row>
    <row r="70" spans="1:4" x14ac:dyDescent="0.2">
      <c r="A70">
        <v>2021</v>
      </c>
      <c r="B70" s="1" t="s">
        <v>167</v>
      </c>
      <c r="C70" s="1" t="s">
        <v>134</v>
      </c>
      <c r="D70" s="3">
        <v>78797</v>
      </c>
    </row>
    <row r="71" spans="1:4" x14ac:dyDescent="0.2">
      <c r="A71">
        <v>2021</v>
      </c>
      <c r="B71" s="1" t="s">
        <v>168</v>
      </c>
      <c r="C71" s="1" t="s">
        <v>135</v>
      </c>
      <c r="D71" s="3">
        <v>237875</v>
      </c>
    </row>
    <row r="72" spans="1:4" x14ac:dyDescent="0.2">
      <c r="A72">
        <v>2021</v>
      </c>
      <c r="B72" s="1" t="s">
        <v>169</v>
      </c>
      <c r="C72" s="1" t="s">
        <v>136</v>
      </c>
      <c r="D72" s="3">
        <v>4216910</v>
      </c>
    </row>
    <row r="73" spans="1:4" x14ac:dyDescent="0.2">
      <c r="A73">
        <v>2021</v>
      </c>
      <c r="B73" s="1" t="s">
        <v>170</v>
      </c>
      <c r="C73" s="1" t="s">
        <v>137</v>
      </c>
      <c r="D73" s="3">
        <v>152171</v>
      </c>
    </row>
    <row r="74" spans="1:4" x14ac:dyDescent="0.2">
      <c r="A74">
        <v>2021</v>
      </c>
      <c r="B74" s="1" t="s">
        <v>171</v>
      </c>
      <c r="C74" s="1" t="s">
        <v>138</v>
      </c>
      <c r="D74" s="3">
        <v>43039</v>
      </c>
    </row>
    <row r="75" spans="1:4" x14ac:dyDescent="0.2">
      <c r="A75">
        <v>2021</v>
      </c>
      <c r="B75" s="1" t="s">
        <v>172</v>
      </c>
      <c r="C75" s="1" t="s">
        <v>139</v>
      </c>
      <c r="D75" s="3">
        <v>51431</v>
      </c>
    </row>
    <row r="76" spans="1:4" x14ac:dyDescent="0.2">
      <c r="A76">
        <v>2021</v>
      </c>
      <c r="B76" s="1" t="s">
        <v>173</v>
      </c>
      <c r="C76" s="1" t="s">
        <v>140</v>
      </c>
      <c r="D76" s="3">
        <v>573575</v>
      </c>
    </row>
    <row r="77" spans="1:4" x14ac:dyDescent="0.2">
      <c r="A77">
        <v>2021</v>
      </c>
      <c r="B77" s="1" t="s">
        <v>174</v>
      </c>
      <c r="C77" s="1" t="s">
        <v>141</v>
      </c>
      <c r="D77" s="3">
        <v>123069</v>
      </c>
    </row>
    <row r="78" spans="1:4" x14ac:dyDescent="0.2">
      <c r="A78">
        <v>2021</v>
      </c>
      <c r="B78" s="1" t="s">
        <v>175</v>
      </c>
      <c r="C78" s="1" t="s">
        <v>142</v>
      </c>
      <c r="D78" s="3">
        <v>495981</v>
      </c>
    </row>
    <row r="79" spans="1:4" x14ac:dyDescent="0.2">
      <c r="A79">
        <v>2021</v>
      </c>
      <c r="B79" s="1" t="s">
        <v>176</v>
      </c>
      <c r="C79" s="1" t="s">
        <v>143</v>
      </c>
      <c r="D79" s="3">
        <v>135970</v>
      </c>
    </row>
    <row r="80" spans="1:4" x14ac:dyDescent="0.2">
      <c r="A80">
        <v>2021</v>
      </c>
      <c r="B80" s="1" t="s">
        <v>177</v>
      </c>
      <c r="C80" s="1" t="s">
        <v>144</v>
      </c>
      <c r="D80" s="3">
        <v>152385</v>
      </c>
    </row>
    <row r="81" spans="1:4" x14ac:dyDescent="0.2">
      <c r="A81">
        <v>2021</v>
      </c>
      <c r="B81" s="1" t="s">
        <v>178</v>
      </c>
      <c r="C81" s="1" t="s">
        <v>145</v>
      </c>
      <c r="D81" s="3">
        <v>266001</v>
      </c>
    </row>
    <row r="82" spans="1:4" x14ac:dyDescent="0.2">
      <c r="A82">
        <v>2021</v>
      </c>
      <c r="B82" s="1" t="s">
        <v>179</v>
      </c>
      <c r="C82" s="1" t="s">
        <v>146</v>
      </c>
      <c r="D82" s="3">
        <v>162378</v>
      </c>
    </row>
    <row r="83" spans="1:4" x14ac:dyDescent="0.2">
      <c r="A83">
        <v>2021</v>
      </c>
      <c r="B83" s="1" t="s">
        <v>180</v>
      </c>
      <c r="C83" s="1" t="s">
        <v>147</v>
      </c>
      <c r="D83" s="3">
        <v>92611</v>
      </c>
    </row>
    <row r="84" spans="1:4" x14ac:dyDescent="0.2">
      <c r="A84">
        <v>2021</v>
      </c>
      <c r="B84" s="1" t="s">
        <v>181</v>
      </c>
      <c r="C84" s="1" t="s">
        <v>148</v>
      </c>
      <c r="D84" s="3">
        <v>947186</v>
      </c>
    </row>
    <row r="85" spans="1:4" x14ac:dyDescent="0.2">
      <c r="A85">
        <v>2021</v>
      </c>
      <c r="B85" s="1" t="s">
        <v>182</v>
      </c>
      <c r="C85" s="1" t="s">
        <v>149</v>
      </c>
      <c r="D85" s="3">
        <v>1198802</v>
      </c>
    </row>
    <row r="86" spans="1:4" x14ac:dyDescent="0.2">
      <c r="A86">
        <v>2021</v>
      </c>
      <c r="B86" s="1" t="s">
        <v>183</v>
      </c>
      <c r="C86" s="1" t="s">
        <v>150</v>
      </c>
      <c r="D86" s="3">
        <v>50713</v>
      </c>
    </row>
    <row r="87" spans="1:4" x14ac:dyDescent="0.2">
      <c r="A87">
        <v>2021</v>
      </c>
      <c r="B87" s="1" t="s">
        <v>184</v>
      </c>
      <c r="C87" s="1" t="s">
        <v>151</v>
      </c>
      <c r="D87" s="3">
        <v>56633</v>
      </c>
    </row>
    <row r="88" spans="1:4" x14ac:dyDescent="0.2">
      <c r="A88">
        <v>2021</v>
      </c>
      <c r="B88" s="1" t="s">
        <v>185</v>
      </c>
      <c r="C88" s="1" t="s">
        <v>152</v>
      </c>
      <c r="D88" s="3">
        <v>176383</v>
      </c>
    </row>
    <row r="89" spans="1:4" x14ac:dyDescent="0.2">
      <c r="A89">
        <v>2021</v>
      </c>
      <c r="B89" s="1" t="s">
        <v>186</v>
      </c>
      <c r="C89" s="1" t="s">
        <v>153</v>
      </c>
      <c r="D89" s="3">
        <v>222459</v>
      </c>
    </row>
    <row r="90" spans="1:4" x14ac:dyDescent="0.2">
      <c r="A90">
        <v>2021</v>
      </c>
      <c r="B90" s="1" t="s">
        <v>187</v>
      </c>
      <c r="C90" s="1" t="s">
        <v>154</v>
      </c>
      <c r="D90" s="3">
        <v>257186</v>
      </c>
    </row>
    <row r="91" spans="1:4" x14ac:dyDescent="0.2">
      <c r="A91">
        <v>2021</v>
      </c>
      <c r="B91" s="1" t="s">
        <v>188</v>
      </c>
      <c r="C91" s="1" t="s">
        <v>155</v>
      </c>
      <c r="D91" s="3">
        <v>69951</v>
      </c>
    </row>
    <row r="92" spans="1:4" x14ac:dyDescent="0.2">
      <c r="A92">
        <v>2021</v>
      </c>
      <c r="B92" s="1" t="s">
        <v>189</v>
      </c>
      <c r="C92" s="1" t="s">
        <v>156</v>
      </c>
      <c r="D92" s="3">
        <v>216122</v>
      </c>
    </row>
    <row r="93" spans="1:4" x14ac:dyDescent="0.2">
      <c r="A93">
        <v>2021</v>
      </c>
      <c r="B93" s="1" t="s">
        <v>190</v>
      </c>
      <c r="C93" s="1" t="s">
        <v>157</v>
      </c>
      <c r="D93" s="3">
        <v>150649</v>
      </c>
    </row>
    <row r="94" spans="1:4" x14ac:dyDescent="0.2">
      <c r="A94">
        <v>2021</v>
      </c>
      <c r="B94" s="1" t="s">
        <v>191</v>
      </c>
      <c r="C94" s="1" t="s">
        <v>158</v>
      </c>
      <c r="D94" s="3">
        <v>515445</v>
      </c>
    </row>
    <row r="95" spans="1:4" x14ac:dyDescent="0.2">
      <c r="A95">
        <v>2021</v>
      </c>
      <c r="B95" s="1" t="s">
        <v>192</v>
      </c>
      <c r="C95" s="1" t="s">
        <v>159</v>
      </c>
      <c r="D95" s="3">
        <v>1124207</v>
      </c>
    </row>
    <row r="96" spans="1:4" x14ac:dyDescent="0.2">
      <c r="A96">
        <v>2021</v>
      </c>
      <c r="B96" s="1" t="s">
        <v>193</v>
      </c>
      <c r="C96" s="1" t="s">
        <v>160</v>
      </c>
      <c r="D96" s="3">
        <v>96304</v>
      </c>
    </row>
    <row r="97" spans="1:4" x14ac:dyDescent="0.2">
      <c r="A97">
        <v>2021</v>
      </c>
      <c r="B97" s="1" t="s">
        <v>194</v>
      </c>
      <c r="C97" s="1" t="s">
        <v>161</v>
      </c>
      <c r="D97" s="3">
        <v>33181</v>
      </c>
    </row>
    <row r="98" spans="1:4" x14ac:dyDescent="0.2">
      <c r="A98">
        <v>2021</v>
      </c>
      <c r="B98" s="1" t="s">
        <v>195</v>
      </c>
      <c r="C98" s="1" t="s">
        <v>162</v>
      </c>
      <c r="D98" s="3">
        <v>284693</v>
      </c>
    </row>
    <row r="99" spans="1:4" x14ac:dyDescent="0.2">
      <c r="A99">
        <v>2021</v>
      </c>
      <c r="B99" s="1" t="s">
        <v>229</v>
      </c>
      <c r="C99" s="1" t="s">
        <v>196</v>
      </c>
      <c r="D99" s="3">
        <v>253726</v>
      </c>
    </row>
    <row r="100" spans="1:4" x14ac:dyDescent="0.2">
      <c r="A100">
        <v>2021</v>
      </c>
      <c r="B100" s="1" t="s">
        <v>230</v>
      </c>
      <c r="C100" s="1" t="s">
        <v>197</v>
      </c>
      <c r="D100" s="3">
        <v>167298</v>
      </c>
    </row>
    <row r="101" spans="1:4" x14ac:dyDescent="0.2">
      <c r="A101">
        <v>2021</v>
      </c>
      <c r="B101" s="1" t="s">
        <v>231</v>
      </c>
      <c r="C101" s="1" t="s">
        <v>198</v>
      </c>
      <c r="D101" s="3">
        <v>798690</v>
      </c>
    </row>
    <row r="102" spans="1:4" x14ac:dyDescent="0.2">
      <c r="A102">
        <v>2021</v>
      </c>
      <c r="B102" s="1" t="s">
        <v>232</v>
      </c>
      <c r="C102" s="1" t="s">
        <v>199</v>
      </c>
      <c r="D102" s="3">
        <v>308660</v>
      </c>
    </row>
    <row r="103" spans="1:4" x14ac:dyDescent="0.2">
      <c r="A103">
        <v>2021</v>
      </c>
      <c r="B103" s="1" t="s">
        <v>233</v>
      </c>
      <c r="C103" s="1" t="s">
        <v>200</v>
      </c>
      <c r="D103" s="3">
        <v>181395</v>
      </c>
    </row>
    <row r="104" spans="1:4" x14ac:dyDescent="0.2">
      <c r="A104">
        <v>2021</v>
      </c>
      <c r="B104" s="1" t="s">
        <v>234</v>
      </c>
      <c r="C104" s="1" t="s">
        <v>201</v>
      </c>
      <c r="D104" s="3">
        <v>374593</v>
      </c>
    </row>
    <row r="105" spans="1:4" x14ac:dyDescent="0.2">
      <c r="A105">
        <v>2021</v>
      </c>
      <c r="B105" s="1" t="s">
        <v>235</v>
      </c>
      <c r="C105" s="1" t="s">
        <v>202</v>
      </c>
      <c r="D105" s="3">
        <v>1169749</v>
      </c>
    </row>
    <row r="106" spans="1:4" x14ac:dyDescent="0.2">
      <c r="A106">
        <v>2021</v>
      </c>
      <c r="B106" s="1" t="s">
        <v>236</v>
      </c>
      <c r="C106" s="1" t="s">
        <v>203</v>
      </c>
      <c r="D106" s="3">
        <v>1494856</v>
      </c>
    </row>
    <row r="107" spans="1:4" x14ac:dyDescent="0.2">
      <c r="A107">
        <v>2021</v>
      </c>
      <c r="B107" s="1" t="s">
        <v>237</v>
      </c>
      <c r="C107" s="1" t="s">
        <v>204</v>
      </c>
      <c r="D107" s="3">
        <v>176365</v>
      </c>
    </row>
    <row r="108" spans="1:4" x14ac:dyDescent="0.2">
      <c r="A108">
        <v>2021</v>
      </c>
      <c r="B108" s="1" t="s">
        <v>238</v>
      </c>
      <c r="C108" s="1" t="s">
        <v>205</v>
      </c>
      <c r="D108" s="3">
        <v>605897</v>
      </c>
    </row>
    <row r="109" spans="1:4" x14ac:dyDescent="0.2">
      <c r="A109">
        <v>2021</v>
      </c>
      <c r="B109" s="1" t="s">
        <v>239</v>
      </c>
      <c r="C109" s="1" t="s">
        <v>206</v>
      </c>
      <c r="D109" s="3">
        <v>62314</v>
      </c>
    </row>
    <row r="110" spans="1:4" x14ac:dyDescent="0.2">
      <c r="A110">
        <v>2021</v>
      </c>
      <c r="B110" s="1" t="s">
        <v>240</v>
      </c>
      <c r="C110" s="1" t="s">
        <v>207</v>
      </c>
      <c r="D110" s="3">
        <v>1331520</v>
      </c>
    </row>
    <row r="111" spans="1:4" x14ac:dyDescent="0.2">
      <c r="A111">
        <v>2021</v>
      </c>
      <c r="B111" s="1" t="s">
        <v>241</v>
      </c>
      <c r="C111" s="1" t="s">
        <v>208</v>
      </c>
      <c r="D111" s="3">
        <v>602591</v>
      </c>
    </row>
    <row r="112" spans="1:4" x14ac:dyDescent="0.2">
      <c r="A112">
        <v>2021</v>
      </c>
      <c r="B112" s="1" t="s">
        <v>242</v>
      </c>
      <c r="C112" s="1" t="s">
        <v>209</v>
      </c>
      <c r="D112" s="3">
        <v>124351</v>
      </c>
    </row>
    <row r="113" spans="1:4" x14ac:dyDescent="0.2">
      <c r="A113">
        <v>2021</v>
      </c>
      <c r="B113" s="1" t="s">
        <v>243</v>
      </c>
      <c r="C113" s="1" t="s">
        <v>210</v>
      </c>
      <c r="D113" s="3">
        <v>583488</v>
      </c>
    </row>
    <row r="114" spans="1:4" x14ac:dyDescent="0.2">
      <c r="A114">
        <v>2021</v>
      </c>
      <c r="B114" s="1" t="s">
        <v>244</v>
      </c>
      <c r="C114" s="1" t="s">
        <v>211</v>
      </c>
      <c r="D114" s="3">
        <v>214441</v>
      </c>
    </row>
    <row r="115" spans="1:4" x14ac:dyDescent="0.2">
      <c r="A115">
        <v>2021</v>
      </c>
      <c r="B115" s="1" t="s">
        <v>245</v>
      </c>
      <c r="C115" s="1" t="s">
        <v>212</v>
      </c>
      <c r="D115" s="3">
        <v>81146</v>
      </c>
    </row>
    <row r="116" spans="1:4" x14ac:dyDescent="0.2">
      <c r="A116">
        <v>2021</v>
      </c>
      <c r="B116" s="1" t="s">
        <v>246</v>
      </c>
      <c r="C116" s="1" t="s">
        <v>213</v>
      </c>
      <c r="D116" s="3">
        <v>191321</v>
      </c>
    </row>
    <row r="117" spans="1:4" x14ac:dyDescent="0.2">
      <c r="A117">
        <v>2021</v>
      </c>
      <c r="B117" s="1" t="s">
        <v>247</v>
      </c>
      <c r="C117" s="1" t="s">
        <v>214</v>
      </c>
      <c r="D117" s="3">
        <v>140037</v>
      </c>
    </row>
    <row r="118" spans="1:4" x14ac:dyDescent="0.2">
      <c r="A118">
        <v>2021</v>
      </c>
      <c r="B118" s="1" t="s">
        <v>248</v>
      </c>
      <c r="C118" s="1" t="s">
        <v>215</v>
      </c>
      <c r="D118" s="3">
        <v>37678</v>
      </c>
    </row>
    <row r="119" spans="1:4" x14ac:dyDescent="0.2">
      <c r="A119">
        <v>2021</v>
      </c>
      <c r="B119" s="1" t="s">
        <v>249</v>
      </c>
      <c r="C119" s="1" t="s">
        <v>216</v>
      </c>
      <c r="D119">
        <v>705</v>
      </c>
    </row>
    <row r="120" spans="1:4" x14ac:dyDescent="0.2">
      <c r="A120">
        <v>2021</v>
      </c>
      <c r="B120" s="1" t="s">
        <v>250</v>
      </c>
      <c r="C120" s="1" t="s">
        <v>217</v>
      </c>
      <c r="D120" s="3">
        <v>47094</v>
      </c>
    </row>
    <row r="121" spans="1:4" x14ac:dyDescent="0.2">
      <c r="A121">
        <v>2021</v>
      </c>
      <c r="B121" s="1" t="s">
        <v>251</v>
      </c>
      <c r="C121" s="1" t="s">
        <v>218</v>
      </c>
      <c r="D121" s="3">
        <v>1782536</v>
      </c>
    </row>
    <row r="122" spans="1:4" x14ac:dyDescent="0.2">
      <c r="A122">
        <v>2021</v>
      </c>
      <c r="B122" s="1" t="s">
        <v>252</v>
      </c>
      <c r="C122" s="1" t="s">
        <v>219</v>
      </c>
      <c r="D122" s="3">
        <v>2962947</v>
      </c>
    </row>
    <row r="123" spans="1:4" x14ac:dyDescent="0.2">
      <c r="A123">
        <v>2021</v>
      </c>
      <c r="B123" s="1" t="s">
        <v>253</v>
      </c>
      <c r="C123" s="1" t="s">
        <v>220</v>
      </c>
      <c r="D123" s="3">
        <v>162121</v>
      </c>
    </row>
    <row r="124" spans="1:4" x14ac:dyDescent="0.2">
      <c r="A124">
        <v>2021</v>
      </c>
      <c r="B124" s="1" t="s">
        <v>254</v>
      </c>
      <c r="C124" s="1" t="s">
        <v>221</v>
      </c>
      <c r="D124" s="3">
        <v>39438</v>
      </c>
    </row>
    <row r="125" spans="1:4" x14ac:dyDescent="0.2">
      <c r="A125">
        <v>2021</v>
      </c>
      <c r="B125" s="1" t="s">
        <v>255</v>
      </c>
      <c r="C125" s="1" t="s">
        <v>222</v>
      </c>
      <c r="D125" s="3">
        <v>23519</v>
      </c>
    </row>
    <row r="126" spans="1:4" x14ac:dyDescent="0.2">
      <c r="A126">
        <v>2021</v>
      </c>
      <c r="B126" s="1" t="s">
        <v>256</v>
      </c>
      <c r="C126" s="1" t="s">
        <v>223</v>
      </c>
      <c r="D126" s="3">
        <v>129633</v>
      </c>
    </row>
    <row r="127" spans="1:4" x14ac:dyDescent="0.2">
      <c r="A127">
        <v>2021</v>
      </c>
      <c r="B127" s="1" t="s">
        <v>257</v>
      </c>
      <c r="C127" s="1" t="s">
        <v>224</v>
      </c>
      <c r="D127" s="3">
        <v>26556</v>
      </c>
    </row>
    <row r="128" spans="1:4" x14ac:dyDescent="0.2">
      <c r="A128">
        <v>2021</v>
      </c>
      <c r="B128" s="1" t="s">
        <v>258</v>
      </c>
      <c r="C128" s="1" t="s">
        <v>225</v>
      </c>
      <c r="D128" s="3">
        <v>52314</v>
      </c>
    </row>
    <row r="129" spans="1:4" x14ac:dyDescent="0.2">
      <c r="A129">
        <v>2021</v>
      </c>
      <c r="B129" s="1" t="s">
        <v>259</v>
      </c>
      <c r="C129" s="1" t="s">
        <v>226</v>
      </c>
      <c r="D129" s="3">
        <v>27433</v>
      </c>
    </row>
    <row r="130" spans="1:4" x14ac:dyDescent="0.2">
      <c r="A130">
        <v>2021</v>
      </c>
      <c r="B130" s="1" t="s">
        <v>260</v>
      </c>
      <c r="C130" s="1" t="s">
        <v>227</v>
      </c>
      <c r="D130" s="3">
        <v>427772</v>
      </c>
    </row>
    <row r="131" spans="1:4" x14ac:dyDescent="0.2">
      <c r="A131">
        <v>2021</v>
      </c>
      <c r="B131" s="1" t="s">
        <v>261</v>
      </c>
      <c r="C131" s="1" t="s">
        <v>228</v>
      </c>
      <c r="D131" s="3">
        <v>166433</v>
      </c>
    </row>
    <row r="132" spans="1:4" x14ac:dyDescent="0.2">
      <c r="A132">
        <v>2021</v>
      </c>
      <c r="B132" s="1" t="s">
        <v>276</v>
      </c>
      <c r="C132" s="1" t="s">
        <v>294</v>
      </c>
      <c r="D132" s="3">
        <v>511470</v>
      </c>
    </row>
    <row r="133" spans="1:4" x14ac:dyDescent="0.2">
      <c r="A133">
        <v>2021</v>
      </c>
      <c r="B133" s="1" t="s">
        <v>277</v>
      </c>
      <c r="C133" s="1" t="s">
        <v>263</v>
      </c>
      <c r="D133" s="3">
        <v>84643</v>
      </c>
    </row>
    <row r="134" spans="1:4" x14ac:dyDescent="0.2">
      <c r="A134">
        <v>2021</v>
      </c>
      <c r="B134" s="1" t="s">
        <v>278</v>
      </c>
      <c r="C134" s="1" t="s">
        <v>264</v>
      </c>
      <c r="D134" s="3">
        <v>13796</v>
      </c>
    </row>
    <row r="135" spans="1:4" x14ac:dyDescent="0.2">
      <c r="A135">
        <v>2021</v>
      </c>
      <c r="B135" s="1" t="s">
        <v>279</v>
      </c>
      <c r="C135" s="1" t="s">
        <v>295</v>
      </c>
      <c r="D135" s="3">
        <v>8668</v>
      </c>
    </row>
    <row r="136" spans="1:4" x14ac:dyDescent="0.2">
      <c r="A136">
        <v>2021</v>
      </c>
      <c r="B136" s="1" t="s">
        <v>281</v>
      </c>
      <c r="C136" s="1" t="s">
        <v>267</v>
      </c>
      <c r="D136" s="3">
        <v>4067</v>
      </c>
    </row>
    <row r="137" spans="1:4" x14ac:dyDescent="0.2">
      <c r="A137">
        <v>2021</v>
      </c>
      <c r="B137" s="1" t="s">
        <v>282</v>
      </c>
      <c r="C137" s="1" t="s">
        <v>268</v>
      </c>
      <c r="D137" s="3">
        <v>64154</v>
      </c>
    </row>
    <row r="138" spans="1:4" x14ac:dyDescent="0.2">
      <c r="A138">
        <v>2021</v>
      </c>
      <c r="B138" s="1" t="s">
        <v>283</v>
      </c>
      <c r="C138" s="1" t="s">
        <v>269</v>
      </c>
      <c r="D138" s="3">
        <v>8539</v>
      </c>
    </row>
    <row r="139" spans="1:4" x14ac:dyDescent="0.2">
      <c r="A139">
        <v>2021</v>
      </c>
      <c r="B139" s="1" t="s">
        <v>284</v>
      </c>
      <c r="C139" s="1" t="s">
        <v>270</v>
      </c>
      <c r="D139" s="3">
        <v>5981</v>
      </c>
    </row>
    <row r="140" spans="1:4" x14ac:dyDescent="0.2">
      <c r="A140">
        <v>2021</v>
      </c>
      <c r="B140" s="1" t="s">
        <v>285</v>
      </c>
      <c r="C140" s="1" t="s">
        <v>296</v>
      </c>
      <c r="D140" s="3">
        <v>1448</v>
      </c>
    </row>
    <row r="141" spans="1:4" x14ac:dyDescent="0.2">
      <c r="A141">
        <v>2021</v>
      </c>
      <c r="B141" s="1" t="s">
        <v>286</v>
      </c>
      <c r="C141" s="1" t="s">
        <v>272</v>
      </c>
      <c r="D141" s="3">
        <v>4251</v>
      </c>
    </row>
    <row r="142" spans="1:4" x14ac:dyDescent="0.2">
      <c r="A142">
        <v>2021</v>
      </c>
      <c r="B142" s="1" t="s">
        <v>287</v>
      </c>
      <c r="C142" s="1" t="s">
        <v>273</v>
      </c>
      <c r="D142" s="3">
        <v>32586</v>
      </c>
    </row>
    <row r="143" spans="1:4" x14ac:dyDescent="0.2">
      <c r="A143">
        <v>2021</v>
      </c>
      <c r="B143" s="1" t="s">
        <v>288</v>
      </c>
      <c r="C143" s="1" t="s">
        <v>274</v>
      </c>
      <c r="D143" s="3">
        <v>15097</v>
      </c>
    </row>
    <row r="144" spans="1:4" x14ac:dyDescent="0.2">
      <c r="A144">
        <v>2021</v>
      </c>
      <c r="B144" s="1" t="s">
        <v>289</v>
      </c>
      <c r="C144" s="1" t="s">
        <v>275</v>
      </c>
      <c r="D144" s="3">
        <v>3159</v>
      </c>
    </row>
    <row r="147" spans="1:4" x14ac:dyDescent="0.2">
      <c r="A147">
        <v>2022</v>
      </c>
      <c r="B147" s="1" t="s">
        <v>32</v>
      </c>
      <c r="C147" s="1" t="s">
        <v>0</v>
      </c>
      <c r="D147" s="3">
        <v>1423594</v>
      </c>
    </row>
    <row r="148" spans="1:4" x14ac:dyDescent="0.2">
      <c r="A148">
        <v>2022</v>
      </c>
      <c r="B148" s="1" t="s">
        <v>33</v>
      </c>
      <c r="C148" s="1" t="s">
        <v>1</v>
      </c>
      <c r="D148" s="3">
        <v>5333314</v>
      </c>
    </row>
    <row r="149" spans="1:4" x14ac:dyDescent="0.2">
      <c r="A149">
        <v>2022</v>
      </c>
      <c r="B149" s="1" t="s">
        <v>34</v>
      </c>
      <c r="C149" s="1" t="s">
        <v>2</v>
      </c>
      <c r="D149" s="3">
        <v>847141</v>
      </c>
    </row>
    <row r="150" spans="1:4" x14ac:dyDescent="0.2">
      <c r="A150">
        <v>2022</v>
      </c>
      <c r="B150" s="1" t="s">
        <v>35</v>
      </c>
      <c r="C150" s="1" t="s">
        <v>3</v>
      </c>
      <c r="D150" s="3">
        <v>452501</v>
      </c>
    </row>
    <row r="151" spans="1:4" x14ac:dyDescent="0.2">
      <c r="A151">
        <v>2022</v>
      </c>
      <c r="B151" s="1" t="s">
        <v>36</v>
      </c>
      <c r="C151" s="1" t="s">
        <v>4</v>
      </c>
      <c r="D151" s="3">
        <v>1279735</v>
      </c>
    </row>
    <row r="152" spans="1:4" x14ac:dyDescent="0.2">
      <c r="A152">
        <v>2022</v>
      </c>
      <c r="B152" s="1" t="s">
        <v>37</v>
      </c>
      <c r="C152" s="1" t="s">
        <v>5</v>
      </c>
      <c r="D152" s="3">
        <v>623655</v>
      </c>
    </row>
    <row r="153" spans="1:4" x14ac:dyDescent="0.2">
      <c r="A153">
        <v>2022</v>
      </c>
      <c r="B153" s="1" t="s">
        <v>38</v>
      </c>
      <c r="C153" s="1" t="s">
        <v>6</v>
      </c>
      <c r="D153" s="3">
        <v>15472415</v>
      </c>
    </row>
    <row r="154" spans="1:4" x14ac:dyDescent="0.2">
      <c r="A154">
        <v>2022</v>
      </c>
      <c r="B154" s="1" t="s">
        <v>39</v>
      </c>
      <c r="C154" s="1" t="s">
        <v>7</v>
      </c>
      <c r="D154" s="3">
        <v>3035595</v>
      </c>
    </row>
    <row r="155" spans="1:4" x14ac:dyDescent="0.2">
      <c r="A155">
        <v>2022</v>
      </c>
      <c r="B155" s="1" t="s">
        <v>40</v>
      </c>
      <c r="C155" s="1" t="s">
        <v>8</v>
      </c>
      <c r="D155" s="3">
        <v>218841</v>
      </c>
    </row>
    <row r="156" spans="1:4" x14ac:dyDescent="0.2">
      <c r="A156">
        <v>2022</v>
      </c>
      <c r="B156" s="1" t="s">
        <v>41</v>
      </c>
      <c r="C156" s="1" t="s">
        <v>9</v>
      </c>
      <c r="D156" s="3">
        <v>2651749</v>
      </c>
    </row>
    <row r="157" spans="1:4" x14ac:dyDescent="0.2">
      <c r="A157">
        <v>2022</v>
      </c>
      <c r="B157" s="1" t="s">
        <v>42</v>
      </c>
      <c r="C157" s="1" t="s">
        <v>10</v>
      </c>
      <c r="D157" s="3">
        <v>191812</v>
      </c>
    </row>
    <row r="158" spans="1:4" x14ac:dyDescent="0.2">
      <c r="A158">
        <v>2022</v>
      </c>
      <c r="B158" s="1" t="s">
        <v>43</v>
      </c>
      <c r="C158" s="1" t="s">
        <v>11</v>
      </c>
      <c r="D158" s="3">
        <v>1404086</v>
      </c>
    </row>
    <row r="159" spans="1:4" x14ac:dyDescent="0.2">
      <c r="A159">
        <v>2022</v>
      </c>
      <c r="B159" s="1" t="s">
        <v>44</v>
      </c>
      <c r="C159" s="1" t="s">
        <v>12</v>
      </c>
      <c r="D159" s="3">
        <v>410653</v>
      </c>
    </row>
    <row r="160" spans="1:4" x14ac:dyDescent="0.2">
      <c r="A160">
        <v>2022</v>
      </c>
      <c r="B160" s="1" t="s">
        <v>45</v>
      </c>
      <c r="C160" s="1" t="s">
        <v>13</v>
      </c>
      <c r="D160" s="3">
        <v>644535</v>
      </c>
    </row>
    <row r="161" spans="1:4" x14ac:dyDescent="0.2">
      <c r="A161">
        <v>2022</v>
      </c>
      <c r="B161" s="1" t="s">
        <v>46</v>
      </c>
      <c r="C161" s="1" t="s">
        <v>14</v>
      </c>
      <c r="D161" s="3">
        <v>589636</v>
      </c>
    </row>
    <row r="162" spans="1:4" x14ac:dyDescent="0.2">
      <c r="A162">
        <v>2022</v>
      </c>
      <c r="B162" s="1" t="s">
        <v>47</v>
      </c>
      <c r="C162" s="1" t="s">
        <v>15</v>
      </c>
      <c r="D162" s="3">
        <v>2145057</v>
      </c>
    </row>
    <row r="163" spans="1:4" x14ac:dyDescent="0.2">
      <c r="A163">
        <v>2022</v>
      </c>
      <c r="B163" s="1" t="s">
        <v>48</v>
      </c>
      <c r="C163" s="1" t="s">
        <v>16</v>
      </c>
      <c r="D163" s="3">
        <v>1117872</v>
      </c>
    </row>
    <row r="164" spans="1:4" x14ac:dyDescent="0.2">
      <c r="A164">
        <v>2022</v>
      </c>
      <c r="B164" s="1" t="s">
        <v>49</v>
      </c>
      <c r="C164" s="1" t="s">
        <v>17</v>
      </c>
      <c r="D164" s="3">
        <v>1093497</v>
      </c>
    </row>
    <row r="165" spans="1:4" x14ac:dyDescent="0.2">
      <c r="A165">
        <v>2022</v>
      </c>
      <c r="B165" s="1" t="s">
        <v>50</v>
      </c>
      <c r="C165" s="1" t="s">
        <v>18</v>
      </c>
      <c r="D165" s="3">
        <v>189998</v>
      </c>
    </row>
    <row r="166" spans="1:4" x14ac:dyDescent="0.2">
      <c r="A166">
        <v>2022</v>
      </c>
      <c r="B166" s="1" t="s">
        <v>51</v>
      </c>
      <c r="C166" s="1" t="s">
        <v>19</v>
      </c>
      <c r="D166" s="3">
        <v>1479820</v>
      </c>
    </row>
    <row r="167" spans="1:4" x14ac:dyDescent="0.2">
      <c r="A167">
        <v>2022</v>
      </c>
      <c r="B167" s="1" t="s">
        <v>52</v>
      </c>
      <c r="C167" s="1" t="s">
        <v>20</v>
      </c>
      <c r="D167" s="3">
        <v>17383370</v>
      </c>
    </row>
    <row r="168" spans="1:4" x14ac:dyDescent="0.2">
      <c r="A168">
        <v>2022</v>
      </c>
      <c r="B168" s="1" t="s">
        <v>53</v>
      </c>
      <c r="C168" s="1" t="s">
        <v>21</v>
      </c>
      <c r="D168" s="3">
        <v>632016</v>
      </c>
    </row>
    <row r="169" spans="1:4" x14ac:dyDescent="0.2">
      <c r="A169">
        <v>2022</v>
      </c>
      <c r="B169" s="1" t="s">
        <v>54</v>
      </c>
      <c r="C169" s="1" t="s">
        <v>22</v>
      </c>
      <c r="D169" s="3">
        <v>179470</v>
      </c>
    </row>
    <row r="170" spans="1:4" x14ac:dyDescent="0.2">
      <c r="A170">
        <v>2022</v>
      </c>
      <c r="B170" s="1" t="s">
        <v>55</v>
      </c>
      <c r="C170" s="1" t="s">
        <v>23</v>
      </c>
      <c r="D170" s="3">
        <v>2323156</v>
      </c>
    </row>
    <row r="171" spans="1:4" x14ac:dyDescent="0.2">
      <c r="A171">
        <v>2022</v>
      </c>
      <c r="B171" s="1" t="s">
        <v>56</v>
      </c>
      <c r="C171" s="1" t="s">
        <v>24</v>
      </c>
      <c r="D171" s="3">
        <v>434895</v>
      </c>
    </row>
    <row r="172" spans="1:4" x14ac:dyDescent="0.2">
      <c r="A172">
        <v>2022</v>
      </c>
      <c r="B172" s="1" t="s">
        <v>57</v>
      </c>
      <c r="C172" s="1" t="s">
        <v>25</v>
      </c>
      <c r="D172" s="3">
        <v>504170</v>
      </c>
    </row>
    <row r="173" spans="1:4" x14ac:dyDescent="0.2">
      <c r="A173">
        <v>2022</v>
      </c>
      <c r="B173" s="1" t="s">
        <v>58</v>
      </c>
      <c r="C173" s="1" t="s">
        <v>26</v>
      </c>
      <c r="D173" s="3">
        <v>1275356</v>
      </c>
    </row>
    <row r="174" spans="1:4" x14ac:dyDescent="0.2">
      <c r="A174">
        <v>2022</v>
      </c>
      <c r="B174" s="1" t="s">
        <v>59</v>
      </c>
      <c r="C174" s="1" t="s">
        <v>27</v>
      </c>
      <c r="D174" s="3">
        <v>397559</v>
      </c>
    </row>
    <row r="175" spans="1:4" x14ac:dyDescent="0.2">
      <c r="A175">
        <v>2022</v>
      </c>
      <c r="B175" s="1" t="s">
        <v>60</v>
      </c>
      <c r="C175" s="1" t="s">
        <v>28</v>
      </c>
      <c r="D175" s="3">
        <v>78713694</v>
      </c>
    </row>
    <row r="176" spans="1:4" x14ac:dyDescent="0.2">
      <c r="A176">
        <v>2022</v>
      </c>
      <c r="B176" s="1" t="s">
        <v>61</v>
      </c>
      <c r="C176" s="1" t="s">
        <v>29</v>
      </c>
      <c r="D176" s="3">
        <v>3753563</v>
      </c>
    </row>
    <row r="177" spans="1:4" x14ac:dyDescent="0.2">
      <c r="A177">
        <v>2022</v>
      </c>
      <c r="B177" s="1" t="s">
        <v>62</v>
      </c>
      <c r="C177" s="1" t="s">
        <v>30</v>
      </c>
      <c r="D177" s="3">
        <v>552123</v>
      </c>
    </row>
    <row r="178" spans="1:4" x14ac:dyDescent="0.2">
      <c r="A178">
        <v>2022</v>
      </c>
      <c r="B178" s="1" t="s">
        <v>63</v>
      </c>
      <c r="C178" s="1" t="s">
        <v>31</v>
      </c>
      <c r="D178" s="3">
        <v>1213026</v>
      </c>
    </row>
    <row r="179" spans="1:4" x14ac:dyDescent="0.2">
      <c r="A179">
        <v>2022</v>
      </c>
      <c r="B179" s="1" t="s">
        <v>97</v>
      </c>
      <c r="C179" s="1" t="s">
        <v>64</v>
      </c>
      <c r="D179" s="3">
        <v>2091265</v>
      </c>
    </row>
    <row r="180" spans="1:4" x14ac:dyDescent="0.2">
      <c r="A180">
        <v>2022</v>
      </c>
      <c r="B180" s="1" t="s">
        <v>98</v>
      </c>
      <c r="C180" s="1" t="s">
        <v>65</v>
      </c>
      <c r="D180" s="3">
        <v>4837682</v>
      </c>
    </row>
    <row r="181" spans="1:4" x14ac:dyDescent="0.2">
      <c r="A181">
        <v>2022</v>
      </c>
      <c r="B181" s="1" t="s">
        <v>99</v>
      </c>
      <c r="C181" s="1" t="s">
        <v>66</v>
      </c>
      <c r="D181" s="3">
        <v>640863</v>
      </c>
    </row>
    <row r="182" spans="1:4" x14ac:dyDescent="0.2">
      <c r="A182">
        <v>2022</v>
      </c>
      <c r="B182" s="1" t="s">
        <v>100</v>
      </c>
      <c r="C182" s="1" t="s">
        <v>67</v>
      </c>
      <c r="D182" s="3">
        <v>1663404</v>
      </c>
    </row>
    <row r="183" spans="1:4" x14ac:dyDescent="0.2">
      <c r="A183">
        <v>2022</v>
      </c>
      <c r="B183" s="1" t="s">
        <v>101</v>
      </c>
      <c r="C183" s="1" t="s">
        <v>68</v>
      </c>
      <c r="D183" s="3">
        <v>825199</v>
      </c>
    </row>
    <row r="184" spans="1:4" x14ac:dyDescent="0.2">
      <c r="A184">
        <v>2022</v>
      </c>
      <c r="B184" s="1" t="s">
        <v>102</v>
      </c>
      <c r="C184" s="1" t="s">
        <v>69</v>
      </c>
      <c r="D184" s="3">
        <v>490280</v>
      </c>
    </row>
    <row r="185" spans="1:4" x14ac:dyDescent="0.2">
      <c r="A185">
        <v>2022</v>
      </c>
      <c r="B185" s="1" t="s">
        <v>103</v>
      </c>
      <c r="C185" s="1" t="s">
        <v>70</v>
      </c>
      <c r="D185" s="3">
        <v>905534</v>
      </c>
    </row>
    <row r="186" spans="1:4" x14ac:dyDescent="0.2">
      <c r="A186">
        <v>2022</v>
      </c>
      <c r="B186" s="1" t="s">
        <v>104</v>
      </c>
      <c r="C186" s="1" t="s">
        <v>71</v>
      </c>
      <c r="D186" s="3">
        <v>653913</v>
      </c>
    </row>
    <row r="187" spans="1:4" x14ac:dyDescent="0.2">
      <c r="A187">
        <v>2022</v>
      </c>
      <c r="B187" s="1" t="s">
        <v>105</v>
      </c>
      <c r="C187" s="1" t="s">
        <v>72</v>
      </c>
      <c r="D187" s="3">
        <v>1464868</v>
      </c>
    </row>
    <row r="188" spans="1:4" x14ac:dyDescent="0.2">
      <c r="A188">
        <v>2022</v>
      </c>
      <c r="B188" s="1" t="s">
        <v>106</v>
      </c>
      <c r="C188" s="1" t="s">
        <v>73</v>
      </c>
      <c r="D188" s="3">
        <v>5394627</v>
      </c>
    </row>
    <row r="189" spans="1:4" x14ac:dyDescent="0.2">
      <c r="A189">
        <v>2022</v>
      </c>
      <c r="B189" s="1" t="s">
        <v>107</v>
      </c>
      <c r="C189" s="1" t="s">
        <v>74</v>
      </c>
      <c r="D189" s="3">
        <v>14863890</v>
      </c>
    </row>
    <row r="190" spans="1:4" x14ac:dyDescent="0.2">
      <c r="A190">
        <v>2022</v>
      </c>
      <c r="B190" s="1" t="s">
        <v>108</v>
      </c>
      <c r="C190" s="1" t="s">
        <v>75</v>
      </c>
      <c r="D190" s="3">
        <v>1954351</v>
      </c>
    </row>
    <row r="191" spans="1:4" x14ac:dyDescent="0.2">
      <c r="A191">
        <v>2022</v>
      </c>
      <c r="B191" s="1" t="s">
        <v>109</v>
      </c>
      <c r="C191" s="1" t="s">
        <v>76</v>
      </c>
      <c r="D191" s="3">
        <v>93694</v>
      </c>
    </row>
    <row r="192" spans="1:4" x14ac:dyDescent="0.2">
      <c r="A192">
        <v>2022</v>
      </c>
      <c r="B192" s="1" t="s">
        <v>110</v>
      </c>
      <c r="C192" s="1" t="s">
        <v>77</v>
      </c>
      <c r="D192" s="3">
        <v>1658670</v>
      </c>
    </row>
    <row r="193" spans="1:4" x14ac:dyDescent="0.2">
      <c r="A193">
        <v>2022</v>
      </c>
      <c r="B193" s="1" t="s">
        <v>111</v>
      </c>
      <c r="C193" s="1" t="s">
        <v>78</v>
      </c>
      <c r="D193" s="3">
        <v>1222139</v>
      </c>
    </row>
    <row r="194" spans="1:4" x14ac:dyDescent="0.2">
      <c r="A194">
        <v>2022</v>
      </c>
      <c r="B194" s="1" t="s">
        <v>112</v>
      </c>
      <c r="C194" s="1" t="s">
        <v>79</v>
      </c>
      <c r="D194" s="3">
        <v>257814</v>
      </c>
    </row>
    <row r="195" spans="1:4" x14ac:dyDescent="0.2">
      <c r="A195">
        <v>2022</v>
      </c>
      <c r="B195" s="1" t="s">
        <v>113</v>
      </c>
      <c r="C195" s="1" t="s">
        <v>80</v>
      </c>
      <c r="D195" s="3">
        <v>617329</v>
      </c>
    </row>
    <row r="196" spans="1:4" x14ac:dyDescent="0.2">
      <c r="A196">
        <v>2022</v>
      </c>
      <c r="B196" s="1" t="s">
        <v>114</v>
      </c>
      <c r="C196" s="1" t="s">
        <v>81</v>
      </c>
      <c r="D196" s="3">
        <v>341289</v>
      </c>
    </row>
    <row r="197" spans="1:4" x14ac:dyDescent="0.2">
      <c r="A197">
        <v>2022</v>
      </c>
      <c r="B197" s="1" t="s">
        <v>115</v>
      </c>
      <c r="C197" s="1" t="s">
        <v>82</v>
      </c>
      <c r="D197" s="3">
        <v>948134</v>
      </c>
    </row>
    <row r="198" spans="1:4" x14ac:dyDescent="0.2">
      <c r="A198">
        <v>2022</v>
      </c>
      <c r="B198" s="1" t="s">
        <v>116</v>
      </c>
      <c r="C198" s="1" t="s">
        <v>83</v>
      </c>
      <c r="D198" s="3">
        <v>37494090</v>
      </c>
    </row>
    <row r="199" spans="1:4" x14ac:dyDescent="0.2">
      <c r="A199">
        <v>2022</v>
      </c>
      <c r="B199" s="1" t="s">
        <v>117</v>
      </c>
      <c r="C199" s="1" t="s">
        <v>84</v>
      </c>
      <c r="D199" s="3">
        <v>1674375</v>
      </c>
    </row>
    <row r="200" spans="1:4" x14ac:dyDescent="0.2">
      <c r="A200">
        <v>2022</v>
      </c>
      <c r="B200" s="1" t="s">
        <v>118</v>
      </c>
      <c r="C200" s="1" t="s">
        <v>85</v>
      </c>
      <c r="D200" s="3">
        <v>457323</v>
      </c>
    </row>
    <row r="201" spans="1:4" x14ac:dyDescent="0.2">
      <c r="A201">
        <v>2022</v>
      </c>
      <c r="B201" s="1" t="s">
        <v>119</v>
      </c>
      <c r="C201" s="1" t="s">
        <v>86</v>
      </c>
      <c r="D201" s="3">
        <v>512752</v>
      </c>
    </row>
    <row r="202" spans="1:4" x14ac:dyDescent="0.2">
      <c r="A202">
        <v>2022</v>
      </c>
      <c r="B202" s="1" t="s">
        <v>120</v>
      </c>
      <c r="C202" s="1" t="s">
        <v>87</v>
      </c>
      <c r="D202" s="3">
        <v>381324</v>
      </c>
    </row>
    <row r="203" spans="1:4" x14ac:dyDescent="0.2">
      <c r="A203">
        <v>2022</v>
      </c>
      <c r="B203" s="1" t="s">
        <v>121</v>
      </c>
      <c r="C203" s="1" t="s">
        <v>88</v>
      </c>
      <c r="D203" s="3">
        <v>1233331</v>
      </c>
    </row>
    <row r="204" spans="1:4" x14ac:dyDescent="0.2">
      <c r="A204">
        <v>2022</v>
      </c>
      <c r="B204" s="1" t="s">
        <v>122</v>
      </c>
      <c r="C204" s="1" t="s">
        <v>89</v>
      </c>
      <c r="D204" s="3">
        <v>449316</v>
      </c>
    </row>
    <row r="205" spans="1:4" x14ac:dyDescent="0.2">
      <c r="A205">
        <v>2022</v>
      </c>
      <c r="B205" s="1" t="s">
        <v>123</v>
      </c>
      <c r="C205" s="1" t="s">
        <v>90</v>
      </c>
      <c r="D205" s="3">
        <v>3100889</v>
      </c>
    </row>
    <row r="206" spans="1:4" x14ac:dyDescent="0.2">
      <c r="A206">
        <v>2022</v>
      </c>
      <c r="B206" s="1" t="s">
        <v>124</v>
      </c>
      <c r="C206" s="1" t="s">
        <v>91</v>
      </c>
      <c r="D206" s="3">
        <v>569597</v>
      </c>
    </row>
    <row r="207" spans="1:4" x14ac:dyDescent="0.2">
      <c r="A207">
        <v>2022</v>
      </c>
      <c r="B207" s="1" t="s">
        <v>125</v>
      </c>
      <c r="C207" s="1" t="s">
        <v>92</v>
      </c>
      <c r="D207" s="3">
        <v>925396</v>
      </c>
    </row>
    <row r="208" spans="1:4" x14ac:dyDescent="0.2">
      <c r="A208">
        <v>2022</v>
      </c>
      <c r="B208" s="1" t="s">
        <v>126</v>
      </c>
      <c r="C208" s="1" t="s">
        <v>93</v>
      </c>
      <c r="D208" s="3">
        <v>453563</v>
      </c>
    </row>
    <row r="209" spans="1:4" x14ac:dyDescent="0.2">
      <c r="A209">
        <v>2022</v>
      </c>
      <c r="B209" s="1" t="s">
        <v>127</v>
      </c>
      <c r="C209" s="1" t="s">
        <v>94</v>
      </c>
      <c r="D209" s="3">
        <v>444848</v>
      </c>
    </row>
    <row r="210" spans="1:4" x14ac:dyDescent="0.2">
      <c r="A210">
        <v>2022</v>
      </c>
      <c r="B210" s="1" t="s">
        <v>128</v>
      </c>
      <c r="C210" s="1" t="s">
        <v>95</v>
      </c>
      <c r="D210" s="3">
        <v>530668</v>
      </c>
    </row>
    <row r="211" spans="1:4" x14ac:dyDescent="0.2">
      <c r="A211">
        <v>2022</v>
      </c>
      <c r="B211" s="1" t="s">
        <v>129</v>
      </c>
      <c r="C211" s="1" t="s">
        <v>96</v>
      </c>
      <c r="D211" s="3">
        <v>1398158</v>
      </c>
    </row>
    <row r="212" spans="1:4" x14ac:dyDescent="0.2">
      <c r="A212">
        <v>2022</v>
      </c>
      <c r="B212" s="1" t="s">
        <v>163</v>
      </c>
      <c r="C212" s="1" t="s">
        <v>130</v>
      </c>
      <c r="D212" s="3">
        <v>934332</v>
      </c>
    </row>
    <row r="213" spans="1:4" x14ac:dyDescent="0.2">
      <c r="A213">
        <v>2022</v>
      </c>
      <c r="B213" s="1" t="s">
        <v>164</v>
      </c>
      <c r="C213" s="1" t="s">
        <v>131</v>
      </c>
      <c r="D213" s="3">
        <v>639890</v>
      </c>
    </row>
    <row r="214" spans="1:4" x14ac:dyDescent="0.2">
      <c r="A214">
        <v>2022</v>
      </c>
      <c r="B214" s="1" t="s">
        <v>165</v>
      </c>
      <c r="C214" s="1" t="s">
        <v>132</v>
      </c>
      <c r="D214" s="3">
        <v>2270868</v>
      </c>
    </row>
    <row r="215" spans="1:4" x14ac:dyDescent="0.2">
      <c r="A215">
        <v>2022</v>
      </c>
      <c r="B215" s="1" t="s">
        <v>166</v>
      </c>
      <c r="C215" s="1" t="s">
        <v>133</v>
      </c>
      <c r="D215" s="3">
        <v>1285707</v>
      </c>
    </row>
    <row r="216" spans="1:4" x14ac:dyDescent="0.2">
      <c r="A216">
        <v>2022</v>
      </c>
      <c r="B216" s="1" t="s">
        <v>167</v>
      </c>
      <c r="C216" s="1" t="s">
        <v>134</v>
      </c>
      <c r="D216" s="3">
        <v>539383</v>
      </c>
    </row>
    <row r="217" spans="1:4" x14ac:dyDescent="0.2">
      <c r="A217">
        <v>2022</v>
      </c>
      <c r="B217" s="1" t="s">
        <v>168</v>
      </c>
      <c r="C217" s="1" t="s">
        <v>135</v>
      </c>
      <c r="D217" s="3">
        <v>1684593</v>
      </c>
    </row>
    <row r="218" spans="1:4" x14ac:dyDescent="0.2">
      <c r="A218">
        <v>2022</v>
      </c>
      <c r="B218" s="1" t="s">
        <v>169</v>
      </c>
      <c r="C218" s="1" t="s">
        <v>136</v>
      </c>
      <c r="D218" s="3">
        <v>30334668</v>
      </c>
    </row>
    <row r="219" spans="1:4" x14ac:dyDescent="0.2">
      <c r="A219">
        <v>2022</v>
      </c>
      <c r="B219" s="1" t="s">
        <v>170</v>
      </c>
      <c r="C219" s="1" t="s">
        <v>137</v>
      </c>
      <c r="D219" s="3">
        <v>1114377</v>
      </c>
    </row>
    <row r="220" spans="1:4" x14ac:dyDescent="0.2">
      <c r="A220">
        <v>2022</v>
      </c>
      <c r="B220" s="1" t="s">
        <v>171</v>
      </c>
      <c r="C220" s="1" t="s">
        <v>138</v>
      </c>
      <c r="D220" s="3">
        <v>310058</v>
      </c>
    </row>
    <row r="221" spans="1:4" x14ac:dyDescent="0.2">
      <c r="A221">
        <v>2022</v>
      </c>
      <c r="B221" s="1" t="s">
        <v>172</v>
      </c>
      <c r="C221" s="1" t="s">
        <v>139</v>
      </c>
      <c r="D221" s="3">
        <v>383978</v>
      </c>
    </row>
    <row r="222" spans="1:4" x14ac:dyDescent="0.2">
      <c r="A222">
        <v>2022</v>
      </c>
      <c r="B222" s="1" t="s">
        <v>173</v>
      </c>
      <c r="C222" s="1" t="s">
        <v>140</v>
      </c>
      <c r="D222" s="3">
        <v>4165278</v>
      </c>
    </row>
    <row r="223" spans="1:4" x14ac:dyDescent="0.2">
      <c r="A223">
        <v>2022</v>
      </c>
      <c r="B223" s="1" t="s">
        <v>174</v>
      </c>
      <c r="C223" s="1" t="s">
        <v>141</v>
      </c>
      <c r="D223" s="3">
        <v>863730</v>
      </c>
    </row>
    <row r="224" spans="1:4" x14ac:dyDescent="0.2">
      <c r="A224">
        <v>2022</v>
      </c>
      <c r="B224" s="1" t="s">
        <v>175</v>
      </c>
      <c r="C224" s="1" t="s">
        <v>142</v>
      </c>
      <c r="D224" s="3">
        <v>3646376</v>
      </c>
    </row>
    <row r="225" spans="1:4" x14ac:dyDescent="0.2">
      <c r="A225">
        <v>2022</v>
      </c>
      <c r="B225" s="1" t="s">
        <v>176</v>
      </c>
      <c r="C225" s="1" t="s">
        <v>143</v>
      </c>
      <c r="D225" s="3">
        <v>946630</v>
      </c>
    </row>
    <row r="226" spans="1:4" x14ac:dyDescent="0.2">
      <c r="A226">
        <v>2022</v>
      </c>
      <c r="B226" s="1" t="s">
        <v>177</v>
      </c>
      <c r="C226" s="1" t="s">
        <v>144</v>
      </c>
      <c r="D226" s="3">
        <v>1079607</v>
      </c>
    </row>
    <row r="227" spans="1:4" x14ac:dyDescent="0.2">
      <c r="A227">
        <v>2022</v>
      </c>
      <c r="B227" s="1" t="s">
        <v>178</v>
      </c>
      <c r="C227" s="1" t="s">
        <v>145</v>
      </c>
      <c r="D227" s="3">
        <v>1894675</v>
      </c>
    </row>
    <row r="228" spans="1:4" x14ac:dyDescent="0.2">
      <c r="A228">
        <v>2022</v>
      </c>
      <c r="B228" s="1" t="s">
        <v>179</v>
      </c>
      <c r="C228" s="1" t="s">
        <v>146</v>
      </c>
      <c r="D228" s="3">
        <v>1203692</v>
      </c>
    </row>
    <row r="229" spans="1:4" x14ac:dyDescent="0.2">
      <c r="A229">
        <v>2022</v>
      </c>
      <c r="B229" s="1" t="s">
        <v>180</v>
      </c>
      <c r="C229" s="1" t="s">
        <v>147</v>
      </c>
      <c r="D229" s="3">
        <v>654134</v>
      </c>
    </row>
    <row r="230" spans="1:4" x14ac:dyDescent="0.2">
      <c r="A230">
        <v>2022</v>
      </c>
      <c r="B230" s="1" t="s">
        <v>181</v>
      </c>
      <c r="C230" s="1" t="s">
        <v>148</v>
      </c>
      <c r="D230" s="3">
        <v>6827821</v>
      </c>
    </row>
    <row r="231" spans="1:4" x14ac:dyDescent="0.2">
      <c r="A231">
        <v>2022</v>
      </c>
      <c r="B231" s="1" t="s">
        <v>182</v>
      </c>
      <c r="C231" s="1" t="s">
        <v>149</v>
      </c>
      <c r="D231" s="3">
        <v>8976638</v>
      </c>
    </row>
    <row r="232" spans="1:4" x14ac:dyDescent="0.2">
      <c r="A232">
        <v>2022</v>
      </c>
      <c r="B232" s="1" t="s">
        <v>183</v>
      </c>
      <c r="C232" s="1" t="s">
        <v>150</v>
      </c>
      <c r="D232" s="3">
        <v>364293</v>
      </c>
    </row>
    <row r="233" spans="1:4" x14ac:dyDescent="0.2">
      <c r="A233">
        <v>2022</v>
      </c>
      <c r="B233" s="1" t="s">
        <v>184</v>
      </c>
      <c r="C233" s="1" t="s">
        <v>151</v>
      </c>
      <c r="D233" s="3">
        <v>397205</v>
      </c>
    </row>
    <row r="234" spans="1:4" x14ac:dyDescent="0.2">
      <c r="A234">
        <v>2022</v>
      </c>
      <c r="B234" s="1" t="s">
        <v>185</v>
      </c>
      <c r="C234" s="1" t="s">
        <v>152</v>
      </c>
      <c r="D234" s="3">
        <v>1268455</v>
      </c>
    </row>
    <row r="235" spans="1:4" x14ac:dyDescent="0.2">
      <c r="A235">
        <v>2022</v>
      </c>
      <c r="B235" s="1" t="s">
        <v>186</v>
      </c>
      <c r="C235" s="1" t="s">
        <v>153</v>
      </c>
      <c r="D235" s="3">
        <v>1670791</v>
      </c>
    </row>
    <row r="236" spans="1:4" x14ac:dyDescent="0.2">
      <c r="A236">
        <v>2022</v>
      </c>
      <c r="B236" s="1" t="s">
        <v>187</v>
      </c>
      <c r="C236" s="1" t="s">
        <v>154</v>
      </c>
      <c r="D236" s="3">
        <v>1842564</v>
      </c>
    </row>
    <row r="237" spans="1:4" x14ac:dyDescent="0.2">
      <c r="A237">
        <v>2022</v>
      </c>
      <c r="B237" s="1" t="s">
        <v>188</v>
      </c>
      <c r="C237" s="1" t="s">
        <v>155</v>
      </c>
      <c r="D237" s="3">
        <v>487051</v>
      </c>
    </row>
    <row r="238" spans="1:4" x14ac:dyDescent="0.2">
      <c r="A238">
        <v>2022</v>
      </c>
      <c r="B238" s="1" t="s">
        <v>189</v>
      </c>
      <c r="C238" s="1" t="s">
        <v>156</v>
      </c>
      <c r="D238" s="3">
        <v>1597004</v>
      </c>
    </row>
    <row r="239" spans="1:4" x14ac:dyDescent="0.2">
      <c r="A239">
        <v>2022</v>
      </c>
      <c r="B239" s="1" t="s">
        <v>190</v>
      </c>
      <c r="C239" s="1" t="s">
        <v>157</v>
      </c>
      <c r="D239" s="3">
        <v>1086685</v>
      </c>
    </row>
    <row r="240" spans="1:4" x14ac:dyDescent="0.2">
      <c r="A240">
        <v>2022</v>
      </c>
      <c r="B240" s="1" t="s">
        <v>191</v>
      </c>
      <c r="C240" s="1" t="s">
        <v>158</v>
      </c>
      <c r="D240" s="3">
        <v>3622488</v>
      </c>
    </row>
    <row r="241" spans="1:4" x14ac:dyDescent="0.2">
      <c r="A241">
        <v>2022</v>
      </c>
      <c r="B241" s="1" t="s">
        <v>192</v>
      </c>
      <c r="C241" s="1" t="s">
        <v>159</v>
      </c>
      <c r="D241" s="3">
        <v>7932775</v>
      </c>
    </row>
    <row r="242" spans="1:4" x14ac:dyDescent="0.2">
      <c r="A242">
        <v>2022</v>
      </c>
      <c r="B242" s="1" t="s">
        <v>193</v>
      </c>
      <c r="C242" s="1" t="s">
        <v>160</v>
      </c>
      <c r="D242" s="3">
        <v>665238</v>
      </c>
    </row>
    <row r="243" spans="1:4" x14ac:dyDescent="0.2">
      <c r="A243">
        <v>2022</v>
      </c>
      <c r="B243" s="1" t="s">
        <v>194</v>
      </c>
      <c r="C243" s="1" t="s">
        <v>161</v>
      </c>
      <c r="D243" s="3">
        <v>248789</v>
      </c>
    </row>
    <row r="244" spans="1:4" x14ac:dyDescent="0.2">
      <c r="A244">
        <v>2022</v>
      </c>
      <c r="B244" s="1" t="s">
        <v>195</v>
      </c>
      <c r="C244" s="1" t="s">
        <v>162</v>
      </c>
      <c r="D244" s="3">
        <v>2041498</v>
      </c>
    </row>
    <row r="245" spans="1:4" x14ac:dyDescent="0.2">
      <c r="A245">
        <v>2022</v>
      </c>
      <c r="B245" s="1" t="s">
        <v>229</v>
      </c>
      <c r="C245" s="1" t="s">
        <v>196</v>
      </c>
      <c r="D245" s="3">
        <v>1866541</v>
      </c>
    </row>
    <row r="246" spans="1:4" x14ac:dyDescent="0.2">
      <c r="A246">
        <v>2022</v>
      </c>
      <c r="B246" s="1" t="s">
        <v>230</v>
      </c>
      <c r="C246" s="1" t="s">
        <v>197</v>
      </c>
      <c r="D246" s="3">
        <v>1262040</v>
      </c>
    </row>
    <row r="247" spans="1:4" x14ac:dyDescent="0.2">
      <c r="A247">
        <v>2022</v>
      </c>
      <c r="B247" s="1" t="s">
        <v>231</v>
      </c>
      <c r="C247" s="1" t="s">
        <v>198</v>
      </c>
      <c r="D247" s="3">
        <v>5834698</v>
      </c>
    </row>
    <row r="248" spans="1:4" x14ac:dyDescent="0.2">
      <c r="A248">
        <v>2022</v>
      </c>
      <c r="B248" s="1" t="s">
        <v>232</v>
      </c>
      <c r="C248" s="1" t="s">
        <v>199</v>
      </c>
      <c r="D248" s="3">
        <v>2304399</v>
      </c>
    </row>
    <row r="249" spans="1:4" x14ac:dyDescent="0.2">
      <c r="A249">
        <v>2022</v>
      </c>
      <c r="B249" s="1" t="s">
        <v>233</v>
      </c>
      <c r="C249" s="1" t="s">
        <v>200</v>
      </c>
      <c r="D249" s="3">
        <v>1371041</v>
      </c>
    </row>
    <row r="250" spans="1:4" x14ac:dyDescent="0.2">
      <c r="A250">
        <v>2022</v>
      </c>
      <c r="B250" s="1" t="s">
        <v>234</v>
      </c>
      <c r="C250" s="1" t="s">
        <v>201</v>
      </c>
      <c r="D250" s="3">
        <v>2735313</v>
      </c>
    </row>
    <row r="251" spans="1:4" x14ac:dyDescent="0.2">
      <c r="A251">
        <v>2022</v>
      </c>
      <c r="B251" s="1" t="s">
        <v>235</v>
      </c>
      <c r="C251" s="1" t="s">
        <v>202</v>
      </c>
      <c r="D251" s="3">
        <v>8303040</v>
      </c>
    </row>
    <row r="252" spans="1:4" x14ac:dyDescent="0.2">
      <c r="A252">
        <v>2022</v>
      </c>
      <c r="B252" s="1" t="s">
        <v>236</v>
      </c>
      <c r="C252" s="1" t="s">
        <v>203</v>
      </c>
      <c r="D252" s="3">
        <v>10377274</v>
      </c>
    </row>
    <row r="253" spans="1:4" x14ac:dyDescent="0.2">
      <c r="A253">
        <v>2022</v>
      </c>
      <c r="B253" s="1" t="s">
        <v>237</v>
      </c>
      <c r="C253" s="1" t="s">
        <v>204</v>
      </c>
      <c r="D253" s="3">
        <v>1326804</v>
      </c>
    </row>
    <row r="254" spans="1:4" x14ac:dyDescent="0.2">
      <c r="A254">
        <v>2022</v>
      </c>
      <c r="B254" s="1" t="s">
        <v>238</v>
      </c>
      <c r="C254" s="1" t="s">
        <v>205</v>
      </c>
      <c r="D254" s="3">
        <v>4132454</v>
      </c>
    </row>
    <row r="255" spans="1:4" x14ac:dyDescent="0.2">
      <c r="A255">
        <v>2022</v>
      </c>
      <c r="B255" s="1" t="s">
        <v>239</v>
      </c>
      <c r="C255" s="1" t="s">
        <v>206</v>
      </c>
      <c r="D255" s="3">
        <v>477451</v>
      </c>
    </row>
    <row r="256" spans="1:4" x14ac:dyDescent="0.2">
      <c r="A256">
        <v>2022</v>
      </c>
      <c r="B256" s="1" t="s">
        <v>240</v>
      </c>
      <c r="C256" s="1" t="s">
        <v>207</v>
      </c>
      <c r="D256" s="3">
        <v>9613299</v>
      </c>
    </row>
    <row r="257" spans="1:4" x14ac:dyDescent="0.2">
      <c r="A257">
        <v>2022</v>
      </c>
      <c r="B257" s="1" t="s">
        <v>241</v>
      </c>
      <c r="C257" s="1" t="s">
        <v>208</v>
      </c>
      <c r="D257" s="3">
        <v>4318780</v>
      </c>
    </row>
    <row r="258" spans="1:4" x14ac:dyDescent="0.2">
      <c r="A258">
        <v>2022</v>
      </c>
      <c r="B258" s="1" t="s">
        <v>242</v>
      </c>
      <c r="C258" s="1" t="s">
        <v>209</v>
      </c>
      <c r="D258" s="3">
        <v>932164</v>
      </c>
    </row>
    <row r="259" spans="1:4" x14ac:dyDescent="0.2">
      <c r="A259">
        <v>2022</v>
      </c>
      <c r="B259" s="1" t="s">
        <v>243</v>
      </c>
      <c r="C259" s="1" t="s">
        <v>210</v>
      </c>
      <c r="D259" s="3">
        <v>4046766</v>
      </c>
    </row>
    <row r="260" spans="1:4" x14ac:dyDescent="0.2">
      <c r="A260">
        <v>2022</v>
      </c>
      <c r="B260" s="1" t="s">
        <v>244</v>
      </c>
      <c r="C260" s="1" t="s">
        <v>211</v>
      </c>
      <c r="D260" s="3">
        <v>1567277</v>
      </c>
    </row>
    <row r="261" spans="1:4" x14ac:dyDescent="0.2">
      <c r="A261">
        <v>2022</v>
      </c>
      <c r="B261" s="1" t="s">
        <v>245</v>
      </c>
      <c r="C261" s="1" t="s">
        <v>212</v>
      </c>
      <c r="D261" s="3">
        <v>568580</v>
      </c>
    </row>
    <row r="262" spans="1:4" x14ac:dyDescent="0.2">
      <c r="A262">
        <v>2022</v>
      </c>
      <c r="B262" s="1" t="s">
        <v>246</v>
      </c>
      <c r="C262" s="1" t="s">
        <v>213</v>
      </c>
      <c r="D262" s="3">
        <v>1368254</v>
      </c>
    </row>
    <row r="263" spans="1:4" x14ac:dyDescent="0.2">
      <c r="A263">
        <v>2022</v>
      </c>
      <c r="B263" s="1" t="s">
        <v>247</v>
      </c>
      <c r="C263" s="1" t="s">
        <v>214</v>
      </c>
      <c r="D263" s="3">
        <v>995645</v>
      </c>
    </row>
    <row r="264" spans="1:4" x14ac:dyDescent="0.2">
      <c r="A264">
        <v>2022</v>
      </c>
      <c r="B264" s="1" t="s">
        <v>249</v>
      </c>
      <c r="C264" s="1" t="s">
        <v>216</v>
      </c>
      <c r="D264" s="3">
        <v>4822</v>
      </c>
    </row>
    <row r="265" spans="1:4" x14ac:dyDescent="0.2">
      <c r="A265">
        <v>2022</v>
      </c>
      <c r="B265" s="1" t="s">
        <v>250</v>
      </c>
      <c r="C265" s="1" t="s">
        <v>217</v>
      </c>
      <c r="D265" s="3">
        <v>326912</v>
      </c>
    </row>
    <row r="266" spans="1:4" x14ac:dyDescent="0.2">
      <c r="A266">
        <v>2022</v>
      </c>
      <c r="B266" s="1" t="s">
        <v>251</v>
      </c>
      <c r="C266" s="1" t="s">
        <v>218</v>
      </c>
      <c r="D266" s="3">
        <v>12942849</v>
      </c>
    </row>
    <row r="267" spans="1:4" x14ac:dyDescent="0.2">
      <c r="A267">
        <v>2022</v>
      </c>
      <c r="B267" s="1" t="s">
        <v>252</v>
      </c>
      <c r="C267" s="1" t="s">
        <v>219</v>
      </c>
      <c r="D267" s="3">
        <v>21036072</v>
      </c>
    </row>
    <row r="268" spans="1:4" x14ac:dyDescent="0.2">
      <c r="A268">
        <v>2022</v>
      </c>
      <c r="B268" s="1" t="s">
        <v>253</v>
      </c>
      <c r="C268" s="1" t="s">
        <v>220</v>
      </c>
      <c r="D268" s="3">
        <v>1134859</v>
      </c>
    </row>
    <row r="269" spans="1:4" x14ac:dyDescent="0.2">
      <c r="A269">
        <v>2022</v>
      </c>
      <c r="B269" s="1" t="s">
        <v>254</v>
      </c>
      <c r="C269" s="1" t="s">
        <v>221</v>
      </c>
      <c r="D269" s="3">
        <v>267723</v>
      </c>
    </row>
    <row r="270" spans="1:4" x14ac:dyDescent="0.2">
      <c r="A270">
        <v>2022</v>
      </c>
      <c r="B270" s="1" t="s">
        <v>255</v>
      </c>
      <c r="C270" s="1" t="s">
        <v>222</v>
      </c>
      <c r="D270" s="3">
        <v>172436</v>
      </c>
    </row>
    <row r="271" spans="1:4" x14ac:dyDescent="0.2">
      <c r="A271">
        <v>2022</v>
      </c>
      <c r="B271" s="1" t="s">
        <v>256</v>
      </c>
      <c r="C271" s="1" t="s">
        <v>223</v>
      </c>
      <c r="D271" s="3">
        <v>959680</v>
      </c>
    </row>
    <row r="272" spans="1:4" x14ac:dyDescent="0.2">
      <c r="A272">
        <v>2022</v>
      </c>
      <c r="B272" s="1" t="s">
        <v>257</v>
      </c>
      <c r="C272" s="1" t="s">
        <v>224</v>
      </c>
      <c r="D272" s="3">
        <v>182655</v>
      </c>
    </row>
    <row r="273" spans="1:4" x14ac:dyDescent="0.2">
      <c r="A273">
        <v>2022</v>
      </c>
      <c r="B273" s="1" t="s">
        <v>258</v>
      </c>
      <c r="C273" s="1" t="s">
        <v>225</v>
      </c>
      <c r="D273" s="3">
        <v>399196</v>
      </c>
    </row>
    <row r="274" spans="1:4" x14ac:dyDescent="0.2">
      <c r="A274">
        <v>2022</v>
      </c>
      <c r="B274" s="1" t="s">
        <v>259</v>
      </c>
      <c r="C274" s="1" t="s">
        <v>226</v>
      </c>
      <c r="D274" s="3">
        <v>217956</v>
      </c>
    </row>
    <row r="275" spans="1:4" x14ac:dyDescent="0.2">
      <c r="A275">
        <v>2022</v>
      </c>
      <c r="B275" s="1" t="s">
        <v>260</v>
      </c>
      <c r="C275" s="1" t="s">
        <v>227</v>
      </c>
      <c r="D275" s="3">
        <v>3040682</v>
      </c>
    </row>
    <row r="276" spans="1:4" x14ac:dyDescent="0.2">
      <c r="A276">
        <v>2022</v>
      </c>
      <c r="B276" s="1" t="s">
        <v>261</v>
      </c>
      <c r="C276" s="1" t="s">
        <v>228</v>
      </c>
      <c r="D276" s="3">
        <v>1254918</v>
      </c>
    </row>
    <row r="277" spans="1:4" x14ac:dyDescent="0.2">
      <c r="A277">
        <v>2022</v>
      </c>
      <c r="B277" s="1" t="s">
        <v>276</v>
      </c>
      <c r="C277" s="1" t="s">
        <v>294</v>
      </c>
      <c r="D277" s="3">
        <v>3791828</v>
      </c>
    </row>
    <row r="278" spans="1:4" x14ac:dyDescent="0.2">
      <c r="A278">
        <v>2022</v>
      </c>
      <c r="B278" s="1" t="s">
        <v>277</v>
      </c>
      <c r="C278" s="1" t="s">
        <v>263</v>
      </c>
      <c r="D278" s="3">
        <v>592954</v>
      </c>
    </row>
    <row r="279" spans="1:4" x14ac:dyDescent="0.2">
      <c r="A279">
        <v>2022</v>
      </c>
      <c r="B279" s="1" t="s">
        <v>278</v>
      </c>
      <c r="C279" s="1" t="s">
        <v>264</v>
      </c>
      <c r="D279" s="3">
        <v>96614</v>
      </c>
    </row>
    <row r="280" spans="1:4" x14ac:dyDescent="0.2">
      <c r="A280">
        <v>2022</v>
      </c>
      <c r="B280" s="1" t="s">
        <v>279</v>
      </c>
      <c r="C280" s="1" t="s">
        <v>295</v>
      </c>
      <c r="D280" s="3">
        <v>71664</v>
      </c>
    </row>
    <row r="281" spans="1:4" x14ac:dyDescent="0.2">
      <c r="A281">
        <v>2022</v>
      </c>
      <c r="B281" s="1" t="s">
        <v>282</v>
      </c>
      <c r="C281" s="1" t="s">
        <v>268</v>
      </c>
      <c r="D281" s="3">
        <v>457279</v>
      </c>
    </row>
    <row r="282" spans="1:4" x14ac:dyDescent="0.2">
      <c r="A282">
        <v>2022</v>
      </c>
      <c r="B282" s="1" t="s">
        <v>283</v>
      </c>
      <c r="C282" s="1" t="s">
        <v>269</v>
      </c>
      <c r="D282" s="3">
        <v>59632</v>
      </c>
    </row>
    <row r="283" spans="1:4" x14ac:dyDescent="0.2">
      <c r="A283">
        <v>2022</v>
      </c>
      <c r="B283" s="1" t="s">
        <v>284</v>
      </c>
      <c r="C283" s="1" t="s">
        <v>270</v>
      </c>
      <c r="D283" s="3">
        <v>45432</v>
      </c>
    </row>
    <row r="284" spans="1:4" x14ac:dyDescent="0.2">
      <c r="A284">
        <v>2022</v>
      </c>
      <c r="B284" s="1" t="s">
        <v>285</v>
      </c>
      <c r="C284" s="1" t="s">
        <v>296</v>
      </c>
      <c r="D284" s="3">
        <v>15483</v>
      </c>
    </row>
    <row r="285" spans="1:4" x14ac:dyDescent="0.2">
      <c r="A285">
        <v>2022</v>
      </c>
      <c r="B285" s="1" t="s">
        <v>286</v>
      </c>
      <c r="C285" s="1" t="s">
        <v>272</v>
      </c>
      <c r="D285" s="3">
        <v>28577</v>
      </c>
    </row>
    <row r="286" spans="1:4" x14ac:dyDescent="0.2">
      <c r="A286">
        <v>2022</v>
      </c>
      <c r="B286" s="1" t="s">
        <v>287</v>
      </c>
      <c r="C286" s="1" t="s">
        <v>273</v>
      </c>
      <c r="D286" s="3">
        <v>232289</v>
      </c>
    </row>
    <row r="287" spans="1:4" x14ac:dyDescent="0.2">
      <c r="A287">
        <v>2022</v>
      </c>
      <c r="B287" s="1" t="s">
        <v>288</v>
      </c>
      <c r="C287" s="1" t="s">
        <v>274</v>
      </c>
      <c r="D287" s="3">
        <v>108735</v>
      </c>
    </row>
    <row r="288" spans="1:4" x14ac:dyDescent="0.2">
      <c r="A288">
        <v>2022</v>
      </c>
      <c r="B288" s="1" t="s">
        <v>289</v>
      </c>
      <c r="C288" s="1" t="s">
        <v>275</v>
      </c>
      <c r="D288" s="3">
        <v>28268</v>
      </c>
    </row>
    <row r="290" spans="1:4" x14ac:dyDescent="0.2">
      <c r="A290">
        <v>2023</v>
      </c>
      <c r="B290" s="1" t="s">
        <v>32</v>
      </c>
      <c r="C290" s="1" t="s">
        <v>0</v>
      </c>
      <c r="D290" s="2">
        <v>455259</v>
      </c>
    </row>
    <row r="291" spans="1:4" x14ac:dyDescent="0.2">
      <c r="A291">
        <v>2023</v>
      </c>
      <c r="B291" s="1" t="s">
        <v>33</v>
      </c>
      <c r="C291" s="1" t="s">
        <v>1</v>
      </c>
      <c r="D291" s="3">
        <v>1807823</v>
      </c>
    </row>
    <row r="292" spans="1:4" x14ac:dyDescent="0.2">
      <c r="A292">
        <v>2023</v>
      </c>
      <c r="B292" s="1" t="s">
        <v>34</v>
      </c>
      <c r="C292" s="1" t="s">
        <v>2</v>
      </c>
      <c r="D292" s="3">
        <v>270274</v>
      </c>
    </row>
    <row r="293" spans="1:4" x14ac:dyDescent="0.2">
      <c r="A293">
        <v>2023</v>
      </c>
      <c r="B293" s="1" t="s">
        <v>35</v>
      </c>
      <c r="C293" s="1" t="s">
        <v>3</v>
      </c>
      <c r="D293" s="3">
        <v>149079</v>
      </c>
    </row>
    <row r="294" spans="1:4" x14ac:dyDescent="0.2">
      <c r="A294">
        <v>2023</v>
      </c>
      <c r="B294" s="1" t="s">
        <v>36</v>
      </c>
      <c r="C294" s="1" t="s">
        <v>4</v>
      </c>
      <c r="D294" s="3">
        <v>421845</v>
      </c>
    </row>
    <row r="295" spans="1:4" x14ac:dyDescent="0.2">
      <c r="A295">
        <v>2023</v>
      </c>
      <c r="B295" s="1" t="s">
        <v>37</v>
      </c>
      <c r="C295" s="1" t="s">
        <v>5</v>
      </c>
      <c r="D295" s="3">
        <v>206278</v>
      </c>
    </row>
    <row r="296" spans="1:4" x14ac:dyDescent="0.2">
      <c r="A296">
        <v>2023</v>
      </c>
      <c r="B296" s="1" t="s">
        <v>38</v>
      </c>
      <c r="C296" s="1" t="s">
        <v>6</v>
      </c>
      <c r="D296" s="3">
        <v>5389879</v>
      </c>
    </row>
    <row r="297" spans="1:4" x14ac:dyDescent="0.2">
      <c r="A297">
        <v>2023</v>
      </c>
      <c r="B297" s="1" t="s">
        <v>39</v>
      </c>
      <c r="C297" s="1" t="s">
        <v>7</v>
      </c>
      <c r="D297" s="3">
        <v>1038569</v>
      </c>
    </row>
    <row r="298" spans="1:4" x14ac:dyDescent="0.2">
      <c r="A298">
        <v>2023</v>
      </c>
      <c r="B298" s="1" t="s">
        <v>40</v>
      </c>
      <c r="C298" s="1" t="s">
        <v>8</v>
      </c>
      <c r="D298" s="3">
        <v>71546</v>
      </c>
    </row>
    <row r="299" spans="1:4" x14ac:dyDescent="0.2">
      <c r="A299">
        <v>2023</v>
      </c>
      <c r="B299" s="1" t="s">
        <v>41</v>
      </c>
      <c r="C299" s="1" t="s">
        <v>9</v>
      </c>
      <c r="D299" s="3">
        <v>874391</v>
      </c>
    </row>
    <row r="300" spans="1:4" x14ac:dyDescent="0.2">
      <c r="A300">
        <v>2023</v>
      </c>
      <c r="B300" s="1" t="s">
        <v>42</v>
      </c>
      <c r="C300" s="1" t="s">
        <v>10</v>
      </c>
      <c r="D300" s="3">
        <v>61460</v>
      </c>
    </row>
    <row r="301" spans="1:4" x14ac:dyDescent="0.2">
      <c r="A301">
        <v>2023</v>
      </c>
      <c r="B301" s="1" t="s">
        <v>43</v>
      </c>
      <c r="C301" s="1" t="s">
        <v>11</v>
      </c>
      <c r="D301" s="3">
        <v>463679</v>
      </c>
    </row>
    <row r="302" spans="1:4" x14ac:dyDescent="0.2">
      <c r="A302">
        <v>2023</v>
      </c>
      <c r="B302" s="1" t="s">
        <v>44</v>
      </c>
      <c r="C302" s="1" t="s">
        <v>12</v>
      </c>
      <c r="D302" s="3">
        <v>130558</v>
      </c>
    </row>
    <row r="303" spans="1:4" x14ac:dyDescent="0.2">
      <c r="A303">
        <v>2023</v>
      </c>
      <c r="B303" s="1" t="s">
        <v>45</v>
      </c>
      <c r="C303" s="1" t="s">
        <v>13</v>
      </c>
      <c r="D303" s="3">
        <v>213842</v>
      </c>
    </row>
    <row r="304" spans="1:4" x14ac:dyDescent="0.2">
      <c r="A304">
        <v>2023</v>
      </c>
      <c r="B304" s="1" t="s">
        <v>46</v>
      </c>
      <c r="C304" s="1" t="s">
        <v>14</v>
      </c>
      <c r="D304" s="3">
        <v>198861</v>
      </c>
    </row>
    <row r="305" spans="1:4" x14ac:dyDescent="0.2">
      <c r="A305">
        <v>2023</v>
      </c>
      <c r="B305" s="1" t="s">
        <v>47</v>
      </c>
      <c r="C305" s="1" t="s">
        <v>15</v>
      </c>
      <c r="D305" s="3">
        <v>717614</v>
      </c>
    </row>
    <row r="306" spans="1:4" x14ac:dyDescent="0.2">
      <c r="A306">
        <v>2023</v>
      </c>
      <c r="B306" s="1" t="s">
        <v>48</v>
      </c>
      <c r="C306" s="1" t="s">
        <v>16</v>
      </c>
      <c r="D306" s="3">
        <v>381663</v>
      </c>
    </row>
    <row r="307" spans="1:4" x14ac:dyDescent="0.2">
      <c r="A307">
        <v>2023</v>
      </c>
      <c r="B307" s="1" t="s">
        <v>49</v>
      </c>
      <c r="C307" s="1" t="s">
        <v>17</v>
      </c>
      <c r="D307" s="3">
        <v>360355</v>
      </c>
    </row>
    <row r="308" spans="1:4" x14ac:dyDescent="0.2">
      <c r="A308">
        <v>2023</v>
      </c>
      <c r="B308" s="1" t="s">
        <v>50</v>
      </c>
      <c r="C308" s="1" t="s">
        <v>18</v>
      </c>
      <c r="D308" s="3">
        <v>61224</v>
      </c>
    </row>
    <row r="309" spans="1:4" x14ac:dyDescent="0.2">
      <c r="A309">
        <v>2023</v>
      </c>
      <c r="B309" s="1" t="s">
        <v>51</v>
      </c>
      <c r="C309" s="1" t="s">
        <v>19</v>
      </c>
      <c r="D309" s="3">
        <v>305826</v>
      </c>
    </row>
    <row r="310" spans="1:4" x14ac:dyDescent="0.2">
      <c r="A310">
        <v>2023</v>
      </c>
      <c r="B310" s="1" t="s">
        <v>52</v>
      </c>
      <c r="C310" s="1" t="s">
        <v>20</v>
      </c>
      <c r="D310" s="3">
        <v>6021585</v>
      </c>
    </row>
    <row r="311" spans="1:4" x14ac:dyDescent="0.2">
      <c r="A311">
        <v>2023</v>
      </c>
      <c r="B311" s="1" t="s">
        <v>53</v>
      </c>
      <c r="C311" s="1" t="s">
        <v>21</v>
      </c>
      <c r="D311" s="3">
        <v>211660</v>
      </c>
    </row>
    <row r="312" spans="1:4" x14ac:dyDescent="0.2">
      <c r="A312">
        <v>2023</v>
      </c>
      <c r="B312" s="1" t="s">
        <v>54</v>
      </c>
      <c r="C312" s="1" t="s">
        <v>22</v>
      </c>
      <c r="D312" s="3">
        <v>59086</v>
      </c>
    </row>
    <row r="313" spans="1:4" x14ac:dyDescent="0.2">
      <c r="A313">
        <v>2023</v>
      </c>
      <c r="B313" s="1" t="s">
        <v>55</v>
      </c>
      <c r="C313" s="1" t="s">
        <v>23</v>
      </c>
      <c r="D313" s="3">
        <v>775373</v>
      </c>
    </row>
    <row r="314" spans="1:4" x14ac:dyDescent="0.2">
      <c r="A314">
        <v>2023</v>
      </c>
      <c r="B314" s="1" t="s">
        <v>56</v>
      </c>
      <c r="C314" s="1" t="s">
        <v>24</v>
      </c>
      <c r="D314" s="3">
        <v>144036</v>
      </c>
    </row>
    <row r="315" spans="1:4" x14ac:dyDescent="0.2">
      <c r="A315">
        <v>2023</v>
      </c>
      <c r="B315" s="1" t="s">
        <v>57</v>
      </c>
      <c r="C315" s="1" t="s">
        <v>25</v>
      </c>
      <c r="D315" s="3">
        <v>171124</v>
      </c>
    </row>
    <row r="316" spans="1:4" x14ac:dyDescent="0.2">
      <c r="A316">
        <v>2023</v>
      </c>
      <c r="B316" s="1" t="s">
        <v>58</v>
      </c>
      <c r="C316" s="1" t="s">
        <v>26</v>
      </c>
      <c r="D316" s="3">
        <v>424101</v>
      </c>
    </row>
    <row r="317" spans="1:4" x14ac:dyDescent="0.2">
      <c r="A317">
        <v>2023</v>
      </c>
      <c r="B317" s="1" t="s">
        <v>59</v>
      </c>
      <c r="C317" s="1" t="s">
        <v>27</v>
      </c>
      <c r="D317" s="3">
        <v>131369</v>
      </c>
    </row>
    <row r="318" spans="1:4" x14ac:dyDescent="0.2">
      <c r="A318">
        <v>2023</v>
      </c>
      <c r="B318" s="1" t="s">
        <v>60</v>
      </c>
      <c r="C318" s="1" t="s">
        <v>28</v>
      </c>
      <c r="D318" s="3">
        <v>25864020</v>
      </c>
    </row>
    <row r="319" spans="1:4" x14ac:dyDescent="0.2">
      <c r="A319">
        <v>2023</v>
      </c>
      <c r="B319" s="1" t="s">
        <v>61</v>
      </c>
      <c r="C319" s="1" t="s">
        <v>29</v>
      </c>
      <c r="D319" s="3">
        <v>1287359</v>
      </c>
    </row>
    <row r="320" spans="1:4" x14ac:dyDescent="0.2">
      <c r="A320">
        <v>2023</v>
      </c>
      <c r="B320" s="1" t="s">
        <v>62</v>
      </c>
      <c r="C320" s="1" t="s">
        <v>30</v>
      </c>
      <c r="D320" s="3">
        <v>176875</v>
      </c>
    </row>
    <row r="321" spans="1:4" x14ac:dyDescent="0.2">
      <c r="A321">
        <v>2023</v>
      </c>
      <c r="B321" s="1" t="s">
        <v>63</v>
      </c>
      <c r="C321" s="1" t="s">
        <v>31</v>
      </c>
      <c r="D321" s="3">
        <v>401702</v>
      </c>
    </row>
    <row r="322" spans="1:4" x14ac:dyDescent="0.2">
      <c r="A322">
        <v>2023</v>
      </c>
      <c r="B322" s="1" t="s">
        <v>97</v>
      </c>
      <c r="C322" s="1" t="s">
        <v>64</v>
      </c>
      <c r="D322" s="3">
        <v>669204</v>
      </c>
    </row>
    <row r="323" spans="1:4" x14ac:dyDescent="0.2">
      <c r="A323">
        <v>2023</v>
      </c>
      <c r="B323" s="1" t="s">
        <v>98</v>
      </c>
      <c r="C323" s="1" t="s">
        <v>65</v>
      </c>
      <c r="D323" s="3">
        <v>1577112</v>
      </c>
    </row>
    <row r="324" spans="1:4" x14ac:dyDescent="0.2">
      <c r="A324">
        <v>2023</v>
      </c>
      <c r="B324" s="1" t="s">
        <v>99</v>
      </c>
      <c r="C324" s="1" t="s">
        <v>66</v>
      </c>
      <c r="D324" s="3">
        <v>228839</v>
      </c>
    </row>
    <row r="325" spans="1:4" x14ac:dyDescent="0.2">
      <c r="A325">
        <v>2023</v>
      </c>
      <c r="B325" s="1" t="s">
        <v>100</v>
      </c>
      <c r="C325" s="1" t="s">
        <v>67</v>
      </c>
      <c r="D325" s="3">
        <v>549941</v>
      </c>
    </row>
    <row r="326" spans="1:4" x14ac:dyDescent="0.2">
      <c r="A326">
        <v>2023</v>
      </c>
      <c r="B326" s="1" t="s">
        <v>101</v>
      </c>
      <c r="C326" s="1" t="s">
        <v>68</v>
      </c>
      <c r="D326" s="3">
        <v>278841</v>
      </c>
    </row>
    <row r="327" spans="1:4" x14ac:dyDescent="0.2">
      <c r="A327">
        <v>2023</v>
      </c>
      <c r="B327" s="1" t="s">
        <v>102</v>
      </c>
      <c r="C327" s="1" t="s">
        <v>69</v>
      </c>
      <c r="D327" s="3">
        <v>166626</v>
      </c>
    </row>
    <row r="328" spans="1:4" x14ac:dyDescent="0.2">
      <c r="A328">
        <v>2023</v>
      </c>
      <c r="B328" s="1" t="s">
        <v>103</v>
      </c>
      <c r="C328" s="1" t="s">
        <v>70</v>
      </c>
      <c r="D328" s="3">
        <v>304174</v>
      </c>
    </row>
    <row r="329" spans="1:4" x14ac:dyDescent="0.2">
      <c r="A329">
        <v>2023</v>
      </c>
      <c r="B329" s="1" t="s">
        <v>104</v>
      </c>
      <c r="C329" s="1" t="s">
        <v>71</v>
      </c>
      <c r="D329" s="3">
        <v>223191</v>
      </c>
    </row>
    <row r="330" spans="1:4" x14ac:dyDescent="0.2">
      <c r="A330">
        <v>2023</v>
      </c>
      <c r="B330" s="1" t="s">
        <v>105</v>
      </c>
      <c r="C330" s="1" t="s">
        <v>72</v>
      </c>
      <c r="D330" s="3">
        <v>486299</v>
      </c>
    </row>
    <row r="331" spans="1:4" x14ac:dyDescent="0.2">
      <c r="A331">
        <v>2023</v>
      </c>
      <c r="B331" s="1" t="s">
        <v>106</v>
      </c>
      <c r="C331" s="1" t="s">
        <v>73</v>
      </c>
      <c r="D331" s="3">
        <v>1797000</v>
      </c>
    </row>
    <row r="332" spans="1:4" x14ac:dyDescent="0.2">
      <c r="A332">
        <v>2023</v>
      </c>
      <c r="B332" s="1" t="s">
        <v>107</v>
      </c>
      <c r="C332" s="1" t="s">
        <v>74</v>
      </c>
      <c r="D332" s="3">
        <v>4875254</v>
      </c>
    </row>
    <row r="333" spans="1:4" x14ac:dyDescent="0.2">
      <c r="A333">
        <v>2023</v>
      </c>
      <c r="B333" s="1" t="s">
        <v>108</v>
      </c>
      <c r="C333" s="1" t="s">
        <v>75</v>
      </c>
      <c r="D333" s="3">
        <v>667833</v>
      </c>
    </row>
    <row r="334" spans="1:4" x14ac:dyDescent="0.2">
      <c r="A334">
        <v>2023</v>
      </c>
      <c r="B334" s="1" t="s">
        <v>109</v>
      </c>
      <c r="C334" s="1" t="s">
        <v>76</v>
      </c>
      <c r="D334" s="3">
        <v>29757</v>
      </c>
    </row>
    <row r="335" spans="1:4" x14ac:dyDescent="0.2">
      <c r="A335">
        <v>2023</v>
      </c>
      <c r="B335" s="1" t="s">
        <v>110</v>
      </c>
      <c r="C335" s="1" t="s">
        <v>77</v>
      </c>
      <c r="D335" s="3">
        <v>559039</v>
      </c>
    </row>
    <row r="336" spans="1:4" x14ac:dyDescent="0.2">
      <c r="A336">
        <v>2023</v>
      </c>
      <c r="B336" s="1" t="s">
        <v>111</v>
      </c>
      <c r="C336" s="1" t="s">
        <v>78</v>
      </c>
      <c r="D336" s="3">
        <v>424529</v>
      </c>
    </row>
    <row r="337" spans="1:4" x14ac:dyDescent="0.2">
      <c r="A337">
        <v>2023</v>
      </c>
      <c r="B337" s="1" t="s">
        <v>112</v>
      </c>
      <c r="C337" s="1" t="s">
        <v>79</v>
      </c>
      <c r="D337" s="3">
        <v>86351</v>
      </c>
    </row>
    <row r="338" spans="1:4" x14ac:dyDescent="0.2">
      <c r="A338">
        <v>2023</v>
      </c>
      <c r="B338" s="1" t="s">
        <v>113</v>
      </c>
      <c r="C338" s="1" t="s">
        <v>80</v>
      </c>
      <c r="D338" s="3">
        <v>188465</v>
      </c>
    </row>
    <row r="339" spans="1:4" x14ac:dyDescent="0.2">
      <c r="A339">
        <v>2023</v>
      </c>
      <c r="B339" s="1" t="s">
        <v>114</v>
      </c>
      <c r="C339" s="1" t="s">
        <v>81</v>
      </c>
      <c r="D339" s="3">
        <v>101598</v>
      </c>
    </row>
    <row r="340" spans="1:4" x14ac:dyDescent="0.2">
      <c r="A340">
        <v>2023</v>
      </c>
      <c r="B340" s="1" t="s">
        <v>115</v>
      </c>
      <c r="C340" s="1" t="s">
        <v>82</v>
      </c>
      <c r="D340" s="3">
        <v>307359</v>
      </c>
    </row>
    <row r="341" spans="1:4" x14ac:dyDescent="0.2">
      <c r="A341">
        <v>2023</v>
      </c>
      <c r="B341" s="1" t="s">
        <v>116</v>
      </c>
      <c r="C341" s="1" t="s">
        <v>83</v>
      </c>
      <c r="D341" s="3">
        <v>12220457</v>
      </c>
    </row>
    <row r="342" spans="1:4" x14ac:dyDescent="0.2">
      <c r="A342">
        <v>2023</v>
      </c>
      <c r="B342" s="1" t="s">
        <v>117</v>
      </c>
      <c r="C342" s="1" t="s">
        <v>84</v>
      </c>
      <c r="D342" s="3">
        <v>567164</v>
      </c>
    </row>
    <row r="343" spans="1:4" x14ac:dyDescent="0.2">
      <c r="A343">
        <v>2023</v>
      </c>
      <c r="B343" s="1" t="s">
        <v>118</v>
      </c>
      <c r="C343" s="1" t="s">
        <v>85</v>
      </c>
      <c r="D343" s="3">
        <v>158384</v>
      </c>
    </row>
    <row r="344" spans="1:4" x14ac:dyDescent="0.2">
      <c r="A344">
        <v>2023</v>
      </c>
      <c r="B344" s="1" t="s">
        <v>119</v>
      </c>
      <c r="C344" s="1" t="s">
        <v>86</v>
      </c>
      <c r="D344" s="3">
        <v>173940</v>
      </c>
    </row>
    <row r="345" spans="1:4" x14ac:dyDescent="0.2">
      <c r="A345">
        <v>2023</v>
      </c>
      <c r="B345" s="1" t="s">
        <v>120</v>
      </c>
      <c r="C345" s="1" t="s">
        <v>87</v>
      </c>
      <c r="D345" s="3">
        <v>120001</v>
      </c>
    </row>
    <row r="346" spans="1:4" x14ac:dyDescent="0.2">
      <c r="A346">
        <v>2023</v>
      </c>
      <c r="B346" s="1" t="s">
        <v>121</v>
      </c>
      <c r="C346" s="1" t="s">
        <v>88</v>
      </c>
      <c r="D346" s="3">
        <v>401658</v>
      </c>
    </row>
    <row r="347" spans="1:4" x14ac:dyDescent="0.2">
      <c r="A347">
        <v>2023</v>
      </c>
      <c r="B347" s="1" t="s">
        <v>122</v>
      </c>
      <c r="C347" s="1" t="s">
        <v>89</v>
      </c>
      <c r="D347" s="3">
        <v>154196</v>
      </c>
    </row>
    <row r="348" spans="1:4" x14ac:dyDescent="0.2">
      <c r="A348">
        <v>2023</v>
      </c>
      <c r="B348" s="1" t="s">
        <v>123</v>
      </c>
      <c r="C348" s="1" t="s">
        <v>90</v>
      </c>
      <c r="D348" s="3">
        <v>1003357</v>
      </c>
    </row>
    <row r="349" spans="1:4" x14ac:dyDescent="0.2">
      <c r="A349">
        <v>2023</v>
      </c>
      <c r="B349" s="1" t="s">
        <v>124</v>
      </c>
      <c r="C349" s="1" t="s">
        <v>91</v>
      </c>
      <c r="D349" s="3">
        <v>189394</v>
      </c>
    </row>
    <row r="350" spans="1:4" x14ac:dyDescent="0.2">
      <c r="A350">
        <v>2023</v>
      </c>
      <c r="B350" s="1" t="s">
        <v>125</v>
      </c>
      <c r="C350" s="1" t="s">
        <v>92</v>
      </c>
      <c r="D350" s="3">
        <v>322533</v>
      </c>
    </row>
    <row r="351" spans="1:4" x14ac:dyDescent="0.2">
      <c r="A351">
        <v>2023</v>
      </c>
      <c r="B351" s="1" t="s">
        <v>126</v>
      </c>
      <c r="C351" s="1" t="s">
        <v>93</v>
      </c>
      <c r="D351" s="3">
        <v>144862</v>
      </c>
    </row>
    <row r="352" spans="1:4" x14ac:dyDescent="0.2">
      <c r="A352">
        <v>2023</v>
      </c>
      <c r="B352" s="1" t="s">
        <v>127</v>
      </c>
      <c r="C352" s="1" t="s">
        <v>94</v>
      </c>
      <c r="D352" s="3">
        <v>151763</v>
      </c>
    </row>
    <row r="353" spans="1:4" x14ac:dyDescent="0.2">
      <c r="A353">
        <v>2023</v>
      </c>
      <c r="B353" s="1" t="s">
        <v>128</v>
      </c>
      <c r="C353" s="1" t="s">
        <v>95</v>
      </c>
      <c r="D353" s="3">
        <v>175813</v>
      </c>
    </row>
    <row r="354" spans="1:4" x14ac:dyDescent="0.2">
      <c r="A354">
        <v>2023</v>
      </c>
      <c r="B354" s="1" t="s">
        <v>129</v>
      </c>
      <c r="C354" s="1" t="s">
        <v>96</v>
      </c>
      <c r="D354" s="3">
        <v>463708</v>
      </c>
    </row>
    <row r="355" spans="1:4" x14ac:dyDescent="0.2">
      <c r="A355">
        <v>2023</v>
      </c>
      <c r="B355" s="1" t="s">
        <v>163</v>
      </c>
      <c r="C355" s="1" t="s">
        <v>130</v>
      </c>
      <c r="D355" s="3">
        <v>322046</v>
      </c>
    </row>
    <row r="356" spans="1:4" x14ac:dyDescent="0.2">
      <c r="A356">
        <v>2023</v>
      </c>
      <c r="B356" s="1" t="s">
        <v>164</v>
      </c>
      <c r="C356" s="1" t="s">
        <v>131</v>
      </c>
      <c r="D356" s="3">
        <v>218708</v>
      </c>
    </row>
    <row r="357" spans="1:4" x14ac:dyDescent="0.2">
      <c r="A357">
        <v>2023</v>
      </c>
      <c r="B357" s="1" t="s">
        <v>165</v>
      </c>
      <c r="C357" s="1" t="s">
        <v>132</v>
      </c>
      <c r="D357" s="3">
        <v>769991</v>
      </c>
    </row>
    <row r="358" spans="1:4" x14ac:dyDescent="0.2">
      <c r="A358">
        <v>2023</v>
      </c>
      <c r="B358" s="1" t="s">
        <v>166</v>
      </c>
      <c r="C358" s="1" t="s">
        <v>133</v>
      </c>
      <c r="D358" s="3">
        <v>416301</v>
      </c>
    </row>
    <row r="359" spans="1:4" x14ac:dyDescent="0.2">
      <c r="A359">
        <v>2023</v>
      </c>
      <c r="B359" s="1" t="s">
        <v>167</v>
      </c>
      <c r="C359" s="1" t="s">
        <v>134</v>
      </c>
      <c r="D359" s="3">
        <v>167275</v>
      </c>
    </row>
    <row r="360" spans="1:4" x14ac:dyDescent="0.2">
      <c r="A360">
        <v>2023</v>
      </c>
      <c r="B360" s="1" t="s">
        <v>168</v>
      </c>
      <c r="C360" s="1" t="s">
        <v>135</v>
      </c>
      <c r="D360" s="3">
        <v>556591</v>
      </c>
    </row>
    <row r="361" spans="1:4" x14ac:dyDescent="0.2">
      <c r="A361">
        <v>2023</v>
      </c>
      <c r="B361" s="1" t="s">
        <v>169</v>
      </c>
      <c r="C361" s="1" t="s">
        <v>136</v>
      </c>
      <c r="D361" s="3">
        <v>10579850</v>
      </c>
    </row>
    <row r="362" spans="1:4" x14ac:dyDescent="0.2">
      <c r="A362">
        <v>2023</v>
      </c>
      <c r="B362" s="1" t="s">
        <v>170</v>
      </c>
      <c r="C362" s="1" t="s">
        <v>137</v>
      </c>
      <c r="D362" s="3">
        <v>391513</v>
      </c>
    </row>
    <row r="363" spans="1:4" x14ac:dyDescent="0.2">
      <c r="A363">
        <v>2023</v>
      </c>
      <c r="B363" s="1" t="s">
        <v>171</v>
      </c>
      <c r="C363" s="1" t="s">
        <v>138</v>
      </c>
      <c r="D363" s="3">
        <v>105093</v>
      </c>
    </row>
    <row r="364" spans="1:4" x14ac:dyDescent="0.2">
      <c r="A364">
        <v>2023</v>
      </c>
      <c r="B364" s="1" t="s">
        <v>172</v>
      </c>
      <c r="C364" s="1" t="s">
        <v>139</v>
      </c>
      <c r="D364" s="3">
        <v>128066</v>
      </c>
    </row>
    <row r="365" spans="1:4" x14ac:dyDescent="0.2">
      <c r="A365">
        <v>2023</v>
      </c>
      <c r="B365" s="1" t="s">
        <v>173</v>
      </c>
      <c r="C365" s="1" t="s">
        <v>140</v>
      </c>
      <c r="D365" s="3">
        <v>1386199</v>
      </c>
    </row>
    <row r="366" spans="1:4" x14ac:dyDescent="0.2">
      <c r="A366">
        <v>2023</v>
      </c>
      <c r="B366" s="1" t="s">
        <v>174</v>
      </c>
      <c r="C366" s="1" t="s">
        <v>141</v>
      </c>
      <c r="D366" s="3">
        <v>283176</v>
      </c>
    </row>
    <row r="367" spans="1:4" x14ac:dyDescent="0.2">
      <c r="A367">
        <v>2023</v>
      </c>
      <c r="B367" s="1" t="s">
        <v>175</v>
      </c>
      <c r="C367" s="1" t="s">
        <v>142</v>
      </c>
      <c r="D367" s="3">
        <v>1230912</v>
      </c>
    </row>
    <row r="368" spans="1:4" x14ac:dyDescent="0.2">
      <c r="A368">
        <v>2023</v>
      </c>
      <c r="B368" s="1" t="s">
        <v>176</v>
      </c>
      <c r="C368" s="1" t="s">
        <v>143</v>
      </c>
      <c r="D368" s="3">
        <v>300960</v>
      </c>
    </row>
    <row r="369" spans="1:4" x14ac:dyDescent="0.2">
      <c r="A369">
        <v>2023</v>
      </c>
      <c r="B369" s="1" t="s">
        <v>177</v>
      </c>
      <c r="C369" s="1" t="s">
        <v>144</v>
      </c>
      <c r="D369" s="3">
        <v>361668</v>
      </c>
    </row>
    <row r="370" spans="1:4" x14ac:dyDescent="0.2">
      <c r="A370">
        <v>2023</v>
      </c>
      <c r="B370" s="1" t="s">
        <v>178</v>
      </c>
      <c r="C370" s="1" t="s">
        <v>145</v>
      </c>
      <c r="D370" s="3">
        <v>617506</v>
      </c>
    </row>
    <row r="371" spans="1:4" x14ac:dyDescent="0.2">
      <c r="A371">
        <v>2023</v>
      </c>
      <c r="B371" s="1" t="s">
        <v>179</v>
      </c>
      <c r="C371" s="1" t="s">
        <v>146</v>
      </c>
      <c r="D371" s="3">
        <v>392929</v>
      </c>
    </row>
    <row r="372" spans="1:4" x14ac:dyDescent="0.2">
      <c r="A372">
        <v>2023</v>
      </c>
      <c r="B372" s="1" t="s">
        <v>180</v>
      </c>
      <c r="C372" s="1" t="s">
        <v>147</v>
      </c>
      <c r="D372" s="3">
        <v>220153</v>
      </c>
    </row>
    <row r="373" spans="1:4" x14ac:dyDescent="0.2">
      <c r="A373">
        <v>2023</v>
      </c>
      <c r="B373" s="1" t="s">
        <v>181</v>
      </c>
      <c r="C373" s="1" t="s">
        <v>148</v>
      </c>
      <c r="D373" s="3">
        <v>2268671</v>
      </c>
    </row>
    <row r="374" spans="1:4" x14ac:dyDescent="0.2">
      <c r="A374">
        <v>2023</v>
      </c>
      <c r="B374" s="1" t="s">
        <v>182</v>
      </c>
      <c r="C374" s="1" t="s">
        <v>149</v>
      </c>
      <c r="D374" s="3">
        <v>3125190</v>
      </c>
    </row>
    <row r="375" spans="1:4" x14ac:dyDescent="0.2">
      <c r="A375">
        <v>2023</v>
      </c>
      <c r="B375" s="1" t="s">
        <v>183</v>
      </c>
      <c r="C375" s="1" t="s">
        <v>150</v>
      </c>
      <c r="D375" s="3">
        <v>118320</v>
      </c>
    </row>
    <row r="376" spans="1:4" x14ac:dyDescent="0.2">
      <c r="A376">
        <v>2023</v>
      </c>
      <c r="B376" s="1" t="s">
        <v>184</v>
      </c>
      <c r="C376" s="1" t="s">
        <v>151</v>
      </c>
      <c r="D376" s="3">
        <v>130986</v>
      </c>
    </row>
    <row r="377" spans="1:4" x14ac:dyDescent="0.2">
      <c r="A377">
        <v>2023</v>
      </c>
      <c r="B377" s="1" t="s">
        <v>185</v>
      </c>
      <c r="C377" s="1" t="s">
        <v>152</v>
      </c>
      <c r="D377" s="3">
        <v>432536</v>
      </c>
    </row>
    <row r="378" spans="1:4" x14ac:dyDescent="0.2">
      <c r="A378">
        <v>2023</v>
      </c>
      <c r="B378" s="1" t="s">
        <v>186</v>
      </c>
      <c r="C378" s="1" t="s">
        <v>153</v>
      </c>
      <c r="D378" s="3">
        <v>544367</v>
      </c>
    </row>
    <row r="379" spans="1:4" x14ac:dyDescent="0.2">
      <c r="A379">
        <v>2023</v>
      </c>
      <c r="B379" s="1" t="s">
        <v>187</v>
      </c>
      <c r="C379" s="1" t="s">
        <v>154</v>
      </c>
      <c r="D379" s="3">
        <v>597776</v>
      </c>
    </row>
    <row r="380" spans="1:4" x14ac:dyDescent="0.2">
      <c r="A380">
        <v>2023</v>
      </c>
      <c r="B380" s="1" t="s">
        <v>188</v>
      </c>
      <c r="C380" s="1" t="s">
        <v>155</v>
      </c>
      <c r="D380" s="3">
        <v>161716</v>
      </c>
    </row>
    <row r="381" spans="1:4" x14ac:dyDescent="0.2">
      <c r="A381">
        <v>2023</v>
      </c>
      <c r="B381" s="1" t="s">
        <v>189</v>
      </c>
      <c r="C381" s="1" t="s">
        <v>156</v>
      </c>
      <c r="D381" s="3">
        <v>523296</v>
      </c>
    </row>
    <row r="382" spans="1:4" x14ac:dyDescent="0.2">
      <c r="A382">
        <v>2023</v>
      </c>
      <c r="B382" s="1" t="s">
        <v>190</v>
      </c>
      <c r="C382" s="1" t="s">
        <v>157</v>
      </c>
      <c r="D382" s="3">
        <v>374305</v>
      </c>
    </row>
    <row r="383" spans="1:4" x14ac:dyDescent="0.2">
      <c r="A383">
        <v>2023</v>
      </c>
      <c r="B383" s="1" t="s">
        <v>191</v>
      </c>
      <c r="C383" s="1" t="s">
        <v>158</v>
      </c>
      <c r="D383" s="3">
        <v>1210489</v>
      </c>
    </row>
    <row r="384" spans="1:4" x14ac:dyDescent="0.2">
      <c r="A384">
        <v>2023</v>
      </c>
      <c r="B384" s="1" t="s">
        <v>192</v>
      </c>
      <c r="C384" s="1" t="s">
        <v>159</v>
      </c>
      <c r="D384" s="3">
        <v>2579156</v>
      </c>
    </row>
    <row r="385" spans="1:4" x14ac:dyDescent="0.2">
      <c r="A385">
        <v>2023</v>
      </c>
      <c r="B385" s="1" t="s">
        <v>193</v>
      </c>
      <c r="C385" s="1" t="s">
        <v>160</v>
      </c>
      <c r="D385" s="3">
        <v>225462</v>
      </c>
    </row>
    <row r="386" spans="1:4" x14ac:dyDescent="0.2">
      <c r="A386">
        <v>2023</v>
      </c>
      <c r="B386" s="1" t="s">
        <v>194</v>
      </c>
      <c r="C386" s="1" t="s">
        <v>161</v>
      </c>
      <c r="D386" s="3">
        <v>83313</v>
      </c>
    </row>
    <row r="387" spans="1:4" x14ac:dyDescent="0.2">
      <c r="A387">
        <v>2023</v>
      </c>
      <c r="B387" s="1" t="s">
        <v>195</v>
      </c>
      <c r="C387" s="1" t="s">
        <v>162</v>
      </c>
      <c r="D387" s="3">
        <v>651126</v>
      </c>
    </row>
    <row r="388" spans="1:4" x14ac:dyDescent="0.2">
      <c r="A388">
        <v>2023</v>
      </c>
      <c r="B388" s="1" t="s">
        <v>229</v>
      </c>
      <c r="C388" s="1" t="s">
        <v>196</v>
      </c>
      <c r="D388" s="3">
        <v>625572</v>
      </c>
    </row>
    <row r="389" spans="1:4" x14ac:dyDescent="0.2">
      <c r="A389">
        <v>2023</v>
      </c>
      <c r="B389" s="1" t="s">
        <v>230</v>
      </c>
      <c r="C389" s="1" t="s">
        <v>197</v>
      </c>
      <c r="D389" s="3">
        <v>431695</v>
      </c>
    </row>
    <row r="390" spans="1:4" x14ac:dyDescent="0.2">
      <c r="A390">
        <v>2023</v>
      </c>
      <c r="B390" s="1" t="s">
        <v>231</v>
      </c>
      <c r="C390" s="1" t="s">
        <v>198</v>
      </c>
      <c r="D390" s="3">
        <v>1937231</v>
      </c>
    </row>
    <row r="391" spans="1:4" x14ac:dyDescent="0.2">
      <c r="A391">
        <v>2023</v>
      </c>
      <c r="B391" s="1" t="s">
        <v>232</v>
      </c>
      <c r="C391" s="1" t="s">
        <v>199</v>
      </c>
      <c r="D391" s="3">
        <v>786359</v>
      </c>
    </row>
    <row r="392" spans="1:4" x14ac:dyDescent="0.2">
      <c r="A392">
        <v>2023</v>
      </c>
      <c r="B392" s="1" t="s">
        <v>233</v>
      </c>
      <c r="C392" s="1" t="s">
        <v>200</v>
      </c>
      <c r="D392" s="3">
        <v>470005</v>
      </c>
    </row>
    <row r="393" spans="1:4" x14ac:dyDescent="0.2">
      <c r="A393">
        <v>2023</v>
      </c>
      <c r="B393" s="1" t="s">
        <v>234</v>
      </c>
      <c r="C393" s="1" t="s">
        <v>201</v>
      </c>
      <c r="D393" s="3">
        <v>919203</v>
      </c>
    </row>
    <row r="394" spans="1:4" x14ac:dyDescent="0.2">
      <c r="A394">
        <v>2023</v>
      </c>
      <c r="B394" s="1" t="s">
        <v>235</v>
      </c>
      <c r="C394" s="1" t="s">
        <v>202</v>
      </c>
      <c r="D394" s="3">
        <v>2770084</v>
      </c>
    </row>
    <row r="395" spans="1:4" x14ac:dyDescent="0.2">
      <c r="A395">
        <v>2023</v>
      </c>
      <c r="B395" s="1" t="s">
        <v>236</v>
      </c>
      <c r="C395" s="1" t="s">
        <v>203</v>
      </c>
      <c r="D395" s="3">
        <v>3328621</v>
      </c>
    </row>
    <row r="396" spans="1:4" x14ac:dyDescent="0.2">
      <c r="A396">
        <v>2023</v>
      </c>
      <c r="B396" s="1" t="s">
        <v>237</v>
      </c>
      <c r="C396" s="1" t="s">
        <v>204</v>
      </c>
      <c r="D396" s="3">
        <v>435205</v>
      </c>
    </row>
    <row r="397" spans="1:4" x14ac:dyDescent="0.2">
      <c r="A397">
        <v>2023</v>
      </c>
      <c r="B397" s="1" t="s">
        <v>238</v>
      </c>
      <c r="C397" s="1" t="s">
        <v>205</v>
      </c>
      <c r="D397" s="3">
        <v>1285575</v>
      </c>
    </row>
    <row r="398" spans="1:4" x14ac:dyDescent="0.2">
      <c r="A398">
        <v>2023</v>
      </c>
      <c r="B398" s="1" t="s">
        <v>239</v>
      </c>
      <c r="C398" s="1" t="s">
        <v>206</v>
      </c>
      <c r="D398" s="3">
        <v>155022</v>
      </c>
    </row>
    <row r="399" spans="1:4" x14ac:dyDescent="0.2">
      <c r="A399">
        <v>2023</v>
      </c>
      <c r="B399" s="1" t="s">
        <v>240</v>
      </c>
      <c r="C399" s="1" t="s">
        <v>207</v>
      </c>
      <c r="D399" s="3">
        <v>3075526</v>
      </c>
    </row>
    <row r="400" spans="1:4" x14ac:dyDescent="0.2">
      <c r="A400">
        <v>2023</v>
      </c>
      <c r="B400" s="1" t="s">
        <v>241</v>
      </c>
      <c r="C400" s="1" t="s">
        <v>208</v>
      </c>
      <c r="D400" s="3">
        <v>1641565</v>
      </c>
    </row>
    <row r="401" spans="1:4" x14ac:dyDescent="0.2">
      <c r="A401">
        <v>2023</v>
      </c>
      <c r="B401" s="1" t="s">
        <v>242</v>
      </c>
      <c r="C401" s="1" t="s">
        <v>209</v>
      </c>
      <c r="D401" s="3">
        <v>314836</v>
      </c>
    </row>
    <row r="402" spans="1:4" x14ac:dyDescent="0.2">
      <c r="A402">
        <v>2023</v>
      </c>
      <c r="B402" s="1" t="s">
        <v>243</v>
      </c>
      <c r="C402" s="1" t="s">
        <v>210</v>
      </c>
      <c r="D402" s="3">
        <v>1368372</v>
      </c>
    </row>
    <row r="403" spans="1:4" x14ac:dyDescent="0.2">
      <c r="A403">
        <v>2023</v>
      </c>
      <c r="B403" s="1" t="s">
        <v>244</v>
      </c>
      <c r="C403" s="1" t="s">
        <v>211</v>
      </c>
      <c r="D403" s="3">
        <v>534119</v>
      </c>
    </row>
    <row r="404" spans="1:4" x14ac:dyDescent="0.2">
      <c r="A404">
        <v>2023</v>
      </c>
      <c r="B404" s="1" t="s">
        <v>245</v>
      </c>
      <c r="C404" s="1" t="s">
        <v>212</v>
      </c>
      <c r="D404" s="3">
        <v>186400</v>
      </c>
    </row>
    <row r="405" spans="1:4" x14ac:dyDescent="0.2">
      <c r="A405">
        <v>2023</v>
      </c>
      <c r="B405" s="1" t="s">
        <v>246</v>
      </c>
      <c r="C405" s="1" t="s">
        <v>213</v>
      </c>
      <c r="D405" s="3">
        <v>473617</v>
      </c>
    </row>
    <row r="406" spans="1:4" x14ac:dyDescent="0.2">
      <c r="A406">
        <v>2023</v>
      </c>
      <c r="B406" s="1" t="s">
        <v>247</v>
      </c>
      <c r="C406" s="1" t="s">
        <v>214</v>
      </c>
      <c r="D406" s="3">
        <v>335037</v>
      </c>
    </row>
    <row r="407" spans="1:4" x14ac:dyDescent="0.2">
      <c r="A407">
        <v>2023</v>
      </c>
      <c r="B407" s="1" t="s">
        <v>249</v>
      </c>
      <c r="C407" s="1" t="s">
        <v>216</v>
      </c>
      <c r="D407" s="3">
        <v>1534</v>
      </c>
    </row>
    <row r="408" spans="1:4" x14ac:dyDescent="0.2">
      <c r="A408">
        <v>2023</v>
      </c>
      <c r="B408" s="1" t="s">
        <v>250</v>
      </c>
      <c r="C408" s="1" t="s">
        <v>217</v>
      </c>
      <c r="D408" s="3">
        <v>119145</v>
      </c>
    </row>
    <row r="409" spans="1:4" x14ac:dyDescent="0.2">
      <c r="A409">
        <v>2023</v>
      </c>
      <c r="B409" s="1" t="s">
        <v>251</v>
      </c>
      <c r="C409" s="1" t="s">
        <v>218</v>
      </c>
      <c r="D409" s="3">
        <v>4474392</v>
      </c>
    </row>
    <row r="410" spans="1:4" x14ac:dyDescent="0.2">
      <c r="A410">
        <v>2023</v>
      </c>
      <c r="B410" s="1" t="s">
        <v>252</v>
      </c>
      <c r="C410" s="1" t="s">
        <v>219</v>
      </c>
      <c r="D410" s="3">
        <v>6877868</v>
      </c>
    </row>
    <row r="411" spans="1:4" x14ac:dyDescent="0.2">
      <c r="A411">
        <v>2023</v>
      </c>
      <c r="B411" s="1" t="s">
        <v>253</v>
      </c>
      <c r="C411" s="1" t="s">
        <v>220</v>
      </c>
      <c r="D411" s="3">
        <v>388977</v>
      </c>
    </row>
    <row r="412" spans="1:4" x14ac:dyDescent="0.2">
      <c r="A412">
        <v>2023</v>
      </c>
      <c r="B412" s="1" t="s">
        <v>254</v>
      </c>
      <c r="C412" s="1" t="s">
        <v>221</v>
      </c>
      <c r="D412" s="3">
        <v>93738</v>
      </c>
    </row>
    <row r="413" spans="1:4" x14ac:dyDescent="0.2">
      <c r="A413">
        <v>2023</v>
      </c>
      <c r="B413" s="1" t="s">
        <v>255</v>
      </c>
      <c r="C413" s="1" t="s">
        <v>222</v>
      </c>
      <c r="D413" s="3">
        <v>56078</v>
      </c>
    </row>
    <row r="414" spans="1:4" x14ac:dyDescent="0.2">
      <c r="A414">
        <v>2023</v>
      </c>
      <c r="B414" s="1" t="s">
        <v>256</v>
      </c>
      <c r="C414" s="1" t="s">
        <v>223</v>
      </c>
      <c r="D414" s="3">
        <v>349311</v>
      </c>
    </row>
    <row r="415" spans="1:4" x14ac:dyDescent="0.2">
      <c r="A415">
        <v>2023</v>
      </c>
      <c r="B415" s="1" t="s">
        <v>257</v>
      </c>
      <c r="C415" s="1" t="s">
        <v>224</v>
      </c>
      <c r="D415" s="3">
        <v>70691</v>
      </c>
    </row>
    <row r="416" spans="1:4" x14ac:dyDescent="0.2">
      <c r="A416">
        <v>2023</v>
      </c>
      <c r="B416" s="1" t="s">
        <v>258</v>
      </c>
      <c r="C416" s="1" t="s">
        <v>225</v>
      </c>
      <c r="D416" s="3">
        <v>135528</v>
      </c>
    </row>
    <row r="417" spans="1:4" x14ac:dyDescent="0.2">
      <c r="A417">
        <v>2023</v>
      </c>
      <c r="B417" s="1" t="s">
        <v>259</v>
      </c>
      <c r="C417" s="1" t="s">
        <v>226</v>
      </c>
      <c r="D417" s="3">
        <v>73448</v>
      </c>
    </row>
    <row r="418" spans="1:4" x14ac:dyDescent="0.2">
      <c r="A418">
        <v>2023</v>
      </c>
      <c r="B418" s="1" t="s">
        <v>260</v>
      </c>
      <c r="C418" s="1" t="s">
        <v>227</v>
      </c>
      <c r="D418" s="3">
        <v>1007839</v>
      </c>
    </row>
    <row r="419" spans="1:4" x14ac:dyDescent="0.2">
      <c r="A419">
        <v>2023</v>
      </c>
      <c r="B419" s="1" t="s">
        <v>261</v>
      </c>
      <c r="C419" s="1" t="s">
        <v>228</v>
      </c>
      <c r="D419" s="3">
        <v>416522</v>
      </c>
    </row>
    <row r="420" spans="1:4" x14ac:dyDescent="0.2">
      <c r="A420">
        <v>2023</v>
      </c>
      <c r="B420" s="1" t="s">
        <v>276</v>
      </c>
      <c r="C420" s="1" t="s">
        <v>294</v>
      </c>
      <c r="D420" s="3">
        <v>1255331</v>
      </c>
    </row>
    <row r="421" spans="1:4" x14ac:dyDescent="0.2">
      <c r="A421">
        <v>2023</v>
      </c>
      <c r="B421" s="1" t="s">
        <v>277</v>
      </c>
      <c r="C421" s="1" t="s">
        <v>263</v>
      </c>
      <c r="D421" s="3">
        <v>187949</v>
      </c>
    </row>
    <row r="422" spans="1:4" x14ac:dyDescent="0.2">
      <c r="A422">
        <v>2023</v>
      </c>
      <c r="B422" s="1" t="s">
        <v>278</v>
      </c>
      <c r="C422" s="1" t="s">
        <v>264</v>
      </c>
      <c r="D422" s="3">
        <v>34490</v>
      </c>
    </row>
    <row r="423" spans="1:4" x14ac:dyDescent="0.2">
      <c r="A423">
        <v>2023</v>
      </c>
      <c r="B423" s="1" t="s">
        <v>279</v>
      </c>
      <c r="C423" s="1" t="s">
        <v>295</v>
      </c>
      <c r="D423" s="3">
        <v>25466</v>
      </c>
    </row>
    <row r="424" spans="1:4" x14ac:dyDescent="0.2">
      <c r="A424">
        <v>2023</v>
      </c>
      <c r="B424" s="1" t="s">
        <v>282</v>
      </c>
      <c r="C424" s="1" t="s">
        <v>268</v>
      </c>
      <c r="D424" s="3">
        <v>152176</v>
      </c>
    </row>
    <row r="425" spans="1:4" x14ac:dyDescent="0.2">
      <c r="A425">
        <v>2023</v>
      </c>
      <c r="B425" s="1" t="s">
        <v>283</v>
      </c>
      <c r="C425" s="1" t="s">
        <v>269</v>
      </c>
      <c r="D425" s="3">
        <v>15350</v>
      </c>
    </row>
    <row r="426" spans="1:4" x14ac:dyDescent="0.2">
      <c r="A426">
        <v>2023</v>
      </c>
      <c r="B426" s="1" t="s">
        <v>284</v>
      </c>
      <c r="C426" s="1" t="s">
        <v>270</v>
      </c>
      <c r="D426" s="3">
        <v>14849</v>
      </c>
    </row>
    <row r="427" spans="1:4" x14ac:dyDescent="0.2">
      <c r="A427">
        <v>2023</v>
      </c>
      <c r="B427" s="1" t="s">
        <v>285</v>
      </c>
      <c r="C427" s="1" t="s">
        <v>296</v>
      </c>
      <c r="D427" s="3">
        <v>5603</v>
      </c>
    </row>
    <row r="428" spans="1:4" x14ac:dyDescent="0.2">
      <c r="A428">
        <v>2023</v>
      </c>
      <c r="B428" s="1" t="s">
        <v>286</v>
      </c>
      <c r="C428" s="1" t="s">
        <v>272</v>
      </c>
      <c r="D428" s="3">
        <v>11133</v>
      </c>
    </row>
    <row r="429" spans="1:4" x14ac:dyDescent="0.2">
      <c r="A429">
        <v>2023</v>
      </c>
      <c r="B429" s="1" t="s">
        <v>287</v>
      </c>
      <c r="C429" s="1" t="s">
        <v>273</v>
      </c>
      <c r="D429" s="3">
        <v>76412</v>
      </c>
    </row>
    <row r="430" spans="1:4" x14ac:dyDescent="0.2">
      <c r="A430">
        <v>2023</v>
      </c>
      <c r="B430" s="1" t="s">
        <v>288</v>
      </c>
      <c r="C430" s="1" t="s">
        <v>274</v>
      </c>
      <c r="D430" s="3">
        <v>36820</v>
      </c>
    </row>
    <row r="431" spans="1:4" x14ac:dyDescent="0.2">
      <c r="A431">
        <v>2023</v>
      </c>
      <c r="B431" s="1" t="s">
        <v>289</v>
      </c>
      <c r="C431" s="1" t="s">
        <v>275</v>
      </c>
      <c r="D431" s="3">
        <v>9732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1A246-01B6-C54D-8EC5-7435322E32E0}">
  <dimension ref="A1:D1300"/>
  <sheetViews>
    <sheetView topLeftCell="A777" workbookViewId="0">
      <selection activeCell="I34" sqref="I34"/>
    </sheetView>
  </sheetViews>
  <sheetFormatPr baseColWidth="10" defaultColWidth="11" defaultRowHeight="16" x14ac:dyDescent="0.2"/>
  <cols>
    <col min="1" max="1" width="5.1640625" bestFit="1" customWidth="1"/>
    <col min="2" max="2" width="13.33203125" bestFit="1" customWidth="1"/>
    <col min="3" max="3" width="46.6640625" bestFit="1" customWidth="1"/>
    <col min="4" max="4" width="20.33203125" bestFit="1" customWidth="1"/>
  </cols>
  <sheetData>
    <row r="1" spans="1:4" x14ac:dyDescent="0.2">
      <c r="A1" t="s">
        <v>290</v>
      </c>
      <c r="B1" t="s">
        <v>291</v>
      </c>
      <c r="C1" t="s">
        <v>292</v>
      </c>
      <c r="D1" t="s">
        <v>293</v>
      </c>
    </row>
    <row r="2" spans="1:4" x14ac:dyDescent="0.2">
      <c r="A2">
        <v>2015</v>
      </c>
      <c r="B2" t="s">
        <v>32</v>
      </c>
      <c r="C2" t="s">
        <v>0</v>
      </c>
      <c r="D2">
        <v>3732612</v>
      </c>
    </row>
    <row r="3" spans="1:4" x14ac:dyDescent="0.2">
      <c r="A3">
        <v>2015</v>
      </c>
      <c r="B3" t="s">
        <v>33</v>
      </c>
      <c r="C3" t="s">
        <v>1</v>
      </c>
      <c r="D3">
        <v>11946492</v>
      </c>
    </row>
    <row r="4" spans="1:4" x14ac:dyDescent="0.2">
      <c r="A4">
        <v>2015</v>
      </c>
      <c r="B4" t="s">
        <v>34</v>
      </c>
      <c r="C4" t="s">
        <v>2</v>
      </c>
      <c r="D4">
        <v>1731500</v>
      </c>
    </row>
    <row r="5" spans="1:4" x14ac:dyDescent="0.2">
      <c r="A5">
        <v>2015</v>
      </c>
      <c r="B5" t="s">
        <v>35</v>
      </c>
      <c r="C5" t="s">
        <v>3</v>
      </c>
      <c r="D5">
        <v>1190051</v>
      </c>
    </row>
    <row r="6" spans="1:4" x14ac:dyDescent="0.2">
      <c r="A6">
        <v>2015</v>
      </c>
      <c r="B6" t="s">
        <v>36</v>
      </c>
      <c r="C6" t="s">
        <v>4</v>
      </c>
      <c r="D6">
        <v>3351804</v>
      </c>
    </row>
    <row r="7" spans="1:4" x14ac:dyDescent="0.2">
      <c r="A7">
        <v>2015</v>
      </c>
      <c r="B7" t="s">
        <v>37</v>
      </c>
      <c r="C7" t="s">
        <v>5</v>
      </c>
      <c r="D7">
        <v>1497409</v>
      </c>
    </row>
    <row r="8" spans="1:4" x14ac:dyDescent="0.2">
      <c r="A8">
        <v>2015</v>
      </c>
      <c r="B8" t="s">
        <v>38</v>
      </c>
      <c r="C8" t="s">
        <v>6</v>
      </c>
      <c r="D8">
        <v>37835814</v>
      </c>
    </row>
    <row r="9" spans="1:4" x14ac:dyDescent="0.2">
      <c r="A9">
        <v>2015</v>
      </c>
      <c r="B9" t="s">
        <v>39</v>
      </c>
      <c r="C9" t="s">
        <v>7</v>
      </c>
      <c r="D9">
        <v>8064922</v>
      </c>
    </row>
    <row r="10" spans="1:4" x14ac:dyDescent="0.2">
      <c r="A10">
        <v>2015</v>
      </c>
      <c r="B10" t="s">
        <v>40</v>
      </c>
      <c r="C10" t="s">
        <v>8</v>
      </c>
      <c r="D10">
        <v>660048</v>
      </c>
    </row>
    <row r="11" spans="1:4" x14ac:dyDescent="0.2">
      <c r="A11">
        <v>2015</v>
      </c>
      <c r="B11" t="s">
        <v>41</v>
      </c>
      <c r="C11" t="s">
        <v>9</v>
      </c>
      <c r="D11">
        <v>6724158</v>
      </c>
    </row>
    <row r="12" spans="1:4" x14ac:dyDescent="0.2">
      <c r="A12">
        <v>2015</v>
      </c>
      <c r="B12" t="s">
        <v>42</v>
      </c>
      <c r="C12" t="s">
        <v>10</v>
      </c>
      <c r="D12">
        <v>566316</v>
      </c>
    </row>
    <row r="13" spans="1:4" x14ac:dyDescent="0.2">
      <c r="A13">
        <v>2015</v>
      </c>
      <c r="B13" t="s">
        <v>43</v>
      </c>
      <c r="C13" t="s">
        <v>11</v>
      </c>
      <c r="D13">
        <v>3788145</v>
      </c>
    </row>
    <row r="14" spans="1:4" x14ac:dyDescent="0.2">
      <c r="A14">
        <v>2015</v>
      </c>
      <c r="B14" t="s">
        <v>44</v>
      </c>
      <c r="C14" t="s">
        <v>12</v>
      </c>
      <c r="D14">
        <v>1354182</v>
      </c>
    </row>
    <row r="15" spans="1:4" x14ac:dyDescent="0.2">
      <c r="A15">
        <v>2015</v>
      </c>
      <c r="B15" t="s">
        <v>45</v>
      </c>
      <c r="C15" t="s">
        <v>13</v>
      </c>
      <c r="D15">
        <v>2175906</v>
      </c>
    </row>
    <row r="16" spans="1:4" x14ac:dyDescent="0.2">
      <c r="A16">
        <v>2015</v>
      </c>
      <c r="B16" t="s">
        <v>46</v>
      </c>
      <c r="C16" t="s">
        <v>14</v>
      </c>
      <c r="D16">
        <v>1485438</v>
      </c>
    </row>
    <row r="17" spans="1:4" x14ac:dyDescent="0.2">
      <c r="A17">
        <v>2015</v>
      </c>
      <c r="B17" t="s">
        <v>47</v>
      </c>
      <c r="C17" t="s">
        <v>15</v>
      </c>
      <c r="D17">
        <v>5509393</v>
      </c>
    </row>
    <row r="18" spans="1:4" x14ac:dyDescent="0.2">
      <c r="A18">
        <v>2015</v>
      </c>
      <c r="B18" t="s">
        <v>48</v>
      </c>
      <c r="C18" t="s">
        <v>16</v>
      </c>
      <c r="D18">
        <v>2763274</v>
      </c>
    </row>
    <row r="19" spans="1:4" x14ac:dyDescent="0.2">
      <c r="A19">
        <v>2015</v>
      </c>
      <c r="B19" t="s">
        <v>49</v>
      </c>
      <c r="C19" t="s">
        <v>17</v>
      </c>
      <c r="D19">
        <v>2933199</v>
      </c>
    </row>
    <row r="20" spans="1:4" x14ac:dyDescent="0.2">
      <c r="A20">
        <v>2015</v>
      </c>
      <c r="B20" t="s">
        <v>50</v>
      </c>
      <c r="C20" t="s">
        <v>18</v>
      </c>
      <c r="D20">
        <v>613498</v>
      </c>
    </row>
    <row r="21" spans="1:4" x14ac:dyDescent="0.2">
      <c r="A21">
        <v>2015</v>
      </c>
      <c r="B21" t="s">
        <v>51</v>
      </c>
      <c r="C21" t="s">
        <v>19</v>
      </c>
      <c r="D21">
        <v>1577394</v>
      </c>
    </row>
    <row r="22" spans="1:4" x14ac:dyDescent="0.2">
      <c r="A22">
        <v>2015</v>
      </c>
      <c r="B22" t="s">
        <v>52</v>
      </c>
      <c r="C22" t="s">
        <v>20</v>
      </c>
      <c r="D22">
        <v>39682203</v>
      </c>
    </row>
    <row r="23" spans="1:4" x14ac:dyDescent="0.2">
      <c r="A23">
        <v>2015</v>
      </c>
      <c r="B23" t="s">
        <v>53</v>
      </c>
      <c r="C23" t="s">
        <v>21</v>
      </c>
      <c r="D23">
        <v>1654688</v>
      </c>
    </row>
    <row r="24" spans="1:4" x14ac:dyDescent="0.2">
      <c r="A24">
        <v>2015</v>
      </c>
      <c r="B24" t="s">
        <v>54</v>
      </c>
      <c r="C24" t="s">
        <v>22</v>
      </c>
      <c r="D24">
        <v>521403</v>
      </c>
    </row>
    <row r="25" spans="1:4" x14ac:dyDescent="0.2">
      <c r="A25">
        <v>2015</v>
      </c>
      <c r="B25" t="s">
        <v>55</v>
      </c>
      <c r="C25" t="s">
        <v>23</v>
      </c>
      <c r="D25">
        <v>6061501</v>
      </c>
    </row>
    <row r="26" spans="1:4" x14ac:dyDescent="0.2">
      <c r="A26">
        <v>2015</v>
      </c>
      <c r="B26" t="s">
        <v>56</v>
      </c>
      <c r="C26" t="s">
        <v>24</v>
      </c>
      <c r="D26">
        <v>1122749</v>
      </c>
    </row>
    <row r="27" spans="1:4" x14ac:dyDescent="0.2">
      <c r="A27">
        <v>2015</v>
      </c>
      <c r="B27" t="s">
        <v>57</v>
      </c>
      <c r="C27" t="s">
        <v>25</v>
      </c>
      <c r="D27">
        <v>1489181</v>
      </c>
    </row>
    <row r="28" spans="1:4" x14ac:dyDescent="0.2">
      <c r="A28">
        <v>2015</v>
      </c>
      <c r="B28" t="s">
        <v>58</v>
      </c>
      <c r="C28" t="s">
        <v>26</v>
      </c>
      <c r="D28">
        <v>3075394</v>
      </c>
    </row>
    <row r="29" spans="1:4" x14ac:dyDescent="0.2">
      <c r="A29">
        <v>2015</v>
      </c>
      <c r="B29" t="s">
        <v>59</v>
      </c>
      <c r="C29" t="s">
        <v>27</v>
      </c>
      <c r="D29">
        <v>1152664</v>
      </c>
    </row>
    <row r="30" spans="1:4" x14ac:dyDescent="0.2">
      <c r="A30">
        <v>2015</v>
      </c>
      <c r="B30" t="s">
        <v>60</v>
      </c>
      <c r="C30" t="s">
        <v>28</v>
      </c>
      <c r="D30">
        <v>192885015</v>
      </c>
    </row>
    <row r="31" spans="1:4" x14ac:dyDescent="0.2">
      <c r="A31">
        <v>2015</v>
      </c>
      <c r="B31" t="s">
        <v>61</v>
      </c>
      <c r="C31" t="s">
        <v>29</v>
      </c>
      <c r="D31">
        <v>10199271</v>
      </c>
    </row>
    <row r="32" spans="1:4" x14ac:dyDescent="0.2">
      <c r="A32">
        <v>2015</v>
      </c>
      <c r="B32" t="s">
        <v>62</v>
      </c>
      <c r="C32" t="s">
        <v>30</v>
      </c>
      <c r="D32">
        <v>1415570</v>
      </c>
    </row>
    <row r="33" spans="1:4" x14ac:dyDescent="0.2">
      <c r="A33">
        <v>2015</v>
      </c>
      <c r="B33" t="s">
        <v>63</v>
      </c>
      <c r="C33" t="s">
        <v>31</v>
      </c>
      <c r="D33">
        <v>3361208</v>
      </c>
    </row>
    <row r="34" spans="1:4" x14ac:dyDescent="0.2">
      <c r="A34">
        <v>2015</v>
      </c>
      <c r="B34" t="s">
        <v>97</v>
      </c>
      <c r="C34" t="s">
        <v>64</v>
      </c>
      <c r="D34">
        <v>5525362</v>
      </c>
    </row>
    <row r="35" spans="1:4" x14ac:dyDescent="0.2">
      <c r="A35">
        <v>2015</v>
      </c>
      <c r="B35" t="s">
        <v>98</v>
      </c>
      <c r="C35" t="s">
        <v>65</v>
      </c>
      <c r="D35">
        <v>11542407</v>
      </c>
    </row>
    <row r="36" spans="1:4" x14ac:dyDescent="0.2">
      <c r="A36">
        <v>2015</v>
      </c>
      <c r="B36" t="s">
        <v>99</v>
      </c>
      <c r="C36" t="s">
        <v>66</v>
      </c>
      <c r="D36">
        <v>1688277</v>
      </c>
    </row>
    <row r="37" spans="1:4" x14ac:dyDescent="0.2">
      <c r="A37">
        <v>2015</v>
      </c>
      <c r="B37" t="s">
        <v>100</v>
      </c>
      <c r="C37" t="s">
        <v>67</v>
      </c>
      <c r="D37">
        <v>4063900</v>
      </c>
    </row>
    <row r="38" spans="1:4" x14ac:dyDescent="0.2">
      <c r="A38">
        <v>2015</v>
      </c>
      <c r="B38" t="s">
        <v>101</v>
      </c>
      <c r="C38" t="s">
        <v>68</v>
      </c>
      <c r="D38">
        <v>2033789</v>
      </c>
    </row>
    <row r="39" spans="1:4" x14ac:dyDescent="0.2">
      <c r="A39">
        <v>2015</v>
      </c>
      <c r="B39" t="s">
        <v>102</v>
      </c>
      <c r="C39" t="s">
        <v>69</v>
      </c>
      <c r="D39">
        <v>1378781</v>
      </c>
    </row>
    <row r="40" spans="1:4" x14ac:dyDescent="0.2">
      <c r="A40">
        <v>2015</v>
      </c>
      <c r="B40" t="s">
        <v>103</v>
      </c>
      <c r="C40" t="s">
        <v>70</v>
      </c>
      <c r="D40">
        <v>2311993</v>
      </c>
    </row>
    <row r="41" spans="1:4" x14ac:dyDescent="0.2">
      <c r="A41">
        <v>2015</v>
      </c>
      <c r="B41" t="s">
        <v>104</v>
      </c>
      <c r="C41" t="s">
        <v>71</v>
      </c>
      <c r="D41">
        <v>1791304</v>
      </c>
    </row>
    <row r="42" spans="1:4" x14ac:dyDescent="0.2">
      <c r="A42">
        <v>2015</v>
      </c>
      <c r="B42" t="s">
        <v>105</v>
      </c>
      <c r="C42" t="s">
        <v>72</v>
      </c>
      <c r="D42">
        <v>3939674</v>
      </c>
    </row>
    <row r="43" spans="1:4" x14ac:dyDescent="0.2">
      <c r="A43">
        <v>2015</v>
      </c>
      <c r="B43" t="s">
        <v>106</v>
      </c>
      <c r="C43" t="s">
        <v>73</v>
      </c>
      <c r="D43">
        <v>13712156</v>
      </c>
    </row>
    <row r="44" spans="1:4" x14ac:dyDescent="0.2">
      <c r="A44">
        <v>2015</v>
      </c>
      <c r="B44" t="s">
        <v>107</v>
      </c>
      <c r="C44" t="s">
        <v>74</v>
      </c>
      <c r="D44">
        <v>35384284</v>
      </c>
    </row>
    <row r="45" spans="1:4" x14ac:dyDescent="0.2">
      <c r="A45">
        <v>2015</v>
      </c>
      <c r="B45" t="s">
        <v>108</v>
      </c>
      <c r="C45" t="s">
        <v>75</v>
      </c>
      <c r="D45">
        <v>5011944</v>
      </c>
    </row>
    <row r="46" spans="1:4" x14ac:dyDescent="0.2">
      <c r="A46">
        <v>2015</v>
      </c>
      <c r="B46" t="s">
        <v>109</v>
      </c>
      <c r="C46" t="s">
        <v>76</v>
      </c>
      <c r="D46">
        <v>259163</v>
      </c>
    </row>
    <row r="47" spans="1:4" x14ac:dyDescent="0.2">
      <c r="A47">
        <v>2015</v>
      </c>
      <c r="B47" t="s">
        <v>110</v>
      </c>
      <c r="C47" t="s">
        <v>77</v>
      </c>
      <c r="D47">
        <v>4071417</v>
      </c>
    </row>
    <row r="48" spans="1:4" x14ac:dyDescent="0.2">
      <c r="A48">
        <v>2015</v>
      </c>
      <c r="B48" t="s">
        <v>111</v>
      </c>
      <c r="C48" t="s">
        <v>78</v>
      </c>
      <c r="D48">
        <v>2792933</v>
      </c>
    </row>
    <row r="49" spans="1:4" x14ac:dyDescent="0.2">
      <c r="A49">
        <v>2015</v>
      </c>
      <c r="B49" t="s">
        <v>112</v>
      </c>
      <c r="C49" t="s">
        <v>79</v>
      </c>
      <c r="D49">
        <v>642501</v>
      </c>
    </row>
    <row r="50" spans="1:4" x14ac:dyDescent="0.2">
      <c r="A50">
        <v>2015</v>
      </c>
      <c r="B50" t="s">
        <v>113</v>
      </c>
      <c r="C50" t="s">
        <v>80</v>
      </c>
      <c r="D50">
        <v>1700649</v>
      </c>
    </row>
    <row r="51" spans="1:4" x14ac:dyDescent="0.2">
      <c r="A51">
        <v>2015</v>
      </c>
      <c r="B51" t="s">
        <v>114</v>
      </c>
      <c r="C51" t="s">
        <v>81</v>
      </c>
      <c r="D51">
        <v>1066056</v>
      </c>
    </row>
    <row r="52" spans="1:4" x14ac:dyDescent="0.2">
      <c r="A52">
        <v>2015</v>
      </c>
      <c r="B52" t="s">
        <v>115</v>
      </c>
      <c r="C52" t="s">
        <v>82</v>
      </c>
      <c r="D52">
        <v>2594337</v>
      </c>
    </row>
    <row r="53" spans="1:4" x14ac:dyDescent="0.2">
      <c r="A53">
        <v>2015</v>
      </c>
      <c r="B53" t="s">
        <v>116</v>
      </c>
      <c r="C53" t="s">
        <v>83</v>
      </c>
      <c r="D53">
        <v>68719088</v>
      </c>
    </row>
    <row r="54" spans="1:4" x14ac:dyDescent="0.2">
      <c r="A54">
        <v>2015</v>
      </c>
      <c r="B54" t="s">
        <v>117</v>
      </c>
      <c r="C54" t="s">
        <v>84</v>
      </c>
      <c r="D54">
        <v>3721891</v>
      </c>
    </row>
    <row r="55" spans="1:4" x14ac:dyDescent="0.2">
      <c r="A55">
        <v>2015</v>
      </c>
      <c r="B55" t="s">
        <v>118</v>
      </c>
      <c r="C55" t="s">
        <v>85</v>
      </c>
      <c r="D55">
        <v>1130684</v>
      </c>
    </row>
    <row r="56" spans="1:4" x14ac:dyDescent="0.2">
      <c r="A56">
        <v>2015</v>
      </c>
      <c r="B56" t="s">
        <v>119</v>
      </c>
      <c r="C56" t="s">
        <v>86</v>
      </c>
      <c r="D56">
        <v>1392631</v>
      </c>
    </row>
    <row r="57" spans="1:4" x14ac:dyDescent="0.2">
      <c r="A57">
        <v>2015</v>
      </c>
      <c r="B57" t="s">
        <v>120</v>
      </c>
      <c r="C57" t="s">
        <v>87</v>
      </c>
      <c r="D57">
        <v>921634</v>
      </c>
    </row>
    <row r="58" spans="1:4" x14ac:dyDescent="0.2">
      <c r="A58">
        <v>2015</v>
      </c>
      <c r="B58" t="s">
        <v>121</v>
      </c>
      <c r="C58" t="s">
        <v>88</v>
      </c>
      <c r="D58">
        <v>3080844</v>
      </c>
    </row>
    <row r="59" spans="1:4" x14ac:dyDescent="0.2">
      <c r="A59">
        <v>2015</v>
      </c>
      <c r="B59" t="s">
        <v>122</v>
      </c>
      <c r="C59" t="s">
        <v>89</v>
      </c>
      <c r="D59">
        <v>1024577</v>
      </c>
    </row>
    <row r="60" spans="1:4" x14ac:dyDescent="0.2">
      <c r="A60">
        <v>2015</v>
      </c>
      <c r="B60" t="s">
        <v>123</v>
      </c>
      <c r="C60" t="s">
        <v>90</v>
      </c>
      <c r="D60">
        <v>6696196</v>
      </c>
    </row>
    <row r="61" spans="1:4" x14ac:dyDescent="0.2">
      <c r="A61">
        <v>2015</v>
      </c>
      <c r="B61" t="s">
        <v>124</v>
      </c>
      <c r="C61" t="s">
        <v>91</v>
      </c>
      <c r="D61">
        <v>1607599</v>
      </c>
    </row>
    <row r="62" spans="1:4" x14ac:dyDescent="0.2">
      <c r="A62">
        <v>2015</v>
      </c>
      <c r="B62" t="s">
        <v>125</v>
      </c>
      <c r="C62" t="s">
        <v>92</v>
      </c>
      <c r="D62">
        <v>2110075</v>
      </c>
    </row>
    <row r="63" spans="1:4" x14ac:dyDescent="0.2">
      <c r="A63">
        <v>2015</v>
      </c>
      <c r="B63" t="s">
        <v>126</v>
      </c>
      <c r="C63" t="s">
        <v>93</v>
      </c>
      <c r="D63">
        <v>1307436</v>
      </c>
    </row>
    <row r="64" spans="1:4" x14ac:dyDescent="0.2">
      <c r="A64">
        <v>2015</v>
      </c>
      <c r="B64" t="s">
        <v>127</v>
      </c>
      <c r="C64" t="s">
        <v>94</v>
      </c>
      <c r="D64">
        <v>1091087</v>
      </c>
    </row>
    <row r="65" spans="1:4" x14ac:dyDescent="0.2">
      <c r="A65">
        <v>2015</v>
      </c>
      <c r="B65" t="s">
        <v>128</v>
      </c>
      <c r="C65" t="s">
        <v>95</v>
      </c>
      <c r="D65">
        <v>1579936</v>
      </c>
    </row>
    <row r="66" spans="1:4" x14ac:dyDescent="0.2">
      <c r="A66">
        <v>2015</v>
      </c>
      <c r="B66" t="s">
        <v>129</v>
      </c>
      <c r="C66" t="s">
        <v>96</v>
      </c>
      <c r="D66">
        <v>3724518</v>
      </c>
    </row>
    <row r="67" spans="1:4" x14ac:dyDescent="0.2">
      <c r="A67">
        <v>2015</v>
      </c>
      <c r="B67" t="s">
        <v>163</v>
      </c>
      <c r="C67" t="s">
        <v>130</v>
      </c>
      <c r="D67">
        <v>2569822</v>
      </c>
    </row>
    <row r="68" spans="1:4" x14ac:dyDescent="0.2">
      <c r="A68">
        <v>2015</v>
      </c>
      <c r="B68" t="s">
        <v>164</v>
      </c>
      <c r="C68" t="s">
        <v>131</v>
      </c>
      <c r="D68">
        <v>1842413</v>
      </c>
    </row>
    <row r="69" spans="1:4" x14ac:dyDescent="0.2">
      <c r="A69">
        <v>2015</v>
      </c>
      <c r="B69" t="s">
        <v>165</v>
      </c>
      <c r="C69" t="s">
        <v>132</v>
      </c>
      <c r="D69">
        <v>5757292</v>
      </c>
    </row>
    <row r="70" spans="1:4" x14ac:dyDescent="0.2">
      <c r="A70">
        <v>2015</v>
      </c>
      <c r="B70" t="s">
        <v>166</v>
      </c>
      <c r="C70" t="s">
        <v>133</v>
      </c>
      <c r="D70">
        <v>3320085</v>
      </c>
    </row>
    <row r="71" spans="1:4" x14ac:dyDescent="0.2">
      <c r="A71">
        <v>2015</v>
      </c>
      <c r="B71" t="s">
        <v>167</v>
      </c>
      <c r="C71" t="s">
        <v>134</v>
      </c>
      <c r="D71">
        <v>1739623</v>
      </c>
    </row>
    <row r="72" spans="1:4" x14ac:dyDescent="0.2">
      <c r="A72">
        <v>2015</v>
      </c>
      <c r="B72" t="s">
        <v>168</v>
      </c>
      <c r="C72" t="s">
        <v>135</v>
      </c>
      <c r="D72">
        <v>4469965</v>
      </c>
    </row>
    <row r="73" spans="1:4" x14ac:dyDescent="0.2">
      <c r="A73">
        <v>2015</v>
      </c>
      <c r="B73" t="s">
        <v>169</v>
      </c>
      <c r="C73" t="s">
        <v>136</v>
      </c>
      <c r="D73">
        <v>69544430</v>
      </c>
    </row>
    <row r="74" spans="1:4" x14ac:dyDescent="0.2">
      <c r="A74">
        <v>2015</v>
      </c>
      <c r="B74" t="s">
        <v>170</v>
      </c>
      <c r="C74" t="s">
        <v>137</v>
      </c>
      <c r="D74">
        <v>3100631</v>
      </c>
    </row>
    <row r="75" spans="1:4" x14ac:dyDescent="0.2">
      <c r="A75">
        <v>2015</v>
      </c>
      <c r="B75" t="s">
        <v>171</v>
      </c>
      <c r="C75" t="s">
        <v>138</v>
      </c>
      <c r="D75">
        <v>803179</v>
      </c>
    </row>
    <row r="76" spans="1:4" x14ac:dyDescent="0.2">
      <c r="A76">
        <v>2015</v>
      </c>
      <c r="B76" t="s">
        <v>172</v>
      </c>
      <c r="C76" t="s">
        <v>139</v>
      </c>
      <c r="D76">
        <v>907206</v>
      </c>
    </row>
    <row r="77" spans="1:4" x14ac:dyDescent="0.2">
      <c r="A77">
        <v>2015</v>
      </c>
      <c r="B77" t="s">
        <v>173</v>
      </c>
      <c r="C77" t="s">
        <v>140</v>
      </c>
      <c r="D77">
        <v>10238755</v>
      </c>
    </row>
    <row r="78" spans="1:4" x14ac:dyDescent="0.2">
      <c r="A78">
        <v>2015</v>
      </c>
      <c r="B78" t="s">
        <v>174</v>
      </c>
      <c r="C78" t="s">
        <v>141</v>
      </c>
      <c r="D78">
        <v>2259447</v>
      </c>
    </row>
    <row r="79" spans="1:4" x14ac:dyDescent="0.2">
      <c r="A79">
        <v>2015</v>
      </c>
      <c r="B79" t="s">
        <v>175</v>
      </c>
      <c r="C79" t="s">
        <v>142</v>
      </c>
      <c r="D79">
        <v>8921820</v>
      </c>
    </row>
    <row r="80" spans="1:4" x14ac:dyDescent="0.2">
      <c r="A80">
        <v>2015</v>
      </c>
      <c r="B80" t="s">
        <v>176</v>
      </c>
      <c r="C80" t="s">
        <v>143</v>
      </c>
      <c r="D80">
        <v>2515926</v>
      </c>
    </row>
    <row r="81" spans="1:4" x14ac:dyDescent="0.2">
      <c r="A81">
        <v>2015</v>
      </c>
      <c r="B81" t="s">
        <v>177</v>
      </c>
      <c r="C81" t="s">
        <v>144</v>
      </c>
      <c r="D81">
        <v>2771944</v>
      </c>
    </row>
    <row r="82" spans="1:4" x14ac:dyDescent="0.2">
      <c r="A82">
        <v>2015</v>
      </c>
      <c r="B82" t="s">
        <v>178</v>
      </c>
      <c r="C82" t="s">
        <v>145</v>
      </c>
      <c r="D82">
        <v>4727155</v>
      </c>
    </row>
    <row r="83" spans="1:4" x14ac:dyDescent="0.2">
      <c r="A83">
        <v>2015</v>
      </c>
      <c r="B83" t="s">
        <v>179</v>
      </c>
      <c r="C83" t="s">
        <v>146</v>
      </c>
      <c r="D83">
        <v>3339060</v>
      </c>
    </row>
    <row r="84" spans="1:4" x14ac:dyDescent="0.2">
      <c r="A84">
        <v>2015</v>
      </c>
      <c r="B84" t="s">
        <v>180</v>
      </c>
      <c r="C84" t="s">
        <v>147</v>
      </c>
      <c r="D84">
        <v>1863906</v>
      </c>
    </row>
    <row r="85" spans="1:4" x14ac:dyDescent="0.2">
      <c r="A85">
        <v>2015</v>
      </c>
      <c r="B85" t="s">
        <v>181</v>
      </c>
      <c r="C85" t="s">
        <v>148</v>
      </c>
      <c r="D85">
        <v>17566557</v>
      </c>
    </row>
    <row r="86" spans="1:4" x14ac:dyDescent="0.2">
      <c r="A86">
        <v>2015</v>
      </c>
      <c r="B86" t="s">
        <v>182</v>
      </c>
      <c r="C86" t="s">
        <v>149</v>
      </c>
      <c r="D86">
        <v>20235599</v>
      </c>
    </row>
    <row r="87" spans="1:4" x14ac:dyDescent="0.2">
      <c r="A87">
        <v>2015</v>
      </c>
      <c r="B87" t="s">
        <v>183</v>
      </c>
      <c r="C87" t="s">
        <v>150</v>
      </c>
      <c r="D87">
        <v>1146640</v>
      </c>
    </row>
    <row r="88" spans="1:4" x14ac:dyDescent="0.2">
      <c r="A88">
        <v>2015</v>
      </c>
      <c r="B88" t="s">
        <v>184</v>
      </c>
      <c r="C88" t="s">
        <v>151</v>
      </c>
      <c r="D88">
        <v>1068493</v>
      </c>
    </row>
    <row r="89" spans="1:4" x14ac:dyDescent="0.2">
      <c r="A89">
        <v>2015</v>
      </c>
      <c r="B89" t="s">
        <v>185</v>
      </c>
      <c r="C89" t="s">
        <v>152</v>
      </c>
      <c r="D89">
        <v>3853957</v>
      </c>
    </row>
    <row r="90" spans="1:4" x14ac:dyDescent="0.2">
      <c r="A90">
        <v>2015</v>
      </c>
      <c r="B90" t="s">
        <v>186</v>
      </c>
      <c r="C90" t="s">
        <v>153</v>
      </c>
      <c r="D90">
        <v>4026370</v>
      </c>
    </row>
    <row r="91" spans="1:4" x14ac:dyDescent="0.2">
      <c r="A91">
        <v>2015</v>
      </c>
      <c r="B91" t="s">
        <v>187</v>
      </c>
      <c r="C91" t="s">
        <v>154</v>
      </c>
      <c r="D91">
        <v>4971285</v>
      </c>
    </row>
    <row r="92" spans="1:4" x14ac:dyDescent="0.2">
      <c r="A92">
        <v>2015</v>
      </c>
      <c r="B92" t="s">
        <v>188</v>
      </c>
      <c r="C92" t="s">
        <v>155</v>
      </c>
      <c r="D92">
        <v>1266095</v>
      </c>
    </row>
    <row r="93" spans="1:4" x14ac:dyDescent="0.2">
      <c r="A93">
        <v>2015</v>
      </c>
      <c r="B93" t="s">
        <v>189</v>
      </c>
      <c r="C93" t="s">
        <v>156</v>
      </c>
      <c r="D93">
        <v>4145988</v>
      </c>
    </row>
    <row r="94" spans="1:4" x14ac:dyDescent="0.2">
      <c r="A94">
        <v>2015</v>
      </c>
      <c r="B94" t="s">
        <v>190</v>
      </c>
      <c r="C94" t="s">
        <v>157</v>
      </c>
      <c r="D94">
        <v>2955064</v>
      </c>
    </row>
    <row r="95" spans="1:4" x14ac:dyDescent="0.2">
      <c r="A95">
        <v>2015</v>
      </c>
      <c r="B95" t="s">
        <v>191</v>
      </c>
      <c r="C95" t="s">
        <v>158</v>
      </c>
      <c r="D95">
        <v>9217885</v>
      </c>
    </row>
    <row r="96" spans="1:4" x14ac:dyDescent="0.2">
      <c r="A96">
        <v>2015</v>
      </c>
      <c r="B96" t="s">
        <v>192</v>
      </c>
      <c r="C96" t="s">
        <v>159</v>
      </c>
      <c r="D96">
        <v>19421870</v>
      </c>
    </row>
    <row r="97" spans="1:4" x14ac:dyDescent="0.2">
      <c r="A97">
        <v>2015</v>
      </c>
      <c r="B97" t="s">
        <v>193</v>
      </c>
      <c r="C97" t="s">
        <v>160</v>
      </c>
      <c r="D97">
        <v>1756324</v>
      </c>
    </row>
    <row r="98" spans="1:4" x14ac:dyDescent="0.2">
      <c r="A98">
        <v>2015</v>
      </c>
      <c r="B98" t="s">
        <v>194</v>
      </c>
      <c r="C98" t="s">
        <v>161</v>
      </c>
      <c r="D98">
        <v>737854</v>
      </c>
    </row>
    <row r="99" spans="1:4" x14ac:dyDescent="0.2">
      <c r="A99">
        <v>2015</v>
      </c>
      <c r="B99" t="s">
        <v>195</v>
      </c>
      <c r="C99" t="s">
        <v>162</v>
      </c>
      <c r="D99">
        <v>5156160</v>
      </c>
    </row>
    <row r="100" spans="1:4" x14ac:dyDescent="0.2">
      <c r="A100">
        <v>2015</v>
      </c>
      <c r="B100" t="s">
        <v>229</v>
      </c>
      <c r="C100" t="s">
        <v>196</v>
      </c>
      <c r="D100">
        <v>4596622</v>
      </c>
    </row>
    <row r="101" spans="1:4" x14ac:dyDescent="0.2">
      <c r="A101">
        <v>2015</v>
      </c>
      <c r="B101" t="s">
        <v>230</v>
      </c>
      <c r="C101" t="s">
        <v>197</v>
      </c>
      <c r="D101">
        <v>3107898</v>
      </c>
    </row>
    <row r="102" spans="1:4" x14ac:dyDescent="0.2">
      <c r="A102">
        <v>2015</v>
      </c>
      <c r="B102" t="s">
        <v>231</v>
      </c>
      <c r="C102" t="s">
        <v>198</v>
      </c>
      <c r="D102">
        <v>15425783</v>
      </c>
    </row>
    <row r="103" spans="1:4" x14ac:dyDescent="0.2">
      <c r="A103">
        <v>2015</v>
      </c>
      <c r="B103" t="s">
        <v>232</v>
      </c>
      <c r="C103" t="s">
        <v>199</v>
      </c>
      <c r="D103">
        <v>4804083</v>
      </c>
    </row>
    <row r="104" spans="1:4" x14ac:dyDescent="0.2">
      <c r="A104">
        <v>2015</v>
      </c>
      <c r="B104" t="s">
        <v>233</v>
      </c>
      <c r="C104" t="s">
        <v>200</v>
      </c>
      <c r="D104">
        <v>3362153</v>
      </c>
    </row>
    <row r="105" spans="1:4" x14ac:dyDescent="0.2">
      <c r="A105">
        <v>2015</v>
      </c>
      <c r="B105" t="s">
        <v>234</v>
      </c>
      <c r="C105" t="s">
        <v>201</v>
      </c>
      <c r="D105">
        <v>7620274</v>
      </c>
    </row>
    <row r="106" spans="1:4" x14ac:dyDescent="0.2">
      <c r="A106">
        <v>2015</v>
      </c>
      <c r="B106" t="s">
        <v>235</v>
      </c>
      <c r="C106" t="s">
        <v>202</v>
      </c>
      <c r="D106">
        <v>22315989</v>
      </c>
    </row>
    <row r="107" spans="1:4" x14ac:dyDescent="0.2">
      <c r="A107">
        <v>2015</v>
      </c>
      <c r="B107" t="s">
        <v>236</v>
      </c>
      <c r="C107" t="s">
        <v>203</v>
      </c>
      <c r="D107">
        <v>30445793</v>
      </c>
    </row>
    <row r="108" spans="1:4" x14ac:dyDescent="0.2">
      <c r="A108">
        <v>2015</v>
      </c>
      <c r="B108" t="s">
        <v>237</v>
      </c>
      <c r="C108" t="s">
        <v>204</v>
      </c>
      <c r="D108">
        <v>3379498</v>
      </c>
    </row>
    <row r="109" spans="1:4" x14ac:dyDescent="0.2">
      <c r="A109">
        <v>2015</v>
      </c>
      <c r="B109" t="s">
        <v>238</v>
      </c>
      <c r="C109" t="s">
        <v>205</v>
      </c>
      <c r="D109">
        <v>11318574</v>
      </c>
    </row>
    <row r="110" spans="1:4" x14ac:dyDescent="0.2">
      <c r="A110">
        <v>2015</v>
      </c>
      <c r="B110" t="s">
        <v>239</v>
      </c>
      <c r="C110" t="s">
        <v>206</v>
      </c>
      <c r="D110">
        <v>1176973</v>
      </c>
    </row>
    <row r="111" spans="1:4" x14ac:dyDescent="0.2">
      <c r="A111">
        <v>2015</v>
      </c>
      <c r="B111" t="s">
        <v>240</v>
      </c>
      <c r="C111" t="s">
        <v>207</v>
      </c>
      <c r="D111">
        <v>22529024</v>
      </c>
    </row>
    <row r="112" spans="1:4" x14ac:dyDescent="0.2">
      <c r="A112">
        <v>2015</v>
      </c>
      <c r="B112" t="s">
        <v>241</v>
      </c>
      <c r="C112" t="s">
        <v>208</v>
      </c>
      <c r="D112">
        <v>10782188</v>
      </c>
    </row>
    <row r="113" spans="1:4" x14ac:dyDescent="0.2">
      <c r="A113">
        <v>2015</v>
      </c>
      <c r="B113" t="s">
        <v>242</v>
      </c>
      <c r="C113" t="s">
        <v>209</v>
      </c>
      <c r="D113">
        <v>2347468</v>
      </c>
    </row>
    <row r="114" spans="1:4" x14ac:dyDescent="0.2">
      <c r="A114">
        <v>2015</v>
      </c>
      <c r="B114" t="s">
        <v>243</v>
      </c>
      <c r="C114" t="s">
        <v>210</v>
      </c>
      <c r="D114">
        <v>9898173</v>
      </c>
    </row>
    <row r="115" spans="1:4" x14ac:dyDescent="0.2">
      <c r="A115">
        <v>2015</v>
      </c>
      <c r="B115" t="s">
        <v>244</v>
      </c>
      <c r="C115" t="s">
        <v>211</v>
      </c>
      <c r="D115">
        <v>4072678</v>
      </c>
    </row>
    <row r="116" spans="1:4" x14ac:dyDescent="0.2">
      <c r="A116">
        <v>2015</v>
      </c>
      <c r="B116" t="s">
        <v>245</v>
      </c>
      <c r="C116" t="s">
        <v>212</v>
      </c>
      <c r="D116">
        <v>1797378</v>
      </c>
    </row>
    <row r="117" spans="1:4" x14ac:dyDescent="0.2">
      <c r="A117">
        <v>2015</v>
      </c>
      <c r="B117" t="s">
        <v>246</v>
      </c>
      <c r="C117" t="s">
        <v>213</v>
      </c>
      <c r="D117">
        <v>3463586</v>
      </c>
    </row>
    <row r="118" spans="1:4" x14ac:dyDescent="0.2">
      <c r="A118">
        <v>2015</v>
      </c>
      <c r="B118" t="s">
        <v>247</v>
      </c>
      <c r="C118" t="s">
        <v>214</v>
      </c>
      <c r="D118">
        <v>2649823</v>
      </c>
    </row>
    <row r="119" spans="1:4" x14ac:dyDescent="0.2">
      <c r="A119">
        <v>2015</v>
      </c>
      <c r="B119" t="s">
        <v>248</v>
      </c>
      <c r="C119" t="s">
        <v>215</v>
      </c>
      <c r="D119">
        <v>710238</v>
      </c>
    </row>
    <row r="120" spans="1:4" x14ac:dyDescent="0.2">
      <c r="A120">
        <v>2015</v>
      </c>
      <c r="B120" t="s">
        <v>249</v>
      </c>
      <c r="C120" t="s">
        <v>216</v>
      </c>
      <c r="D120">
        <v>12404</v>
      </c>
    </row>
    <row r="121" spans="1:4" x14ac:dyDescent="0.2">
      <c r="A121">
        <v>2015</v>
      </c>
      <c r="B121" t="s">
        <v>250</v>
      </c>
      <c r="C121" t="s">
        <v>217</v>
      </c>
      <c r="D121">
        <v>1089233</v>
      </c>
    </row>
    <row r="122" spans="1:4" x14ac:dyDescent="0.2">
      <c r="A122">
        <v>2015</v>
      </c>
      <c r="B122" t="s">
        <v>251</v>
      </c>
      <c r="C122" t="s">
        <v>218</v>
      </c>
      <c r="D122">
        <v>31780455</v>
      </c>
    </row>
    <row r="123" spans="1:4" x14ac:dyDescent="0.2">
      <c r="A123">
        <v>2015</v>
      </c>
      <c r="B123" t="s">
        <v>252</v>
      </c>
      <c r="C123" t="s">
        <v>219</v>
      </c>
      <c r="D123">
        <v>55990860</v>
      </c>
    </row>
    <row r="124" spans="1:4" x14ac:dyDescent="0.2">
      <c r="A124">
        <v>2015</v>
      </c>
      <c r="B124" t="s">
        <v>253</v>
      </c>
      <c r="C124" t="s">
        <v>220</v>
      </c>
      <c r="D124">
        <v>2857611</v>
      </c>
    </row>
    <row r="125" spans="1:4" x14ac:dyDescent="0.2">
      <c r="A125">
        <v>2015</v>
      </c>
      <c r="B125" t="s">
        <v>254</v>
      </c>
      <c r="C125" t="s">
        <v>221</v>
      </c>
      <c r="D125">
        <v>655717</v>
      </c>
    </row>
    <row r="126" spans="1:4" x14ac:dyDescent="0.2">
      <c r="A126">
        <v>2015</v>
      </c>
      <c r="B126" t="s">
        <v>255</v>
      </c>
      <c r="C126" t="s">
        <v>222</v>
      </c>
      <c r="D126">
        <v>374489</v>
      </c>
    </row>
    <row r="127" spans="1:4" x14ac:dyDescent="0.2">
      <c r="A127">
        <v>2015</v>
      </c>
      <c r="B127" t="s">
        <v>256</v>
      </c>
      <c r="C127" t="s">
        <v>223</v>
      </c>
      <c r="D127">
        <v>2437834</v>
      </c>
    </row>
    <row r="128" spans="1:4" x14ac:dyDescent="0.2">
      <c r="A128">
        <v>2015</v>
      </c>
      <c r="B128" t="s">
        <v>257</v>
      </c>
      <c r="C128" t="s">
        <v>224</v>
      </c>
      <c r="D128">
        <v>471572</v>
      </c>
    </row>
    <row r="129" spans="1:4" x14ac:dyDescent="0.2">
      <c r="A129">
        <v>2015</v>
      </c>
      <c r="B129" t="s">
        <v>258</v>
      </c>
      <c r="C129" t="s">
        <v>225</v>
      </c>
      <c r="D129">
        <v>993787</v>
      </c>
    </row>
    <row r="130" spans="1:4" x14ac:dyDescent="0.2">
      <c r="A130">
        <v>2015</v>
      </c>
      <c r="B130" t="s">
        <v>259</v>
      </c>
      <c r="C130" t="s">
        <v>226</v>
      </c>
      <c r="D130">
        <v>513697</v>
      </c>
    </row>
    <row r="131" spans="1:4" x14ac:dyDescent="0.2">
      <c r="A131">
        <v>2015</v>
      </c>
      <c r="B131" t="s">
        <v>260</v>
      </c>
      <c r="C131" t="s">
        <v>227</v>
      </c>
      <c r="D131">
        <v>7831151</v>
      </c>
    </row>
    <row r="132" spans="1:4" x14ac:dyDescent="0.2">
      <c r="A132">
        <v>2015</v>
      </c>
      <c r="B132" t="s">
        <v>261</v>
      </c>
      <c r="C132" t="s">
        <v>228</v>
      </c>
      <c r="D132">
        <v>3078454</v>
      </c>
    </row>
    <row r="133" spans="1:4" x14ac:dyDescent="0.2">
      <c r="A133">
        <v>2015</v>
      </c>
      <c r="B133" t="s">
        <v>276</v>
      </c>
      <c r="C133" t="s">
        <v>262</v>
      </c>
      <c r="D133">
        <v>9475729</v>
      </c>
    </row>
    <row r="134" spans="1:4" x14ac:dyDescent="0.2">
      <c r="A134">
        <v>2015</v>
      </c>
      <c r="B134" t="s">
        <v>277</v>
      </c>
      <c r="C134" t="s">
        <v>263</v>
      </c>
      <c r="D134">
        <v>1582804</v>
      </c>
    </row>
    <row r="135" spans="1:4" x14ac:dyDescent="0.2">
      <c r="A135">
        <v>2015</v>
      </c>
      <c r="B135" t="s">
        <v>278</v>
      </c>
      <c r="C135" t="s">
        <v>264</v>
      </c>
      <c r="D135">
        <v>281474</v>
      </c>
    </row>
    <row r="136" spans="1:4" x14ac:dyDescent="0.2">
      <c r="A136">
        <v>2015</v>
      </c>
      <c r="B136" t="s">
        <v>279</v>
      </c>
      <c r="C136" t="s">
        <v>265</v>
      </c>
      <c r="D136">
        <v>134160</v>
      </c>
    </row>
    <row r="137" spans="1:4" x14ac:dyDescent="0.2">
      <c r="A137">
        <v>2015</v>
      </c>
      <c r="B137" t="s">
        <v>280</v>
      </c>
      <c r="C137" t="s">
        <v>266</v>
      </c>
      <c r="D137">
        <v>196105</v>
      </c>
    </row>
    <row r="138" spans="1:4" x14ac:dyDescent="0.2">
      <c r="A138">
        <v>2015</v>
      </c>
      <c r="B138" t="s">
        <v>281</v>
      </c>
      <c r="C138" t="s">
        <v>267</v>
      </c>
      <c r="D138">
        <v>124101</v>
      </c>
    </row>
    <row r="139" spans="1:4" x14ac:dyDescent="0.2">
      <c r="A139">
        <v>2015</v>
      </c>
      <c r="B139" t="s">
        <v>282</v>
      </c>
      <c r="C139" t="s">
        <v>268</v>
      </c>
      <c r="D139">
        <v>1095992</v>
      </c>
    </row>
    <row r="140" spans="1:4" x14ac:dyDescent="0.2">
      <c r="A140">
        <v>2015</v>
      </c>
      <c r="B140" t="s">
        <v>283</v>
      </c>
      <c r="C140" t="s">
        <v>269</v>
      </c>
      <c r="D140">
        <v>168432</v>
      </c>
    </row>
    <row r="141" spans="1:4" x14ac:dyDescent="0.2">
      <c r="A141">
        <v>2015</v>
      </c>
      <c r="B141" t="s">
        <v>284</v>
      </c>
      <c r="C141" t="s">
        <v>270</v>
      </c>
      <c r="D141">
        <v>99259</v>
      </c>
    </row>
    <row r="142" spans="1:4" x14ac:dyDescent="0.2">
      <c r="A142">
        <v>2015</v>
      </c>
      <c r="B142" t="s">
        <v>285</v>
      </c>
      <c r="C142" t="s">
        <v>271</v>
      </c>
      <c r="D142">
        <v>29123</v>
      </c>
    </row>
    <row r="143" spans="1:4" x14ac:dyDescent="0.2">
      <c r="A143">
        <v>2015</v>
      </c>
      <c r="B143" t="s">
        <v>286</v>
      </c>
      <c r="C143" t="s">
        <v>272</v>
      </c>
      <c r="D143">
        <v>123576</v>
      </c>
    </row>
    <row r="144" spans="1:4" x14ac:dyDescent="0.2">
      <c r="A144">
        <v>2015</v>
      </c>
      <c r="B144" t="s">
        <v>287</v>
      </c>
      <c r="C144" t="s">
        <v>273</v>
      </c>
      <c r="D144">
        <v>593975</v>
      </c>
    </row>
    <row r="145" spans="1:4" x14ac:dyDescent="0.2">
      <c r="A145">
        <v>2015</v>
      </c>
      <c r="B145" t="s">
        <v>288</v>
      </c>
      <c r="C145" t="s">
        <v>274</v>
      </c>
      <c r="D145">
        <v>251292</v>
      </c>
    </row>
    <row r="146" spans="1:4" x14ac:dyDescent="0.2">
      <c r="A146">
        <v>2015</v>
      </c>
      <c r="B146" t="s">
        <v>289</v>
      </c>
      <c r="C146" t="s">
        <v>275</v>
      </c>
      <c r="D146">
        <v>57283</v>
      </c>
    </row>
    <row r="147" spans="1:4" x14ac:dyDescent="0.2">
      <c r="A147">
        <v>2016</v>
      </c>
      <c r="B147" t="s">
        <v>32</v>
      </c>
      <c r="C147" t="s">
        <v>0</v>
      </c>
      <c r="D147">
        <v>3656970</v>
      </c>
    </row>
    <row r="148" spans="1:4" x14ac:dyDescent="0.2">
      <c r="A148">
        <v>2016</v>
      </c>
      <c r="B148" t="s">
        <v>33</v>
      </c>
      <c r="C148" t="s">
        <v>1</v>
      </c>
      <c r="D148">
        <v>12057308</v>
      </c>
    </row>
    <row r="149" spans="1:4" x14ac:dyDescent="0.2">
      <c r="A149">
        <v>2016</v>
      </c>
      <c r="B149" t="s">
        <v>34</v>
      </c>
      <c r="C149" t="s">
        <v>2</v>
      </c>
      <c r="D149">
        <v>1661155</v>
      </c>
    </row>
    <row r="150" spans="1:4" x14ac:dyDescent="0.2">
      <c r="A150">
        <v>2016</v>
      </c>
      <c r="B150" t="s">
        <v>35</v>
      </c>
      <c r="C150" t="s">
        <v>3</v>
      </c>
      <c r="D150">
        <v>1159745</v>
      </c>
    </row>
    <row r="151" spans="1:4" x14ac:dyDescent="0.2">
      <c r="A151">
        <v>2016</v>
      </c>
      <c r="B151" t="s">
        <v>36</v>
      </c>
      <c r="C151" t="s">
        <v>4</v>
      </c>
      <c r="D151">
        <v>3316888</v>
      </c>
    </row>
    <row r="152" spans="1:4" x14ac:dyDescent="0.2">
      <c r="A152">
        <v>2016</v>
      </c>
      <c r="B152" t="s">
        <v>37</v>
      </c>
      <c r="C152" t="s">
        <v>5</v>
      </c>
      <c r="D152">
        <v>1448349</v>
      </c>
    </row>
    <row r="153" spans="1:4" x14ac:dyDescent="0.2">
      <c r="A153">
        <v>2016</v>
      </c>
      <c r="B153" t="s">
        <v>38</v>
      </c>
      <c r="C153" t="s">
        <v>6</v>
      </c>
      <c r="D153">
        <v>38030415</v>
      </c>
    </row>
    <row r="154" spans="1:4" x14ac:dyDescent="0.2">
      <c r="A154">
        <v>2016</v>
      </c>
      <c r="B154" t="s">
        <v>39</v>
      </c>
      <c r="C154" t="s">
        <v>7</v>
      </c>
      <c r="D154">
        <v>7779214</v>
      </c>
    </row>
    <row r="155" spans="1:4" x14ac:dyDescent="0.2">
      <c r="A155">
        <v>2016</v>
      </c>
      <c r="B155" t="s">
        <v>40</v>
      </c>
      <c r="C155" t="s">
        <v>8</v>
      </c>
      <c r="D155">
        <v>642494</v>
      </c>
    </row>
    <row r="156" spans="1:4" x14ac:dyDescent="0.2">
      <c r="A156">
        <v>2016</v>
      </c>
      <c r="B156" t="s">
        <v>41</v>
      </c>
      <c r="C156" t="s">
        <v>9</v>
      </c>
      <c r="D156">
        <v>6752285</v>
      </c>
    </row>
    <row r="157" spans="1:4" x14ac:dyDescent="0.2">
      <c r="A157">
        <v>2016</v>
      </c>
      <c r="B157" t="s">
        <v>42</v>
      </c>
      <c r="C157" t="s">
        <v>10</v>
      </c>
      <c r="D157">
        <v>520472</v>
      </c>
    </row>
    <row r="158" spans="1:4" x14ac:dyDescent="0.2">
      <c r="A158">
        <v>2016</v>
      </c>
      <c r="B158" t="s">
        <v>43</v>
      </c>
      <c r="C158" t="s">
        <v>11</v>
      </c>
      <c r="D158">
        <v>3693544</v>
      </c>
    </row>
    <row r="159" spans="1:4" x14ac:dyDescent="0.2">
      <c r="A159">
        <v>2016</v>
      </c>
      <c r="B159" t="s">
        <v>44</v>
      </c>
      <c r="C159" t="s">
        <v>12</v>
      </c>
      <c r="D159">
        <v>1334520</v>
      </c>
    </row>
    <row r="160" spans="1:4" x14ac:dyDescent="0.2">
      <c r="A160">
        <v>2016</v>
      </c>
      <c r="B160" t="s">
        <v>45</v>
      </c>
      <c r="C160" t="s">
        <v>13</v>
      </c>
      <c r="D160">
        <v>2057107</v>
      </c>
    </row>
    <row r="161" spans="1:4" x14ac:dyDescent="0.2">
      <c r="A161">
        <v>2016</v>
      </c>
      <c r="B161" t="s">
        <v>46</v>
      </c>
      <c r="C161" t="s">
        <v>14</v>
      </c>
      <c r="D161">
        <v>1504400</v>
      </c>
    </row>
    <row r="162" spans="1:4" x14ac:dyDescent="0.2">
      <c r="A162">
        <v>2016</v>
      </c>
      <c r="B162" t="s">
        <v>47</v>
      </c>
      <c r="C162" t="s">
        <v>15</v>
      </c>
      <c r="D162">
        <v>5269123</v>
      </c>
    </row>
    <row r="163" spans="1:4" x14ac:dyDescent="0.2">
      <c r="A163">
        <v>2016</v>
      </c>
      <c r="B163" t="s">
        <v>48</v>
      </c>
      <c r="C163" t="s">
        <v>16</v>
      </c>
      <c r="D163">
        <v>2757902</v>
      </c>
    </row>
    <row r="164" spans="1:4" x14ac:dyDescent="0.2">
      <c r="A164">
        <v>2016</v>
      </c>
      <c r="B164" t="s">
        <v>49</v>
      </c>
      <c r="C164" t="s">
        <v>17</v>
      </c>
      <c r="D164">
        <v>2854289</v>
      </c>
    </row>
    <row r="165" spans="1:4" x14ac:dyDescent="0.2">
      <c r="A165">
        <v>2016</v>
      </c>
      <c r="B165" t="s">
        <v>50</v>
      </c>
      <c r="C165" t="s">
        <v>18</v>
      </c>
      <c r="D165">
        <v>632109</v>
      </c>
    </row>
    <row r="166" spans="1:4" x14ac:dyDescent="0.2">
      <c r="A166">
        <v>2016</v>
      </c>
      <c r="B166" t="s">
        <v>51</v>
      </c>
      <c r="C166" t="s">
        <v>19</v>
      </c>
      <c r="D166">
        <v>1552358</v>
      </c>
    </row>
    <row r="167" spans="1:4" x14ac:dyDescent="0.2">
      <c r="A167">
        <v>2016</v>
      </c>
      <c r="B167" t="s">
        <v>52</v>
      </c>
      <c r="C167" t="s">
        <v>20</v>
      </c>
      <c r="D167">
        <v>39073891</v>
      </c>
    </row>
    <row r="168" spans="1:4" x14ac:dyDescent="0.2">
      <c r="A168">
        <v>2016</v>
      </c>
      <c r="B168" t="s">
        <v>53</v>
      </c>
      <c r="C168" t="s">
        <v>21</v>
      </c>
      <c r="D168">
        <v>1639777</v>
      </c>
    </row>
    <row r="169" spans="1:4" x14ac:dyDescent="0.2">
      <c r="A169">
        <v>2016</v>
      </c>
      <c r="B169" t="s">
        <v>54</v>
      </c>
      <c r="C169" t="s">
        <v>22</v>
      </c>
      <c r="D169">
        <v>493856</v>
      </c>
    </row>
    <row r="170" spans="1:4" x14ac:dyDescent="0.2">
      <c r="A170">
        <v>2016</v>
      </c>
      <c r="B170" t="s">
        <v>55</v>
      </c>
      <c r="C170" t="s">
        <v>23</v>
      </c>
      <c r="D170">
        <v>5924663</v>
      </c>
    </row>
    <row r="171" spans="1:4" x14ac:dyDescent="0.2">
      <c r="A171">
        <v>2016</v>
      </c>
      <c r="B171" t="s">
        <v>56</v>
      </c>
      <c r="C171" t="s">
        <v>24</v>
      </c>
      <c r="D171">
        <v>1094533</v>
      </c>
    </row>
    <row r="172" spans="1:4" x14ac:dyDescent="0.2">
      <c r="A172">
        <v>2016</v>
      </c>
      <c r="B172" t="s">
        <v>57</v>
      </c>
      <c r="C172" t="s">
        <v>25</v>
      </c>
      <c r="D172">
        <v>1494028</v>
      </c>
    </row>
    <row r="173" spans="1:4" x14ac:dyDescent="0.2">
      <c r="A173">
        <v>2016</v>
      </c>
      <c r="B173" t="s">
        <v>58</v>
      </c>
      <c r="C173" t="s">
        <v>26</v>
      </c>
      <c r="D173">
        <v>3115958</v>
      </c>
    </row>
    <row r="174" spans="1:4" x14ac:dyDescent="0.2">
      <c r="A174">
        <v>2016</v>
      </c>
      <c r="B174" t="s">
        <v>59</v>
      </c>
      <c r="C174" t="s">
        <v>27</v>
      </c>
      <c r="D174">
        <v>1148228</v>
      </c>
    </row>
    <row r="175" spans="1:4" x14ac:dyDescent="0.2">
      <c r="A175">
        <v>2016</v>
      </c>
      <c r="B175" t="s">
        <v>60</v>
      </c>
      <c r="C175" t="s">
        <v>28</v>
      </c>
      <c r="D175">
        <v>192421257</v>
      </c>
    </row>
    <row r="176" spans="1:4" x14ac:dyDescent="0.2">
      <c r="A176">
        <v>2016</v>
      </c>
      <c r="B176" t="s">
        <v>61</v>
      </c>
      <c r="C176" t="s">
        <v>29</v>
      </c>
      <c r="D176">
        <v>10108697</v>
      </c>
    </row>
    <row r="177" spans="1:4" x14ac:dyDescent="0.2">
      <c r="A177">
        <v>2016</v>
      </c>
      <c r="B177" t="s">
        <v>62</v>
      </c>
      <c r="C177" t="s">
        <v>30</v>
      </c>
      <c r="D177">
        <v>1429378</v>
      </c>
    </row>
    <row r="178" spans="1:4" x14ac:dyDescent="0.2">
      <c r="A178">
        <v>2016</v>
      </c>
      <c r="B178" t="s">
        <v>63</v>
      </c>
      <c r="C178" t="s">
        <v>31</v>
      </c>
      <c r="D178">
        <v>3285341</v>
      </c>
    </row>
    <row r="179" spans="1:4" x14ac:dyDescent="0.2">
      <c r="A179">
        <v>2016</v>
      </c>
      <c r="B179" t="s">
        <v>97</v>
      </c>
      <c r="C179" t="s">
        <v>64</v>
      </c>
      <c r="D179">
        <v>5501523</v>
      </c>
    </row>
    <row r="180" spans="1:4" x14ac:dyDescent="0.2">
      <c r="A180">
        <v>2016</v>
      </c>
      <c r="B180" t="s">
        <v>98</v>
      </c>
      <c r="C180" t="s">
        <v>65</v>
      </c>
      <c r="D180">
        <v>11825982</v>
      </c>
    </row>
    <row r="181" spans="1:4" x14ac:dyDescent="0.2">
      <c r="A181">
        <v>2016</v>
      </c>
      <c r="B181" t="s">
        <v>99</v>
      </c>
      <c r="C181" t="s">
        <v>66</v>
      </c>
      <c r="D181">
        <v>1675004</v>
      </c>
    </row>
    <row r="182" spans="1:4" x14ac:dyDescent="0.2">
      <c r="A182">
        <v>2016</v>
      </c>
      <c r="B182" t="s">
        <v>100</v>
      </c>
      <c r="C182" t="s">
        <v>67</v>
      </c>
      <c r="D182">
        <v>3973956</v>
      </c>
    </row>
    <row r="183" spans="1:4" x14ac:dyDescent="0.2">
      <c r="A183">
        <v>2016</v>
      </c>
      <c r="B183" t="s">
        <v>101</v>
      </c>
      <c r="C183" t="s">
        <v>68</v>
      </c>
      <c r="D183">
        <v>2016616</v>
      </c>
    </row>
    <row r="184" spans="1:4" x14ac:dyDescent="0.2">
      <c r="A184">
        <v>2016</v>
      </c>
      <c r="B184" t="s">
        <v>102</v>
      </c>
      <c r="C184" t="s">
        <v>69</v>
      </c>
      <c r="D184">
        <v>1179216</v>
      </c>
    </row>
    <row r="185" spans="1:4" x14ac:dyDescent="0.2">
      <c r="A185">
        <v>2016</v>
      </c>
      <c r="B185" t="s">
        <v>103</v>
      </c>
      <c r="C185" t="s">
        <v>70</v>
      </c>
      <c r="D185">
        <v>2339053</v>
      </c>
    </row>
    <row r="186" spans="1:4" x14ac:dyDescent="0.2">
      <c r="A186">
        <v>2016</v>
      </c>
      <c r="B186" t="s">
        <v>104</v>
      </c>
      <c r="C186" t="s">
        <v>71</v>
      </c>
      <c r="D186">
        <v>1717176</v>
      </c>
    </row>
    <row r="187" spans="1:4" x14ac:dyDescent="0.2">
      <c r="A187">
        <v>2016</v>
      </c>
      <c r="B187" t="s">
        <v>105</v>
      </c>
      <c r="C187" t="s">
        <v>72</v>
      </c>
      <c r="D187">
        <v>3963667</v>
      </c>
    </row>
    <row r="188" spans="1:4" x14ac:dyDescent="0.2">
      <c r="A188">
        <v>2016</v>
      </c>
      <c r="B188" t="s">
        <v>106</v>
      </c>
      <c r="C188" t="s">
        <v>73</v>
      </c>
      <c r="D188">
        <v>13567678</v>
      </c>
    </row>
    <row r="189" spans="1:4" x14ac:dyDescent="0.2">
      <c r="A189">
        <v>2016</v>
      </c>
      <c r="B189" t="s">
        <v>107</v>
      </c>
      <c r="C189" t="s">
        <v>74</v>
      </c>
      <c r="D189">
        <v>35423318</v>
      </c>
    </row>
    <row r="190" spans="1:4" x14ac:dyDescent="0.2">
      <c r="A190">
        <v>2016</v>
      </c>
      <c r="B190" t="s">
        <v>108</v>
      </c>
      <c r="C190" t="s">
        <v>75</v>
      </c>
      <c r="D190">
        <v>4936601</v>
      </c>
    </row>
    <row r="191" spans="1:4" x14ac:dyDescent="0.2">
      <c r="A191">
        <v>2016</v>
      </c>
      <c r="B191" t="s">
        <v>109</v>
      </c>
      <c r="C191" t="s">
        <v>76</v>
      </c>
      <c r="D191">
        <v>251238</v>
      </c>
    </row>
    <row r="192" spans="1:4" x14ac:dyDescent="0.2">
      <c r="A192">
        <v>2016</v>
      </c>
      <c r="B192" t="s">
        <v>110</v>
      </c>
      <c r="C192" t="s">
        <v>77</v>
      </c>
      <c r="D192">
        <v>3977579</v>
      </c>
    </row>
    <row r="193" spans="1:4" x14ac:dyDescent="0.2">
      <c r="A193">
        <v>2016</v>
      </c>
      <c r="B193" t="s">
        <v>111</v>
      </c>
      <c r="C193" t="s">
        <v>78</v>
      </c>
      <c r="D193">
        <v>2848950</v>
      </c>
    </row>
    <row r="194" spans="1:4" x14ac:dyDescent="0.2">
      <c r="A194">
        <v>2016</v>
      </c>
      <c r="B194" t="s">
        <v>112</v>
      </c>
      <c r="C194" t="s">
        <v>79</v>
      </c>
      <c r="D194">
        <v>599585</v>
      </c>
    </row>
    <row r="195" spans="1:4" x14ac:dyDescent="0.2">
      <c r="A195">
        <v>2016</v>
      </c>
      <c r="B195" t="s">
        <v>113</v>
      </c>
      <c r="C195" t="s">
        <v>80</v>
      </c>
      <c r="D195">
        <v>1637009</v>
      </c>
    </row>
    <row r="196" spans="1:4" x14ac:dyDescent="0.2">
      <c r="A196">
        <v>2016</v>
      </c>
      <c r="B196" t="s">
        <v>114</v>
      </c>
      <c r="C196" t="s">
        <v>81</v>
      </c>
      <c r="D196">
        <v>1043017</v>
      </c>
    </row>
    <row r="197" spans="1:4" x14ac:dyDescent="0.2">
      <c r="A197">
        <v>2016</v>
      </c>
      <c r="B197" t="s">
        <v>115</v>
      </c>
      <c r="C197" t="s">
        <v>82</v>
      </c>
      <c r="D197">
        <v>2493705</v>
      </c>
    </row>
    <row r="198" spans="1:4" x14ac:dyDescent="0.2">
      <c r="A198">
        <v>2016</v>
      </c>
      <c r="B198" t="s">
        <v>116</v>
      </c>
      <c r="C198" t="s">
        <v>83</v>
      </c>
      <c r="D198">
        <v>70938164</v>
      </c>
    </row>
    <row r="199" spans="1:4" x14ac:dyDescent="0.2">
      <c r="A199">
        <v>2016</v>
      </c>
      <c r="B199" t="s">
        <v>117</v>
      </c>
      <c r="C199" t="s">
        <v>84</v>
      </c>
      <c r="D199">
        <v>3712539</v>
      </c>
    </row>
    <row r="200" spans="1:4" x14ac:dyDescent="0.2">
      <c r="A200">
        <v>2016</v>
      </c>
      <c r="B200" t="s">
        <v>118</v>
      </c>
      <c r="C200" t="s">
        <v>85</v>
      </c>
      <c r="D200">
        <v>1157313</v>
      </c>
    </row>
    <row r="201" spans="1:4" x14ac:dyDescent="0.2">
      <c r="A201">
        <v>2016</v>
      </c>
      <c r="B201" t="s">
        <v>119</v>
      </c>
      <c r="C201" t="s">
        <v>86</v>
      </c>
      <c r="D201">
        <v>1339148</v>
      </c>
    </row>
    <row r="202" spans="1:4" x14ac:dyDescent="0.2">
      <c r="A202">
        <v>2016</v>
      </c>
      <c r="B202" t="s">
        <v>120</v>
      </c>
      <c r="C202" t="s">
        <v>87</v>
      </c>
      <c r="D202">
        <v>899205</v>
      </c>
    </row>
    <row r="203" spans="1:4" x14ac:dyDescent="0.2">
      <c r="A203">
        <v>2016</v>
      </c>
      <c r="B203" t="s">
        <v>121</v>
      </c>
      <c r="C203" t="s">
        <v>88</v>
      </c>
      <c r="D203">
        <v>3117659</v>
      </c>
    </row>
    <row r="204" spans="1:4" x14ac:dyDescent="0.2">
      <c r="A204">
        <v>2016</v>
      </c>
      <c r="B204" t="s">
        <v>122</v>
      </c>
      <c r="C204" t="s">
        <v>89</v>
      </c>
      <c r="D204">
        <v>1010379</v>
      </c>
    </row>
    <row r="205" spans="1:4" x14ac:dyDescent="0.2">
      <c r="A205">
        <v>2016</v>
      </c>
      <c r="B205" t="s">
        <v>123</v>
      </c>
      <c r="C205" t="s">
        <v>90</v>
      </c>
      <c r="D205">
        <v>6655284</v>
      </c>
    </row>
    <row r="206" spans="1:4" x14ac:dyDescent="0.2">
      <c r="A206">
        <v>2016</v>
      </c>
      <c r="B206" t="s">
        <v>124</v>
      </c>
      <c r="C206" t="s">
        <v>91</v>
      </c>
      <c r="D206">
        <v>1586636</v>
      </c>
    </row>
    <row r="207" spans="1:4" x14ac:dyDescent="0.2">
      <c r="A207">
        <v>2016</v>
      </c>
      <c r="B207" t="s">
        <v>125</v>
      </c>
      <c r="C207" t="s">
        <v>92</v>
      </c>
      <c r="D207">
        <v>2106422</v>
      </c>
    </row>
    <row r="208" spans="1:4" x14ac:dyDescent="0.2">
      <c r="A208">
        <v>2016</v>
      </c>
      <c r="B208" t="s">
        <v>126</v>
      </c>
      <c r="C208" t="s">
        <v>93</v>
      </c>
      <c r="D208">
        <v>1270364</v>
      </c>
    </row>
    <row r="209" spans="1:4" x14ac:dyDescent="0.2">
      <c r="A209">
        <v>2016</v>
      </c>
      <c r="B209" t="s">
        <v>127</v>
      </c>
      <c r="C209" t="s">
        <v>94</v>
      </c>
      <c r="D209">
        <v>1055322</v>
      </c>
    </row>
    <row r="210" spans="1:4" x14ac:dyDescent="0.2">
      <c r="A210">
        <v>2016</v>
      </c>
      <c r="B210" t="s">
        <v>128</v>
      </c>
      <c r="C210" t="s">
        <v>95</v>
      </c>
      <c r="D210">
        <v>1545500</v>
      </c>
    </row>
    <row r="211" spans="1:4" x14ac:dyDescent="0.2">
      <c r="A211">
        <v>2016</v>
      </c>
      <c r="B211" t="s">
        <v>129</v>
      </c>
      <c r="C211" t="s">
        <v>96</v>
      </c>
      <c r="D211">
        <v>3659568</v>
      </c>
    </row>
    <row r="212" spans="1:4" x14ac:dyDescent="0.2">
      <c r="A212">
        <v>2016</v>
      </c>
      <c r="B212" t="s">
        <v>163</v>
      </c>
      <c r="C212" t="s">
        <v>130</v>
      </c>
      <c r="D212">
        <v>2566395</v>
      </c>
    </row>
    <row r="213" spans="1:4" x14ac:dyDescent="0.2">
      <c r="A213">
        <v>2016</v>
      </c>
      <c r="B213" t="s">
        <v>164</v>
      </c>
      <c r="C213" t="s">
        <v>131</v>
      </c>
      <c r="D213">
        <v>1823692</v>
      </c>
    </row>
    <row r="214" spans="1:4" x14ac:dyDescent="0.2">
      <c r="A214">
        <v>2016</v>
      </c>
      <c r="B214" t="s">
        <v>165</v>
      </c>
      <c r="C214" t="s">
        <v>132</v>
      </c>
      <c r="D214">
        <v>5644590</v>
      </c>
    </row>
    <row r="215" spans="1:4" x14ac:dyDescent="0.2">
      <c r="A215">
        <v>2016</v>
      </c>
      <c r="B215" t="s">
        <v>166</v>
      </c>
      <c r="C215" t="s">
        <v>133</v>
      </c>
      <c r="D215">
        <v>3246178</v>
      </c>
    </row>
    <row r="216" spans="1:4" x14ac:dyDescent="0.2">
      <c r="A216">
        <v>2016</v>
      </c>
      <c r="B216" t="s">
        <v>167</v>
      </c>
      <c r="C216" t="s">
        <v>134</v>
      </c>
      <c r="D216">
        <v>1657572</v>
      </c>
    </row>
    <row r="217" spans="1:4" x14ac:dyDescent="0.2">
      <c r="A217">
        <v>2016</v>
      </c>
      <c r="B217" t="s">
        <v>168</v>
      </c>
      <c r="C217" t="s">
        <v>135</v>
      </c>
      <c r="D217">
        <v>4515745</v>
      </c>
    </row>
    <row r="218" spans="1:4" x14ac:dyDescent="0.2">
      <c r="A218">
        <v>2016</v>
      </c>
      <c r="B218" t="s">
        <v>169</v>
      </c>
      <c r="C218" t="s">
        <v>136</v>
      </c>
      <c r="D218">
        <v>69742125</v>
      </c>
    </row>
    <row r="219" spans="1:4" x14ac:dyDescent="0.2">
      <c r="A219">
        <v>2016</v>
      </c>
      <c r="B219" t="s">
        <v>170</v>
      </c>
      <c r="C219" t="s">
        <v>137</v>
      </c>
      <c r="D219">
        <v>3012960</v>
      </c>
    </row>
    <row r="220" spans="1:4" x14ac:dyDescent="0.2">
      <c r="A220">
        <v>2016</v>
      </c>
      <c r="B220" t="s">
        <v>171</v>
      </c>
      <c r="C220" t="s">
        <v>138</v>
      </c>
      <c r="D220">
        <v>791584</v>
      </c>
    </row>
    <row r="221" spans="1:4" x14ac:dyDescent="0.2">
      <c r="A221">
        <v>2016</v>
      </c>
      <c r="B221" t="s">
        <v>172</v>
      </c>
      <c r="C221" t="s">
        <v>139</v>
      </c>
      <c r="D221">
        <v>886567</v>
      </c>
    </row>
    <row r="222" spans="1:4" x14ac:dyDescent="0.2">
      <c r="A222">
        <v>2016</v>
      </c>
      <c r="B222" t="s">
        <v>173</v>
      </c>
      <c r="C222" t="s">
        <v>140</v>
      </c>
      <c r="D222">
        <v>10159703</v>
      </c>
    </row>
    <row r="223" spans="1:4" x14ac:dyDescent="0.2">
      <c r="A223">
        <v>2016</v>
      </c>
      <c r="B223" t="s">
        <v>174</v>
      </c>
      <c r="C223" t="s">
        <v>141</v>
      </c>
      <c r="D223">
        <v>2202339</v>
      </c>
    </row>
    <row r="224" spans="1:4" x14ac:dyDescent="0.2">
      <c r="A224">
        <v>2016</v>
      </c>
      <c r="B224" t="s">
        <v>175</v>
      </c>
      <c r="C224" t="s">
        <v>142</v>
      </c>
      <c r="D224">
        <v>8853455</v>
      </c>
    </row>
    <row r="225" spans="1:4" x14ac:dyDescent="0.2">
      <c r="A225">
        <v>2016</v>
      </c>
      <c r="B225" t="s">
        <v>176</v>
      </c>
      <c r="C225" t="s">
        <v>143</v>
      </c>
      <c r="D225">
        <v>2518321</v>
      </c>
    </row>
    <row r="226" spans="1:4" x14ac:dyDescent="0.2">
      <c r="A226">
        <v>2016</v>
      </c>
      <c r="B226" t="s">
        <v>177</v>
      </c>
      <c r="C226" t="s">
        <v>144</v>
      </c>
      <c r="D226">
        <v>2686745</v>
      </c>
    </row>
    <row r="227" spans="1:4" x14ac:dyDescent="0.2">
      <c r="A227">
        <v>2016</v>
      </c>
      <c r="B227" t="s">
        <v>178</v>
      </c>
      <c r="C227" t="s">
        <v>145</v>
      </c>
      <c r="D227">
        <v>4750581</v>
      </c>
    </row>
    <row r="228" spans="1:4" x14ac:dyDescent="0.2">
      <c r="A228">
        <v>2016</v>
      </c>
      <c r="B228" t="s">
        <v>179</v>
      </c>
      <c r="C228" t="s">
        <v>146</v>
      </c>
      <c r="D228">
        <v>3178456</v>
      </c>
    </row>
    <row r="229" spans="1:4" x14ac:dyDescent="0.2">
      <c r="A229">
        <v>2016</v>
      </c>
      <c r="B229" t="s">
        <v>180</v>
      </c>
      <c r="C229" t="s">
        <v>147</v>
      </c>
      <c r="D229">
        <v>1763520</v>
      </c>
    </row>
    <row r="230" spans="1:4" x14ac:dyDescent="0.2">
      <c r="A230">
        <v>2016</v>
      </c>
      <c r="B230" t="s">
        <v>181</v>
      </c>
      <c r="C230" t="s">
        <v>148</v>
      </c>
      <c r="D230">
        <v>17436246</v>
      </c>
    </row>
    <row r="231" spans="1:4" x14ac:dyDescent="0.2">
      <c r="A231">
        <v>2016</v>
      </c>
      <c r="B231" t="s">
        <v>182</v>
      </c>
      <c r="C231" t="s">
        <v>149</v>
      </c>
      <c r="D231">
        <v>20203796</v>
      </c>
    </row>
    <row r="232" spans="1:4" x14ac:dyDescent="0.2">
      <c r="A232">
        <v>2016</v>
      </c>
      <c r="B232" t="s">
        <v>183</v>
      </c>
      <c r="C232" t="s">
        <v>150</v>
      </c>
      <c r="D232">
        <v>1080256</v>
      </c>
    </row>
    <row r="233" spans="1:4" x14ac:dyDescent="0.2">
      <c r="A233">
        <v>2016</v>
      </c>
      <c r="B233" t="s">
        <v>184</v>
      </c>
      <c r="C233" t="s">
        <v>151</v>
      </c>
      <c r="D233">
        <v>1088074</v>
      </c>
    </row>
    <row r="234" spans="1:4" x14ac:dyDescent="0.2">
      <c r="A234">
        <v>2016</v>
      </c>
      <c r="B234" t="s">
        <v>185</v>
      </c>
      <c r="C234" t="s">
        <v>152</v>
      </c>
      <c r="D234">
        <v>3716257</v>
      </c>
    </row>
    <row r="235" spans="1:4" x14ac:dyDescent="0.2">
      <c r="A235">
        <v>2016</v>
      </c>
      <c r="B235" t="s">
        <v>186</v>
      </c>
      <c r="C235" t="s">
        <v>153</v>
      </c>
      <c r="D235">
        <v>3932880</v>
      </c>
    </row>
    <row r="236" spans="1:4" x14ac:dyDescent="0.2">
      <c r="A236">
        <v>2016</v>
      </c>
      <c r="B236" t="s">
        <v>187</v>
      </c>
      <c r="C236" t="s">
        <v>154</v>
      </c>
      <c r="D236">
        <v>4881644</v>
      </c>
    </row>
    <row r="237" spans="1:4" x14ac:dyDescent="0.2">
      <c r="A237">
        <v>2016</v>
      </c>
      <c r="B237" t="s">
        <v>188</v>
      </c>
      <c r="C237" t="s">
        <v>155</v>
      </c>
      <c r="D237">
        <v>1228437</v>
      </c>
    </row>
    <row r="238" spans="1:4" x14ac:dyDescent="0.2">
      <c r="A238">
        <v>2016</v>
      </c>
      <c r="B238" t="s">
        <v>189</v>
      </c>
      <c r="C238" t="s">
        <v>156</v>
      </c>
      <c r="D238">
        <v>3954441</v>
      </c>
    </row>
    <row r="239" spans="1:4" x14ac:dyDescent="0.2">
      <c r="A239">
        <v>2016</v>
      </c>
      <c r="B239" t="s">
        <v>190</v>
      </c>
      <c r="C239" t="s">
        <v>157</v>
      </c>
      <c r="D239">
        <v>2870989</v>
      </c>
    </row>
    <row r="240" spans="1:4" x14ac:dyDescent="0.2">
      <c r="A240">
        <v>2016</v>
      </c>
      <c r="B240" t="s">
        <v>191</v>
      </c>
      <c r="C240" t="s">
        <v>158</v>
      </c>
      <c r="D240">
        <v>9329138</v>
      </c>
    </row>
    <row r="241" spans="1:4" x14ac:dyDescent="0.2">
      <c r="A241">
        <v>2016</v>
      </c>
      <c r="B241" t="s">
        <v>192</v>
      </c>
      <c r="C241" t="s">
        <v>159</v>
      </c>
      <c r="D241">
        <v>19860570</v>
      </c>
    </row>
    <row r="242" spans="1:4" x14ac:dyDescent="0.2">
      <c r="A242">
        <v>2016</v>
      </c>
      <c r="B242" t="s">
        <v>193</v>
      </c>
      <c r="C242" t="s">
        <v>160</v>
      </c>
      <c r="D242">
        <v>1719657</v>
      </c>
    </row>
    <row r="243" spans="1:4" x14ac:dyDescent="0.2">
      <c r="A243">
        <v>2016</v>
      </c>
      <c r="B243" t="s">
        <v>194</v>
      </c>
      <c r="C243" t="s">
        <v>161</v>
      </c>
      <c r="D243">
        <v>736862</v>
      </c>
    </row>
    <row r="244" spans="1:4" x14ac:dyDescent="0.2">
      <c r="A244">
        <v>2016</v>
      </c>
      <c r="B244" t="s">
        <v>195</v>
      </c>
      <c r="C244" t="s">
        <v>162</v>
      </c>
      <c r="D244">
        <v>5166168</v>
      </c>
    </row>
    <row r="245" spans="1:4" x14ac:dyDescent="0.2">
      <c r="A245">
        <v>2016</v>
      </c>
      <c r="B245" t="s">
        <v>229</v>
      </c>
      <c r="C245" t="s">
        <v>196</v>
      </c>
      <c r="D245">
        <v>4440646</v>
      </c>
    </row>
    <row r="246" spans="1:4" x14ac:dyDescent="0.2">
      <c r="A246">
        <v>2016</v>
      </c>
      <c r="B246" t="s">
        <v>230</v>
      </c>
      <c r="C246" t="s">
        <v>197</v>
      </c>
      <c r="D246">
        <v>3102362</v>
      </c>
    </row>
    <row r="247" spans="1:4" x14ac:dyDescent="0.2">
      <c r="A247">
        <v>2016</v>
      </c>
      <c r="B247" t="s">
        <v>231</v>
      </c>
      <c r="C247" t="s">
        <v>198</v>
      </c>
      <c r="D247">
        <v>14943178</v>
      </c>
    </row>
    <row r="248" spans="1:4" x14ac:dyDescent="0.2">
      <c r="A248">
        <v>2016</v>
      </c>
      <c r="B248" t="s">
        <v>232</v>
      </c>
      <c r="C248" t="s">
        <v>199</v>
      </c>
      <c r="D248">
        <v>4900590</v>
      </c>
    </row>
    <row r="249" spans="1:4" x14ac:dyDescent="0.2">
      <c r="A249">
        <v>2016</v>
      </c>
      <c r="B249" t="s">
        <v>233</v>
      </c>
      <c r="C249" t="s">
        <v>200</v>
      </c>
      <c r="D249">
        <v>3250885</v>
      </c>
    </row>
    <row r="250" spans="1:4" x14ac:dyDescent="0.2">
      <c r="A250">
        <v>2016</v>
      </c>
      <c r="B250" t="s">
        <v>234</v>
      </c>
      <c r="C250" t="s">
        <v>201</v>
      </c>
      <c r="D250">
        <v>7810384</v>
      </c>
    </row>
    <row r="251" spans="1:4" x14ac:dyDescent="0.2">
      <c r="A251">
        <v>2016</v>
      </c>
      <c r="B251" t="s">
        <v>235</v>
      </c>
      <c r="C251" t="s">
        <v>202</v>
      </c>
      <c r="D251">
        <v>21885759</v>
      </c>
    </row>
    <row r="252" spans="1:4" x14ac:dyDescent="0.2">
      <c r="A252">
        <v>2016</v>
      </c>
      <c r="B252" t="s">
        <v>236</v>
      </c>
      <c r="C252" t="s">
        <v>203</v>
      </c>
      <c r="D252">
        <v>30151467</v>
      </c>
    </row>
    <row r="253" spans="1:4" x14ac:dyDescent="0.2">
      <c r="A253">
        <v>2016</v>
      </c>
      <c r="B253" t="s">
        <v>237</v>
      </c>
      <c r="C253" t="s">
        <v>204</v>
      </c>
      <c r="D253">
        <v>3322136</v>
      </c>
    </row>
    <row r="254" spans="1:4" x14ac:dyDescent="0.2">
      <c r="A254">
        <v>2016</v>
      </c>
      <c r="B254" t="s">
        <v>238</v>
      </c>
      <c r="C254" t="s">
        <v>205</v>
      </c>
      <c r="D254">
        <v>11194761</v>
      </c>
    </row>
    <row r="255" spans="1:4" x14ac:dyDescent="0.2">
      <c r="A255">
        <v>2016</v>
      </c>
      <c r="B255" t="s">
        <v>239</v>
      </c>
      <c r="C255" t="s">
        <v>206</v>
      </c>
      <c r="D255">
        <v>1155087</v>
      </c>
    </row>
    <row r="256" spans="1:4" x14ac:dyDescent="0.2">
      <c r="A256">
        <v>2016</v>
      </c>
      <c r="B256" t="s">
        <v>240</v>
      </c>
      <c r="C256" t="s">
        <v>207</v>
      </c>
      <c r="D256">
        <v>22024113</v>
      </c>
    </row>
    <row r="257" spans="1:4" x14ac:dyDescent="0.2">
      <c r="A257">
        <v>2016</v>
      </c>
      <c r="B257" t="s">
        <v>241</v>
      </c>
      <c r="C257" t="s">
        <v>208</v>
      </c>
      <c r="D257">
        <v>10810731</v>
      </c>
    </row>
    <row r="258" spans="1:4" x14ac:dyDescent="0.2">
      <c r="A258">
        <v>2016</v>
      </c>
      <c r="B258" t="s">
        <v>242</v>
      </c>
      <c r="C258" t="s">
        <v>209</v>
      </c>
      <c r="D258">
        <v>2363564</v>
      </c>
    </row>
    <row r="259" spans="1:4" x14ac:dyDescent="0.2">
      <c r="A259">
        <v>2016</v>
      </c>
      <c r="B259" t="s">
        <v>243</v>
      </c>
      <c r="C259" t="s">
        <v>210</v>
      </c>
      <c r="D259">
        <v>10139578</v>
      </c>
    </row>
    <row r="260" spans="1:4" x14ac:dyDescent="0.2">
      <c r="A260">
        <v>2016</v>
      </c>
      <c r="B260" t="s">
        <v>244</v>
      </c>
      <c r="C260" t="s">
        <v>211</v>
      </c>
      <c r="D260">
        <v>4055293</v>
      </c>
    </row>
    <row r="261" spans="1:4" x14ac:dyDescent="0.2">
      <c r="A261">
        <v>2016</v>
      </c>
      <c r="B261" t="s">
        <v>245</v>
      </c>
      <c r="C261" t="s">
        <v>212</v>
      </c>
      <c r="D261">
        <v>1631486</v>
      </c>
    </row>
    <row r="262" spans="1:4" x14ac:dyDescent="0.2">
      <c r="A262">
        <v>2016</v>
      </c>
      <c r="B262" t="s">
        <v>246</v>
      </c>
      <c r="C262" t="s">
        <v>213</v>
      </c>
      <c r="D262">
        <v>3479223</v>
      </c>
    </row>
    <row r="263" spans="1:4" x14ac:dyDescent="0.2">
      <c r="A263">
        <v>2016</v>
      </c>
      <c r="B263" t="s">
        <v>247</v>
      </c>
      <c r="C263" t="s">
        <v>214</v>
      </c>
      <c r="D263">
        <v>2575948</v>
      </c>
    </row>
    <row r="264" spans="1:4" x14ac:dyDescent="0.2">
      <c r="A264">
        <v>2016</v>
      </c>
      <c r="B264" t="s">
        <v>248</v>
      </c>
      <c r="C264" t="s">
        <v>215</v>
      </c>
      <c r="D264">
        <v>730756</v>
      </c>
    </row>
    <row r="265" spans="1:4" x14ac:dyDescent="0.2">
      <c r="A265">
        <v>2016</v>
      </c>
      <c r="B265" t="s">
        <v>249</v>
      </c>
      <c r="C265" t="s">
        <v>216</v>
      </c>
      <c r="D265">
        <v>12573</v>
      </c>
    </row>
    <row r="266" spans="1:4" x14ac:dyDescent="0.2">
      <c r="A266">
        <v>2016</v>
      </c>
      <c r="B266" t="s">
        <v>250</v>
      </c>
      <c r="C266" t="s">
        <v>217</v>
      </c>
      <c r="D266">
        <v>1075621</v>
      </c>
    </row>
    <row r="267" spans="1:4" x14ac:dyDescent="0.2">
      <c r="A267">
        <v>2016</v>
      </c>
      <c r="B267" t="s">
        <v>251</v>
      </c>
      <c r="C267" t="s">
        <v>218</v>
      </c>
      <c r="D267">
        <v>30668126</v>
      </c>
    </row>
    <row r="268" spans="1:4" x14ac:dyDescent="0.2">
      <c r="A268">
        <v>2016</v>
      </c>
      <c r="B268" t="s">
        <v>252</v>
      </c>
      <c r="C268" t="s">
        <v>219</v>
      </c>
      <c r="D268">
        <v>54918080</v>
      </c>
    </row>
    <row r="269" spans="1:4" x14ac:dyDescent="0.2">
      <c r="A269">
        <v>2016</v>
      </c>
      <c r="B269" t="s">
        <v>253</v>
      </c>
      <c r="C269" t="s">
        <v>220</v>
      </c>
      <c r="D269">
        <v>2986098</v>
      </c>
    </row>
    <row r="270" spans="1:4" x14ac:dyDescent="0.2">
      <c r="A270">
        <v>2016</v>
      </c>
      <c r="B270" t="s">
        <v>254</v>
      </c>
      <c r="C270" t="s">
        <v>221</v>
      </c>
      <c r="D270">
        <v>677508</v>
      </c>
    </row>
    <row r="271" spans="1:4" x14ac:dyDescent="0.2">
      <c r="A271">
        <v>2016</v>
      </c>
      <c r="B271" t="s">
        <v>255</v>
      </c>
      <c r="C271" t="s">
        <v>222</v>
      </c>
      <c r="D271">
        <v>368597</v>
      </c>
    </row>
    <row r="272" spans="1:4" x14ac:dyDescent="0.2">
      <c r="A272">
        <v>2016</v>
      </c>
      <c r="B272" t="s">
        <v>256</v>
      </c>
      <c r="C272" t="s">
        <v>223</v>
      </c>
      <c r="D272">
        <v>2445927</v>
      </c>
    </row>
    <row r="273" spans="1:4" x14ac:dyDescent="0.2">
      <c r="A273">
        <v>2016</v>
      </c>
      <c r="B273" t="s">
        <v>257</v>
      </c>
      <c r="C273" t="s">
        <v>224</v>
      </c>
      <c r="D273">
        <v>480415</v>
      </c>
    </row>
    <row r="274" spans="1:4" x14ac:dyDescent="0.2">
      <c r="A274">
        <v>2016</v>
      </c>
      <c r="B274" t="s">
        <v>258</v>
      </c>
      <c r="C274" t="s">
        <v>225</v>
      </c>
      <c r="D274">
        <v>985087</v>
      </c>
    </row>
    <row r="275" spans="1:4" x14ac:dyDescent="0.2">
      <c r="A275">
        <v>2016</v>
      </c>
      <c r="B275" t="s">
        <v>259</v>
      </c>
      <c r="C275" t="s">
        <v>226</v>
      </c>
      <c r="D275">
        <v>535798</v>
      </c>
    </row>
    <row r="276" spans="1:4" x14ac:dyDescent="0.2">
      <c r="A276">
        <v>2016</v>
      </c>
      <c r="B276" t="s">
        <v>260</v>
      </c>
      <c r="C276" t="s">
        <v>227</v>
      </c>
      <c r="D276">
        <v>7709750</v>
      </c>
    </row>
    <row r="277" spans="1:4" x14ac:dyDescent="0.2">
      <c r="A277">
        <v>2016</v>
      </c>
      <c r="B277" t="s">
        <v>261</v>
      </c>
      <c r="C277" t="s">
        <v>228</v>
      </c>
      <c r="D277">
        <v>3004414</v>
      </c>
    </row>
    <row r="278" spans="1:4" x14ac:dyDescent="0.2">
      <c r="A278">
        <v>2016</v>
      </c>
      <c r="B278" t="s">
        <v>276</v>
      </c>
      <c r="C278" t="s">
        <v>294</v>
      </c>
      <c r="D278">
        <v>9337700</v>
      </c>
    </row>
    <row r="279" spans="1:4" x14ac:dyDescent="0.2">
      <c r="A279">
        <v>2016</v>
      </c>
      <c r="B279" t="s">
        <v>277</v>
      </c>
      <c r="C279" t="s">
        <v>263</v>
      </c>
      <c r="D279">
        <v>1559524</v>
      </c>
    </row>
    <row r="280" spans="1:4" x14ac:dyDescent="0.2">
      <c r="A280">
        <v>2016</v>
      </c>
      <c r="B280" t="s">
        <v>278</v>
      </c>
      <c r="C280" t="s">
        <v>264</v>
      </c>
      <c r="D280">
        <v>271925</v>
      </c>
    </row>
    <row r="281" spans="1:4" x14ac:dyDescent="0.2">
      <c r="A281">
        <v>2016</v>
      </c>
      <c r="B281" t="s">
        <v>279</v>
      </c>
      <c r="C281" t="s">
        <v>295</v>
      </c>
      <c r="D281">
        <v>148330</v>
      </c>
    </row>
    <row r="282" spans="1:4" x14ac:dyDescent="0.2">
      <c r="A282">
        <v>2016</v>
      </c>
      <c r="B282" t="s">
        <v>280</v>
      </c>
      <c r="C282" t="s">
        <v>266</v>
      </c>
      <c r="D282">
        <v>205814</v>
      </c>
    </row>
    <row r="283" spans="1:4" x14ac:dyDescent="0.2">
      <c r="A283">
        <v>2016</v>
      </c>
      <c r="B283" t="s">
        <v>281</v>
      </c>
      <c r="C283" t="s">
        <v>267</v>
      </c>
      <c r="D283">
        <v>115331</v>
      </c>
    </row>
    <row r="284" spans="1:4" x14ac:dyDescent="0.2">
      <c r="A284">
        <v>2016</v>
      </c>
      <c r="B284" t="s">
        <v>282</v>
      </c>
      <c r="C284" t="s">
        <v>268</v>
      </c>
      <c r="D284">
        <v>1101176</v>
      </c>
    </row>
    <row r="285" spans="1:4" x14ac:dyDescent="0.2">
      <c r="A285">
        <v>2016</v>
      </c>
      <c r="B285" t="s">
        <v>283</v>
      </c>
      <c r="C285" t="s">
        <v>269</v>
      </c>
      <c r="D285">
        <v>161677</v>
      </c>
    </row>
    <row r="286" spans="1:4" x14ac:dyDescent="0.2">
      <c r="A286">
        <v>2016</v>
      </c>
      <c r="B286" t="s">
        <v>284</v>
      </c>
      <c r="C286" t="s">
        <v>270</v>
      </c>
      <c r="D286">
        <v>102267</v>
      </c>
    </row>
    <row r="287" spans="1:4" x14ac:dyDescent="0.2">
      <c r="A287">
        <v>2016</v>
      </c>
      <c r="B287" t="s">
        <v>285</v>
      </c>
      <c r="C287" t="s">
        <v>296</v>
      </c>
      <c r="D287">
        <v>29105</v>
      </c>
    </row>
    <row r="288" spans="1:4" x14ac:dyDescent="0.2">
      <c r="A288">
        <v>2016</v>
      </c>
      <c r="B288" t="s">
        <v>286</v>
      </c>
      <c r="C288" t="s">
        <v>272</v>
      </c>
      <c r="D288">
        <v>103416</v>
      </c>
    </row>
    <row r="289" spans="1:4" x14ac:dyDescent="0.2">
      <c r="A289">
        <v>2016</v>
      </c>
      <c r="B289" t="s">
        <v>287</v>
      </c>
      <c r="C289" t="s">
        <v>273</v>
      </c>
      <c r="D289">
        <v>595269</v>
      </c>
    </row>
    <row r="290" spans="1:4" x14ac:dyDescent="0.2">
      <c r="A290">
        <v>2016</v>
      </c>
      <c r="B290" t="s">
        <v>288</v>
      </c>
      <c r="C290" t="s">
        <v>274</v>
      </c>
      <c r="D290">
        <v>248310</v>
      </c>
    </row>
    <row r="291" spans="1:4" x14ac:dyDescent="0.2">
      <c r="A291">
        <v>2016</v>
      </c>
      <c r="B291" t="s">
        <v>289</v>
      </c>
      <c r="C291" t="s">
        <v>275</v>
      </c>
      <c r="D291">
        <v>64037</v>
      </c>
    </row>
    <row r="292" spans="1:4" x14ac:dyDescent="0.2">
      <c r="A292">
        <v>2017</v>
      </c>
      <c r="B292" t="s">
        <v>32</v>
      </c>
      <c r="C292" t="s">
        <v>0</v>
      </c>
      <c r="D292">
        <v>3910649</v>
      </c>
    </row>
    <row r="293" spans="1:4" x14ac:dyDescent="0.2">
      <c r="A293">
        <v>2017</v>
      </c>
      <c r="B293" t="s">
        <v>33</v>
      </c>
      <c r="C293" t="s">
        <v>1</v>
      </c>
      <c r="D293">
        <v>12777409</v>
      </c>
    </row>
    <row r="294" spans="1:4" x14ac:dyDescent="0.2">
      <c r="A294">
        <v>2017</v>
      </c>
      <c r="B294" t="s">
        <v>34</v>
      </c>
      <c r="C294" t="s">
        <v>2</v>
      </c>
      <c r="D294">
        <v>1695928</v>
      </c>
    </row>
    <row r="295" spans="1:4" x14ac:dyDescent="0.2">
      <c r="A295">
        <v>2017</v>
      </c>
      <c r="B295" t="s">
        <v>35</v>
      </c>
      <c r="C295" t="s">
        <v>3</v>
      </c>
      <c r="D295">
        <v>1239255</v>
      </c>
    </row>
    <row r="296" spans="1:4" x14ac:dyDescent="0.2">
      <c r="A296">
        <v>2017</v>
      </c>
      <c r="B296" t="s">
        <v>36</v>
      </c>
      <c r="C296" t="s">
        <v>4</v>
      </c>
      <c r="D296">
        <v>3357315</v>
      </c>
    </row>
    <row r="297" spans="1:4" x14ac:dyDescent="0.2">
      <c r="A297">
        <v>2017</v>
      </c>
      <c r="B297" t="s">
        <v>37</v>
      </c>
      <c r="C297" t="s">
        <v>5</v>
      </c>
      <c r="D297">
        <v>1581020</v>
      </c>
    </row>
    <row r="298" spans="1:4" x14ac:dyDescent="0.2">
      <c r="A298">
        <v>2017</v>
      </c>
      <c r="B298" t="s">
        <v>38</v>
      </c>
      <c r="C298" t="s">
        <v>6</v>
      </c>
      <c r="D298">
        <v>41229265</v>
      </c>
    </row>
    <row r="299" spans="1:4" x14ac:dyDescent="0.2">
      <c r="A299">
        <v>2017</v>
      </c>
      <c r="B299" t="s">
        <v>39</v>
      </c>
      <c r="C299" t="s">
        <v>7</v>
      </c>
      <c r="D299">
        <v>8350365</v>
      </c>
    </row>
    <row r="300" spans="1:4" x14ac:dyDescent="0.2">
      <c r="A300">
        <v>2017</v>
      </c>
      <c r="B300" t="s">
        <v>40</v>
      </c>
      <c r="C300" t="s">
        <v>8</v>
      </c>
      <c r="D300">
        <v>668530</v>
      </c>
    </row>
    <row r="301" spans="1:4" x14ac:dyDescent="0.2">
      <c r="A301">
        <v>2017</v>
      </c>
      <c r="B301" t="s">
        <v>41</v>
      </c>
      <c r="C301" t="s">
        <v>9</v>
      </c>
      <c r="D301">
        <v>6961826</v>
      </c>
    </row>
    <row r="302" spans="1:4" x14ac:dyDescent="0.2">
      <c r="A302">
        <v>2017</v>
      </c>
      <c r="B302" t="s">
        <v>42</v>
      </c>
      <c r="C302" t="s">
        <v>10</v>
      </c>
      <c r="D302">
        <v>562122</v>
      </c>
    </row>
    <row r="303" spans="1:4" x14ac:dyDescent="0.2">
      <c r="A303">
        <v>2017</v>
      </c>
      <c r="B303" t="s">
        <v>43</v>
      </c>
      <c r="C303" t="s">
        <v>11</v>
      </c>
      <c r="D303">
        <v>3907913</v>
      </c>
    </row>
    <row r="304" spans="1:4" x14ac:dyDescent="0.2">
      <c r="A304">
        <v>2017</v>
      </c>
      <c r="B304" t="s">
        <v>44</v>
      </c>
      <c r="C304" t="s">
        <v>12</v>
      </c>
      <c r="D304">
        <v>1390937</v>
      </c>
    </row>
    <row r="305" spans="1:4" x14ac:dyDescent="0.2">
      <c r="A305">
        <v>2017</v>
      </c>
      <c r="B305" t="s">
        <v>45</v>
      </c>
      <c r="C305" t="s">
        <v>13</v>
      </c>
      <c r="D305">
        <v>2045073</v>
      </c>
    </row>
    <row r="306" spans="1:4" x14ac:dyDescent="0.2">
      <c r="A306">
        <v>2017</v>
      </c>
      <c r="B306" t="s">
        <v>46</v>
      </c>
      <c r="C306" t="s">
        <v>14</v>
      </c>
      <c r="D306">
        <v>1545783</v>
      </c>
    </row>
    <row r="307" spans="1:4" x14ac:dyDescent="0.2">
      <c r="A307">
        <v>2017</v>
      </c>
      <c r="B307" t="s">
        <v>47</v>
      </c>
      <c r="C307" t="s">
        <v>15</v>
      </c>
      <c r="D307">
        <v>5418663</v>
      </c>
    </row>
    <row r="308" spans="1:4" x14ac:dyDescent="0.2">
      <c r="A308">
        <v>2017</v>
      </c>
      <c r="B308" t="s">
        <v>48</v>
      </c>
      <c r="C308" t="s">
        <v>16</v>
      </c>
      <c r="D308">
        <v>2956420</v>
      </c>
    </row>
    <row r="309" spans="1:4" x14ac:dyDescent="0.2">
      <c r="A309">
        <v>2017</v>
      </c>
      <c r="B309" t="s">
        <v>49</v>
      </c>
      <c r="C309" t="s">
        <v>17</v>
      </c>
      <c r="D309">
        <v>3120833</v>
      </c>
    </row>
    <row r="310" spans="1:4" x14ac:dyDescent="0.2">
      <c r="A310">
        <v>2017</v>
      </c>
      <c r="B310" t="s">
        <v>50</v>
      </c>
      <c r="C310" t="s">
        <v>18</v>
      </c>
      <c r="D310">
        <v>671742</v>
      </c>
    </row>
    <row r="311" spans="1:4" x14ac:dyDescent="0.2">
      <c r="A311">
        <v>2017</v>
      </c>
      <c r="B311" t="s">
        <v>51</v>
      </c>
      <c r="C311" t="s">
        <v>19</v>
      </c>
      <c r="D311">
        <v>1612141</v>
      </c>
    </row>
    <row r="312" spans="1:4" x14ac:dyDescent="0.2">
      <c r="A312">
        <v>2017</v>
      </c>
      <c r="B312" t="s">
        <v>52</v>
      </c>
      <c r="C312" t="s">
        <v>20</v>
      </c>
      <c r="D312">
        <v>41893508</v>
      </c>
    </row>
    <row r="313" spans="1:4" x14ac:dyDescent="0.2">
      <c r="A313">
        <v>2017</v>
      </c>
      <c r="B313" t="s">
        <v>53</v>
      </c>
      <c r="C313" t="s">
        <v>21</v>
      </c>
      <c r="D313">
        <v>1721269</v>
      </c>
    </row>
    <row r="314" spans="1:4" x14ac:dyDescent="0.2">
      <c r="A314">
        <v>2017</v>
      </c>
      <c r="B314" t="s">
        <v>54</v>
      </c>
      <c r="C314" t="s">
        <v>22</v>
      </c>
      <c r="D314">
        <v>498593</v>
      </c>
    </row>
    <row r="315" spans="1:4" x14ac:dyDescent="0.2">
      <c r="A315">
        <v>2017</v>
      </c>
      <c r="B315" t="s">
        <v>55</v>
      </c>
      <c r="C315" t="s">
        <v>23</v>
      </c>
      <c r="D315">
        <v>6220035</v>
      </c>
    </row>
    <row r="316" spans="1:4" x14ac:dyDescent="0.2">
      <c r="A316">
        <v>2017</v>
      </c>
      <c r="B316" t="s">
        <v>56</v>
      </c>
      <c r="C316" t="s">
        <v>24</v>
      </c>
      <c r="D316">
        <v>1161193</v>
      </c>
    </row>
    <row r="317" spans="1:4" x14ac:dyDescent="0.2">
      <c r="A317">
        <v>2017</v>
      </c>
      <c r="B317" t="s">
        <v>57</v>
      </c>
      <c r="C317" t="s">
        <v>25</v>
      </c>
      <c r="D317">
        <v>1401558</v>
      </c>
    </row>
    <row r="318" spans="1:4" x14ac:dyDescent="0.2">
      <c r="A318">
        <v>2017</v>
      </c>
      <c r="B318" t="s">
        <v>58</v>
      </c>
      <c r="C318" t="s">
        <v>26</v>
      </c>
      <c r="D318">
        <v>3369230</v>
      </c>
    </row>
    <row r="319" spans="1:4" x14ac:dyDescent="0.2">
      <c r="A319">
        <v>2017</v>
      </c>
      <c r="B319" t="s">
        <v>59</v>
      </c>
      <c r="C319" t="s">
        <v>27</v>
      </c>
      <c r="D319">
        <v>1170020</v>
      </c>
    </row>
    <row r="320" spans="1:4" x14ac:dyDescent="0.2">
      <c r="A320">
        <v>2017</v>
      </c>
      <c r="B320" t="s">
        <v>60</v>
      </c>
      <c r="C320" t="s">
        <v>28</v>
      </c>
      <c r="D320">
        <v>206588999</v>
      </c>
    </row>
    <row r="321" spans="1:4" x14ac:dyDescent="0.2">
      <c r="A321">
        <v>2017</v>
      </c>
      <c r="B321" t="s">
        <v>61</v>
      </c>
      <c r="C321" t="s">
        <v>29</v>
      </c>
      <c r="D321">
        <v>10507620</v>
      </c>
    </row>
    <row r="322" spans="1:4" x14ac:dyDescent="0.2">
      <c r="A322">
        <v>2017</v>
      </c>
      <c r="B322" t="s">
        <v>62</v>
      </c>
      <c r="C322" t="s">
        <v>30</v>
      </c>
      <c r="D322">
        <v>1457091</v>
      </c>
    </row>
    <row r="323" spans="1:4" x14ac:dyDescent="0.2">
      <c r="A323">
        <v>2017</v>
      </c>
      <c r="B323" t="s">
        <v>63</v>
      </c>
      <c r="C323" t="s">
        <v>31</v>
      </c>
      <c r="D323">
        <v>3426522</v>
      </c>
    </row>
    <row r="324" spans="1:4" x14ac:dyDescent="0.2">
      <c r="A324">
        <v>2017</v>
      </c>
      <c r="B324" t="s">
        <v>97</v>
      </c>
      <c r="C324" t="s">
        <v>64</v>
      </c>
      <c r="D324">
        <v>5928741</v>
      </c>
    </row>
    <row r="325" spans="1:4" x14ac:dyDescent="0.2">
      <c r="A325">
        <v>2017</v>
      </c>
      <c r="B325" t="s">
        <v>98</v>
      </c>
      <c r="C325" t="s">
        <v>65</v>
      </c>
      <c r="D325">
        <v>12336949</v>
      </c>
    </row>
    <row r="326" spans="1:4" x14ac:dyDescent="0.2">
      <c r="A326">
        <v>2017</v>
      </c>
      <c r="B326" t="s">
        <v>99</v>
      </c>
      <c r="C326" t="s">
        <v>66</v>
      </c>
      <c r="D326">
        <v>1751588</v>
      </c>
    </row>
    <row r="327" spans="1:4" x14ac:dyDescent="0.2">
      <c r="A327">
        <v>2017</v>
      </c>
      <c r="B327" t="s">
        <v>100</v>
      </c>
      <c r="C327" t="s">
        <v>67</v>
      </c>
      <c r="D327">
        <v>4335827</v>
      </c>
    </row>
    <row r="328" spans="1:4" x14ac:dyDescent="0.2">
      <c r="A328">
        <v>2017</v>
      </c>
      <c r="B328" t="s">
        <v>101</v>
      </c>
      <c r="C328" t="s">
        <v>68</v>
      </c>
      <c r="D328">
        <v>2111572</v>
      </c>
    </row>
    <row r="329" spans="1:4" x14ac:dyDescent="0.2">
      <c r="A329">
        <v>2017</v>
      </c>
      <c r="B329" t="s">
        <v>102</v>
      </c>
      <c r="C329" t="s">
        <v>69</v>
      </c>
      <c r="D329">
        <v>1289686</v>
      </c>
    </row>
    <row r="330" spans="1:4" x14ac:dyDescent="0.2">
      <c r="A330">
        <v>2017</v>
      </c>
      <c r="B330" t="s">
        <v>103</v>
      </c>
      <c r="C330" t="s">
        <v>70</v>
      </c>
      <c r="D330">
        <v>2466470</v>
      </c>
    </row>
    <row r="331" spans="1:4" x14ac:dyDescent="0.2">
      <c r="A331">
        <v>2017</v>
      </c>
      <c r="B331" t="s">
        <v>104</v>
      </c>
      <c r="C331" t="s">
        <v>71</v>
      </c>
      <c r="D331">
        <v>1774972</v>
      </c>
    </row>
    <row r="332" spans="1:4" x14ac:dyDescent="0.2">
      <c r="A332">
        <v>2017</v>
      </c>
      <c r="B332" t="s">
        <v>105</v>
      </c>
      <c r="C332" t="s">
        <v>72</v>
      </c>
      <c r="D332">
        <v>4073400</v>
      </c>
    </row>
    <row r="333" spans="1:4" x14ac:dyDescent="0.2">
      <c r="A333">
        <v>2017</v>
      </c>
      <c r="B333" t="s">
        <v>106</v>
      </c>
      <c r="C333" t="s">
        <v>73</v>
      </c>
      <c r="D333">
        <v>14428450</v>
      </c>
    </row>
    <row r="334" spans="1:4" x14ac:dyDescent="0.2">
      <c r="A334">
        <v>2017</v>
      </c>
      <c r="B334" t="s">
        <v>107</v>
      </c>
      <c r="C334" t="s">
        <v>74</v>
      </c>
      <c r="D334">
        <v>37325862</v>
      </c>
    </row>
    <row r="335" spans="1:4" x14ac:dyDescent="0.2">
      <c r="A335">
        <v>2017</v>
      </c>
      <c r="B335" t="s">
        <v>108</v>
      </c>
      <c r="C335" t="s">
        <v>75</v>
      </c>
      <c r="D335">
        <v>5250139</v>
      </c>
    </row>
    <row r="336" spans="1:4" x14ac:dyDescent="0.2">
      <c r="A336">
        <v>2017</v>
      </c>
      <c r="B336" t="s">
        <v>109</v>
      </c>
      <c r="C336" t="s">
        <v>76</v>
      </c>
      <c r="D336">
        <v>277134</v>
      </c>
    </row>
    <row r="337" spans="1:4" x14ac:dyDescent="0.2">
      <c r="A337">
        <v>2017</v>
      </c>
      <c r="B337" t="s">
        <v>110</v>
      </c>
      <c r="C337" t="s">
        <v>77</v>
      </c>
      <c r="D337">
        <v>4194927</v>
      </c>
    </row>
    <row r="338" spans="1:4" x14ac:dyDescent="0.2">
      <c r="A338">
        <v>2017</v>
      </c>
      <c r="B338" t="s">
        <v>111</v>
      </c>
      <c r="C338" t="s">
        <v>78</v>
      </c>
      <c r="D338">
        <v>3250530</v>
      </c>
    </row>
    <row r="339" spans="1:4" x14ac:dyDescent="0.2">
      <c r="A339">
        <v>2017</v>
      </c>
      <c r="B339" t="s">
        <v>112</v>
      </c>
      <c r="C339" t="s">
        <v>79</v>
      </c>
      <c r="D339">
        <v>640689</v>
      </c>
    </row>
    <row r="340" spans="1:4" x14ac:dyDescent="0.2">
      <c r="A340">
        <v>2017</v>
      </c>
      <c r="B340" t="s">
        <v>113</v>
      </c>
      <c r="C340" t="s">
        <v>80</v>
      </c>
      <c r="D340">
        <v>1706234</v>
      </c>
    </row>
    <row r="341" spans="1:4" x14ac:dyDescent="0.2">
      <c r="A341">
        <v>2017</v>
      </c>
      <c r="B341" t="s">
        <v>114</v>
      </c>
      <c r="C341" t="s">
        <v>81</v>
      </c>
      <c r="D341">
        <v>1097411</v>
      </c>
    </row>
    <row r="342" spans="1:4" x14ac:dyDescent="0.2">
      <c r="A342">
        <v>2017</v>
      </c>
      <c r="B342" t="s">
        <v>115</v>
      </c>
      <c r="C342" t="s">
        <v>82</v>
      </c>
      <c r="D342">
        <v>2656179</v>
      </c>
    </row>
    <row r="343" spans="1:4" x14ac:dyDescent="0.2">
      <c r="A343">
        <v>2017</v>
      </c>
      <c r="B343" t="s">
        <v>116</v>
      </c>
      <c r="C343" t="s">
        <v>83</v>
      </c>
      <c r="D343">
        <v>78008862</v>
      </c>
    </row>
    <row r="344" spans="1:4" x14ac:dyDescent="0.2">
      <c r="A344">
        <v>2017</v>
      </c>
      <c r="B344" t="s">
        <v>117</v>
      </c>
      <c r="C344" t="s">
        <v>84</v>
      </c>
      <c r="D344">
        <v>3903095</v>
      </c>
    </row>
    <row r="345" spans="1:4" x14ac:dyDescent="0.2">
      <c r="A345">
        <v>2017</v>
      </c>
      <c r="B345" t="s">
        <v>118</v>
      </c>
      <c r="C345" t="s">
        <v>85</v>
      </c>
      <c r="D345">
        <v>1105072</v>
      </c>
    </row>
    <row r="346" spans="1:4" x14ac:dyDescent="0.2">
      <c r="A346">
        <v>2017</v>
      </c>
      <c r="B346" t="s">
        <v>119</v>
      </c>
      <c r="C346" t="s">
        <v>86</v>
      </c>
      <c r="D346">
        <v>1435916</v>
      </c>
    </row>
    <row r="347" spans="1:4" x14ac:dyDescent="0.2">
      <c r="A347">
        <v>2017</v>
      </c>
      <c r="B347" t="s">
        <v>120</v>
      </c>
      <c r="C347" t="s">
        <v>87</v>
      </c>
      <c r="D347">
        <v>952823</v>
      </c>
    </row>
    <row r="348" spans="1:4" x14ac:dyDescent="0.2">
      <c r="A348">
        <v>2017</v>
      </c>
      <c r="B348" t="s">
        <v>121</v>
      </c>
      <c r="C348" t="s">
        <v>88</v>
      </c>
      <c r="D348">
        <v>3197361</v>
      </c>
    </row>
    <row r="349" spans="1:4" x14ac:dyDescent="0.2">
      <c r="A349">
        <v>2017</v>
      </c>
      <c r="B349" t="s">
        <v>122</v>
      </c>
      <c r="C349" t="s">
        <v>89</v>
      </c>
      <c r="D349">
        <v>1056672</v>
      </c>
    </row>
    <row r="350" spans="1:4" x14ac:dyDescent="0.2">
      <c r="A350">
        <v>2017</v>
      </c>
      <c r="B350" t="s">
        <v>123</v>
      </c>
      <c r="C350" t="s">
        <v>90</v>
      </c>
      <c r="D350">
        <v>7165556</v>
      </c>
    </row>
    <row r="351" spans="1:4" x14ac:dyDescent="0.2">
      <c r="A351">
        <v>2017</v>
      </c>
      <c r="B351" t="s">
        <v>124</v>
      </c>
      <c r="C351" t="s">
        <v>91</v>
      </c>
      <c r="D351">
        <v>1641569</v>
      </c>
    </row>
    <row r="352" spans="1:4" x14ac:dyDescent="0.2">
      <c r="A352">
        <v>2017</v>
      </c>
      <c r="B352" t="s">
        <v>125</v>
      </c>
      <c r="C352" t="s">
        <v>92</v>
      </c>
      <c r="D352">
        <v>2263303</v>
      </c>
    </row>
    <row r="353" spans="1:4" x14ac:dyDescent="0.2">
      <c r="A353">
        <v>2017</v>
      </c>
      <c r="B353" t="s">
        <v>126</v>
      </c>
      <c r="C353" t="s">
        <v>93</v>
      </c>
      <c r="D353">
        <v>1311996</v>
      </c>
    </row>
    <row r="354" spans="1:4" x14ac:dyDescent="0.2">
      <c r="A354">
        <v>2017</v>
      </c>
      <c r="B354" t="s">
        <v>127</v>
      </c>
      <c r="C354" t="s">
        <v>94</v>
      </c>
      <c r="D354">
        <v>1137373</v>
      </c>
    </row>
    <row r="355" spans="1:4" x14ac:dyDescent="0.2">
      <c r="A355">
        <v>2017</v>
      </c>
      <c r="B355" t="s">
        <v>128</v>
      </c>
      <c r="C355" t="s">
        <v>95</v>
      </c>
      <c r="D355">
        <v>1639552</v>
      </c>
    </row>
    <row r="356" spans="1:4" x14ac:dyDescent="0.2">
      <c r="A356">
        <v>2017</v>
      </c>
      <c r="B356" t="s">
        <v>129</v>
      </c>
      <c r="C356" t="s">
        <v>96</v>
      </c>
      <c r="D356">
        <v>3794387</v>
      </c>
    </row>
    <row r="357" spans="1:4" x14ac:dyDescent="0.2">
      <c r="A357">
        <v>2017</v>
      </c>
      <c r="B357" t="s">
        <v>163</v>
      </c>
      <c r="C357" t="s">
        <v>130</v>
      </c>
      <c r="D357">
        <v>2653156</v>
      </c>
    </row>
    <row r="358" spans="1:4" x14ac:dyDescent="0.2">
      <c r="A358">
        <v>2017</v>
      </c>
      <c r="B358" t="s">
        <v>164</v>
      </c>
      <c r="C358" t="s">
        <v>131</v>
      </c>
      <c r="D358">
        <v>1933278</v>
      </c>
    </row>
    <row r="359" spans="1:4" x14ac:dyDescent="0.2">
      <c r="A359">
        <v>2017</v>
      </c>
      <c r="B359" t="s">
        <v>165</v>
      </c>
      <c r="C359" t="s">
        <v>132</v>
      </c>
      <c r="D359">
        <v>5969403</v>
      </c>
    </row>
    <row r="360" spans="1:4" x14ac:dyDescent="0.2">
      <c r="A360">
        <v>2017</v>
      </c>
      <c r="B360" t="s">
        <v>166</v>
      </c>
      <c r="C360" t="s">
        <v>133</v>
      </c>
      <c r="D360">
        <v>3462670</v>
      </c>
    </row>
    <row r="361" spans="1:4" x14ac:dyDescent="0.2">
      <c r="A361">
        <v>2017</v>
      </c>
      <c r="B361" t="s">
        <v>167</v>
      </c>
      <c r="C361" t="s">
        <v>134</v>
      </c>
      <c r="D361">
        <v>1661567</v>
      </c>
    </row>
    <row r="362" spans="1:4" x14ac:dyDescent="0.2">
      <c r="A362">
        <v>2017</v>
      </c>
      <c r="B362" t="s">
        <v>168</v>
      </c>
      <c r="C362" t="s">
        <v>135</v>
      </c>
      <c r="D362">
        <v>4667619</v>
      </c>
    </row>
    <row r="363" spans="1:4" x14ac:dyDescent="0.2">
      <c r="A363">
        <v>2017</v>
      </c>
      <c r="B363" t="s">
        <v>169</v>
      </c>
      <c r="C363" t="s">
        <v>136</v>
      </c>
      <c r="D363">
        <v>74811537</v>
      </c>
    </row>
    <row r="364" spans="1:4" x14ac:dyDescent="0.2">
      <c r="A364">
        <v>2017</v>
      </c>
      <c r="B364" t="s">
        <v>170</v>
      </c>
      <c r="C364" t="s">
        <v>137</v>
      </c>
      <c r="D364">
        <v>3142158</v>
      </c>
    </row>
    <row r="365" spans="1:4" x14ac:dyDescent="0.2">
      <c r="A365">
        <v>2017</v>
      </c>
      <c r="B365" t="s">
        <v>171</v>
      </c>
      <c r="C365" t="s">
        <v>138</v>
      </c>
      <c r="D365">
        <v>828847</v>
      </c>
    </row>
    <row r="366" spans="1:4" x14ac:dyDescent="0.2">
      <c r="A366">
        <v>2017</v>
      </c>
      <c r="B366" t="s">
        <v>172</v>
      </c>
      <c r="C366" t="s">
        <v>139</v>
      </c>
      <c r="D366">
        <v>950449</v>
      </c>
    </row>
    <row r="367" spans="1:4" x14ac:dyDescent="0.2">
      <c r="A367">
        <v>2017</v>
      </c>
      <c r="B367" t="s">
        <v>173</v>
      </c>
      <c r="C367" t="s">
        <v>140</v>
      </c>
      <c r="D367">
        <v>11120197</v>
      </c>
    </row>
    <row r="368" spans="1:4" x14ac:dyDescent="0.2">
      <c r="A368">
        <v>2017</v>
      </c>
      <c r="B368" t="s">
        <v>174</v>
      </c>
      <c r="C368" t="s">
        <v>141</v>
      </c>
      <c r="D368">
        <v>2327351</v>
      </c>
    </row>
    <row r="369" spans="1:4" x14ac:dyDescent="0.2">
      <c r="A369">
        <v>2017</v>
      </c>
      <c r="B369" t="s">
        <v>175</v>
      </c>
      <c r="C369" t="s">
        <v>142</v>
      </c>
      <c r="D369">
        <v>9314905</v>
      </c>
    </row>
    <row r="370" spans="1:4" x14ac:dyDescent="0.2">
      <c r="A370">
        <v>2017</v>
      </c>
      <c r="B370" t="s">
        <v>176</v>
      </c>
      <c r="C370" t="s">
        <v>143</v>
      </c>
      <c r="D370">
        <v>2606249</v>
      </c>
    </row>
    <row r="371" spans="1:4" x14ac:dyDescent="0.2">
      <c r="A371">
        <v>2017</v>
      </c>
      <c r="B371" t="s">
        <v>177</v>
      </c>
      <c r="C371" t="s">
        <v>144</v>
      </c>
      <c r="D371">
        <v>2881327</v>
      </c>
    </row>
    <row r="372" spans="1:4" x14ac:dyDescent="0.2">
      <c r="A372">
        <v>2017</v>
      </c>
      <c r="B372" t="s">
        <v>178</v>
      </c>
      <c r="C372" t="s">
        <v>145</v>
      </c>
      <c r="D372">
        <v>4935266</v>
      </c>
    </row>
    <row r="373" spans="1:4" x14ac:dyDescent="0.2">
      <c r="A373">
        <v>2017</v>
      </c>
      <c r="B373" t="s">
        <v>179</v>
      </c>
      <c r="C373" t="s">
        <v>146</v>
      </c>
      <c r="D373">
        <v>3268124</v>
      </c>
    </row>
    <row r="374" spans="1:4" x14ac:dyDescent="0.2">
      <c r="A374">
        <v>2017</v>
      </c>
      <c r="B374" t="s">
        <v>180</v>
      </c>
      <c r="C374" t="s">
        <v>147</v>
      </c>
      <c r="D374">
        <v>1853926</v>
      </c>
    </row>
    <row r="375" spans="1:4" x14ac:dyDescent="0.2">
      <c r="A375">
        <v>2017</v>
      </c>
      <c r="B375" t="s">
        <v>181</v>
      </c>
      <c r="C375" t="s">
        <v>148</v>
      </c>
      <c r="D375">
        <v>18178350</v>
      </c>
    </row>
    <row r="376" spans="1:4" x14ac:dyDescent="0.2">
      <c r="A376">
        <v>2017</v>
      </c>
      <c r="B376" t="s">
        <v>182</v>
      </c>
      <c r="C376" t="s">
        <v>149</v>
      </c>
      <c r="D376">
        <v>21806528</v>
      </c>
    </row>
    <row r="377" spans="1:4" x14ac:dyDescent="0.2">
      <c r="A377">
        <v>2017</v>
      </c>
      <c r="B377" t="s">
        <v>183</v>
      </c>
      <c r="C377" t="s">
        <v>150</v>
      </c>
      <c r="D377">
        <v>1147011</v>
      </c>
    </row>
    <row r="378" spans="1:4" x14ac:dyDescent="0.2">
      <c r="A378">
        <v>2017</v>
      </c>
      <c r="B378" t="s">
        <v>184</v>
      </c>
      <c r="C378" t="s">
        <v>151</v>
      </c>
      <c r="D378">
        <v>1108719</v>
      </c>
    </row>
    <row r="379" spans="1:4" x14ac:dyDescent="0.2">
      <c r="A379">
        <v>2017</v>
      </c>
      <c r="B379" t="s">
        <v>185</v>
      </c>
      <c r="C379" t="s">
        <v>152</v>
      </c>
      <c r="D379">
        <v>3831673</v>
      </c>
    </row>
    <row r="380" spans="1:4" x14ac:dyDescent="0.2">
      <c r="A380">
        <v>2017</v>
      </c>
      <c r="B380" t="s">
        <v>186</v>
      </c>
      <c r="C380" t="s">
        <v>153</v>
      </c>
      <c r="D380">
        <v>4174597</v>
      </c>
    </row>
    <row r="381" spans="1:4" x14ac:dyDescent="0.2">
      <c r="A381">
        <v>2017</v>
      </c>
      <c r="B381" t="s">
        <v>187</v>
      </c>
      <c r="C381" t="s">
        <v>154</v>
      </c>
      <c r="D381">
        <v>5122939</v>
      </c>
    </row>
    <row r="382" spans="1:4" x14ac:dyDescent="0.2">
      <c r="A382">
        <v>2017</v>
      </c>
      <c r="B382" t="s">
        <v>188</v>
      </c>
      <c r="C382" t="s">
        <v>155</v>
      </c>
      <c r="D382">
        <v>1395922</v>
      </c>
    </row>
    <row r="383" spans="1:4" x14ac:dyDescent="0.2">
      <c r="A383">
        <v>2017</v>
      </c>
      <c r="B383" t="s">
        <v>189</v>
      </c>
      <c r="C383" t="s">
        <v>156</v>
      </c>
      <c r="D383">
        <v>3993223</v>
      </c>
    </row>
    <row r="384" spans="1:4" x14ac:dyDescent="0.2">
      <c r="A384">
        <v>2017</v>
      </c>
      <c r="B384" t="s">
        <v>190</v>
      </c>
      <c r="C384" t="s">
        <v>157</v>
      </c>
      <c r="D384">
        <v>3017268</v>
      </c>
    </row>
    <row r="385" spans="1:4" x14ac:dyDescent="0.2">
      <c r="A385">
        <v>2017</v>
      </c>
      <c r="B385" t="s">
        <v>191</v>
      </c>
      <c r="C385" t="s">
        <v>158</v>
      </c>
      <c r="D385">
        <v>9689007</v>
      </c>
    </row>
    <row r="386" spans="1:4" x14ac:dyDescent="0.2">
      <c r="A386">
        <v>2017</v>
      </c>
      <c r="B386" t="s">
        <v>192</v>
      </c>
      <c r="C386" t="s">
        <v>159</v>
      </c>
      <c r="D386">
        <v>21023667</v>
      </c>
    </row>
    <row r="387" spans="1:4" x14ac:dyDescent="0.2">
      <c r="A387">
        <v>2017</v>
      </c>
      <c r="B387" t="s">
        <v>193</v>
      </c>
      <c r="C387" t="s">
        <v>160</v>
      </c>
      <c r="D387">
        <v>1789628</v>
      </c>
    </row>
    <row r="388" spans="1:4" x14ac:dyDescent="0.2">
      <c r="A388">
        <v>2017</v>
      </c>
      <c r="B388" t="s">
        <v>194</v>
      </c>
      <c r="C388" t="s">
        <v>161</v>
      </c>
      <c r="D388">
        <v>752811</v>
      </c>
    </row>
    <row r="389" spans="1:4" x14ac:dyDescent="0.2">
      <c r="A389">
        <v>2017</v>
      </c>
      <c r="B389" t="s">
        <v>195</v>
      </c>
      <c r="C389" t="s">
        <v>162</v>
      </c>
      <c r="D389">
        <v>5466667</v>
      </c>
    </row>
    <row r="390" spans="1:4" x14ac:dyDescent="0.2">
      <c r="A390">
        <v>2017</v>
      </c>
      <c r="B390" t="s">
        <v>229</v>
      </c>
      <c r="C390" t="s">
        <v>196</v>
      </c>
      <c r="D390">
        <v>4510278</v>
      </c>
    </row>
    <row r="391" spans="1:4" x14ac:dyDescent="0.2">
      <c r="A391">
        <v>2017</v>
      </c>
      <c r="B391" t="s">
        <v>230</v>
      </c>
      <c r="C391" t="s">
        <v>197</v>
      </c>
      <c r="D391">
        <v>3284717</v>
      </c>
    </row>
    <row r="392" spans="1:4" x14ac:dyDescent="0.2">
      <c r="A392">
        <v>2017</v>
      </c>
      <c r="B392" t="s">
        <v>231</v>
      </c>
      <c r="C392" t="s">
        <v>198</v>
      </c>
      <c r="D392">
        <v>15806468</v>
      </c>
    </row>
    <row r="393" spans="1:4" x14ac:dyDescent="0.2">
      <c r="A393">
        <v>2017</v>
      </c>
      <c r="B393" t="s">
        <v>232</v>
      </c>
      <c r="C393" t="s">
        <v>199</v>
      </c>
      <c r="D393">
        <v>5374619</v>
      </c>
    </row>
    <row r="394" spans="1:4" x14ac:dyDescent="0.2">
      <c r="A394">
        <v>2017</v>
      </c>
      <c r="B394" t="s">
        <v>233</v>
      </c>
      <c r="C394" t="s">
        <v>200</v>
      </c>
      <c r="D394">
        <v>3552876</v>
      </c>
    </row>
    <row r="395" spans="1:4" x14ac:dyDescent="0.2">
      <c r="A395">
        <v>2017</v>
      </c>
      <c r="B395" t="s">
        <v>234</v>
      </c>
      <c r="C395" t="s">
        <v>201</v>
      </c>
      <c r="D395">
        <v>8073021</v>
      </c>
    </row>
    <row r="396" spans="1:4" x14ac:dyDescent="0.2">
      <c r="A396">
        <v>2017</v>
      </c>
      <c r="B396" t="s">
        <v>235</v>
      </c>
      <c r="C396" t="s">
        <v>202</v>
      </c>
      <c r="D396">
        <v>23034462</v>
      </c>
    </row>
    <row r="397" spans="1:4" x14ac:dyDescent="0.2">
      <c r="A397">
        <v>2017</v>
      </c>
      <c r="B397" t="s">
        <v>236</v>
      </c>
      <c r="C397" t="s">
        <v>203</v>
      </c>
      <c r="D397">
        <v>30730034</v>
      </c>
    </row>
    <row r="398" spans="1:4" x14ac:dyDescent="0.2">
      <c r="A398">
        <v>2017</v>
      </c>
      <c r="B398" t="s">
        <v>237</v>
      </c>
      <c r="C398" t="s">
        <v>204</v>
      </c>
      <c r="D398">
        <v>3245040</v>
      </c>
    </row>
    <row r="399" spans="1:4" x14ac:dyDescent="0.2">
      <c r="A399">
        <v>2017</v>
      </c>
      <c r="B399" t="s">
        <v>238</v>
      </c>
      <c r="C399" t="s">
        <v>205</v>
      </c>
      <c r="D399">
        <v>11424563</v>
      </c>
    </row>
    <row r="400" spans="1:4" x14ac:dyDescent="0.2">
      <c r="A400">
        <v>2017</v>
      </c>
      <c r="B400" t="s">
        <v>239</v>
      </c>
      <c r="C400" t="s">
        <v>206</v>
      </c>
      <c r="D400">
        <v>1260728</v>
      </c>
    </row>
    <row r="401" spans="1:4" x14ac:dyDescent="0.2">
      <c r="A401">
        <v>2017</v>
      </c>
      <c r="B401" t="s">
        <v>240</v>
      </c>
      <c r="C401" t="s">
        <v>207</v>
      </c>
      <c r="D401">
        <v>22693062</v>
      </c>
    </row>
    <row r="402" spans="1:4" x14ac:dyDescent="0.2">
      <c r="A402">
        <v>2017</v>
      </c>
      <c r="B402" t="s">
        <v>241</v>
      </c>
      <c r="C402" t="s">
        <v>208</v>
      </c>
      <c r="D402">
        <v>11471964</v>
      </c>
    </row>
    <row r="403" spans="1:4" x14ac:dyDescent="0.2">
      <c r="A403">
        <v>2017</v>
      </c>
      <c r="B403" t="s">
        <v>242</v>
      </c>
      <c r="C403" t="s">
        <v>209</v>
      </c>
      <c r="D403">
        <v>2451620</v>
      </c>
    </row>
    <row r="404" spans="1:4" x14ac:dyDescent="0.2">
      <c r="A404">
        <v>2017</v>
      </c>
      <c r="B404" t="s">
        <v>243</v>
      </c>
      <c r="C404" t="s">
        <v>210</v>
      </c>
      <c r="D404">
        <v>10645526</v>
      </c>
    </row>
    <row r="405" spans="1:4" x14ac:dyDescent="0.2">
      <c r="A405">
        <v>2017</v>
      </c>
      <c r="B405" t="s">
        <v>244</v>
      </c>
      <c r="C405" t="s">
        <v>211</v>
      </c>
      <c r="D405">
        <v>4205358</v>
      </c>
    </row>
    <row r="406" spans="1:4" x14ac:dyDescent="0.2">
      <c r="A406">
        <v>2017</v>
      </c>
      <c r="B406" t="s">
        <v>245</v>
      </c>
      <c r="C406" t="s">
        <v>212</v>
      </c>
      <c r="D406">
        <v>1676401</v>
      </c>
    </row>
    <row r="407" spans="1:4" x14ac:dyDescent="0.2">
      <c r="A407">
        <v>2017</v>
      </c>
      <c r="B407" t="s">
        <v>246</v>
      </c>
      <c r="C407" t="s">
        <v>213</v>
      </c>
      <c r="D407">
        <v>3654087</v>
      </c>
    </row>
    <row r="408" spans="1:4" x14ac:dyDescent="0.2">
      <c r="A408">
        <v>2017</v>
      </c>
      <c r="B408" t="s">
        <v>247</v>
      </c>
      <c r="C408" t="s">
        <v>214</v>
      </c>
      <c r="D408">
        <v>2696034</v>
      </c>
    </row>
    <row r="409" spans="1:4" x14ac:dyDescent="0.2">
      <c r="A409">
        <v>2017</v>
      </c>
      <c r="B409" t="s">
        <v>248</v>
      </c>
      <c r="C409" t="s">
        <v>215</v>
      </c>
      <c r="D409">
        <v>817457</v>
      </c>
    </row>
    <row r="410" spans="1:4" x14ac:dyDescent="0.2">
      <c r="A410">
        <v>2017</v>
      </c>
      <c r="B410" t="s">
        <v>249</v>
      </c>
      <c r="C410" t="s">
        <v>216</v>
      </c>
      <c r="D410">
        <v>13674</v>
      </c>
    </row>
    <row r="411" spans="1:4" x14ac:dyDescent="0.2">
      <c r="A411">
        <v>2017</v>
      </c>
      <c r="B411" t="s">
        <v>250</v>
      </c>
      <c r="C411" t="s">
        <v>217</v>
      </c>
      <c r="D411">
        <v>1093471</v>
      </c>
    </row>
    <row r="412" spans="1:4" x14ac:dyDescent="0.2">
      <c r="A412">
        <v>2017</v>
      </c>
      <c r="B412" t="s">
        <v>251</v>
      </c>
      <c r="C412" t="s">
        <v>218</v>
      </c>
      <c r="D412">
        <v>32755761</v>
      </c>
    </row>
    <row r="413" spans="1:4" x14ac:dyDescent="0.2">
      <c r="A413">
        <v>2017</v>
      </c>
      <c r="B413" t="s">
        <v>252</v>
      </c>
      <c r="C413" t="s">
        <v>219</v>
      </c>
      <c r="D413">
        <v>57883454</v>
      </c>
    </row>
    <row r="414" spans="1:4" x14ac:dyDescent="0.2">
      <c r="A414">
        <v>2017</v>
      </c>
      <c r="B414" t="s">
        <v>253</v>
      </c>
      <c r="C414" t="s">
        <v>220</v>
      </c>
      <c r="D414">
        <v>2966471</v>
      </c>
    </row>
    <row r="415" spans="1:4" x14ac:dyDescent="0.2">
      <c r="A415">
        <v>2017</v>
      </c>
      <c r="B415" t="s">
        <v>254</v>
      </c>
      <c r="C415" t="s">
        <v>221</v>
      </c>
      <c r="D415">
        <v>781596</v>
      </c>
    </row>
    <row r="416" spans="1:4" x14ac:dyDescent="0.2">
      <c r="A416">
        <v>2017</v>
      </c>
      <c r="B416" t="s">
        <v>255</v>
      </c>
      <c r="C416" t="s">
        <v>222</v>
      </c>
      <c r="D416">
        <v>400197</v>
      </c>
    </row>
    <row r="417" spans="1:4" x14ac:dyDescent="0.2">
      <c r="A417">
        <v>2017</v>
      </c>
      <c r="B417" t="s">
        <v>256</v>
      </c>
      <c r="C417" t="s">
        <v>223</v>
      </c>
      <c r="D417">
        <v>2598444</v>
      </c>
    </row>
    <row r="418" spans="1:4" x14ac:dyDescent="0.2">
      <c r="A418">
        <v>2017</v>
      </c>
      <c r="B418" t="s">
        <v>257</v>
      </c>
      <c r="C418" t="s">
        <v>224</v>
      </c>
      <c r="D418">
        <v>516211</v>
      </c>
    </row>
    <row r="419" spans="1:4" x14ac:dyDescent="0.2">
      <c r="A419">
        <v>2017</v>
      </c>
      <c r="B419" t="s">
        <v>258</v>
      </c>
      <c r="C419" t="s">
        <v>225</v>
      </c>
      <c r="D419">
        <v>1029916</v>
      </c>
    </row>
    <row r="420" spans="1:4" x14ac:dyDescent="0.2">
      <c r="A420">
        <v>2017</v>
      </c>
      <c r="B420" t="s">
        <v>259</v>
      </c>
      <c r="C420" t="s">
        <v>226</v>
      </c>
      <c r="D420">
        <v>545299</v>
      </c>
    </row>
    <row r="421" spans="1:4" x14ac:dyDescent="0.2">
      <c r="A421">
        <v>2017</v>
      </c>
      <c r="B421" t="s">
        <v>260</v>
      </c>
      <c r="C421" t="s">
        <v>227</v>
      </c>
      <c r="D421">
        <v>7962614</v>
      </c>
    </row>
    <row r="422" spans="1:4" x14ac:dyDescent="0.2">
      <c r="A422">
        <v>2017</v>
      </c>
      <c r="B422" t="s">
        <v>261</v>
      </c>
      <c r="C422" t="s">
        <v>228</v>
      </c>
      <c r="D422">
        <v>3172295</v>
      </c>
    </row>
    <row r="423" spans="1:4" x14ac:dyDescent="0.2">
      <c r="A423">
        <v>2017</v>
      </c>
      <c r="B423" t="s">
        <v>276</v>
      </c>
      <c r="C423" t="s">
        <v>294</v>
      </c>
      <c r="D423">
        <v>9826488</v>
      </c>
    </row>
    <row r="424" spans="1:4" x14ac:dyDescent="0.2">
      <c r="A424">
        <v>2017</v>
      </c>
      <c r="B424" t="s">
        <v>277</v>
      </c>
      <c r="C424" t="s">
        <v>263</v>
      </c>
      <c r="D424">
        <v>1664914</v>
      </c>
    </row>
    <row r="425" spans="1:4" x14ac:dyDescent="0.2">
      <c r="A425">
        <v>2017</v>
      </c>
      <c r="B425" t="s">
        <v>278</v>
      </c>
      <c r="C425" t="s">
        <v>264</v>
      </c>
      <c r="D425">
        <v>285538</v>
      </c>
    </row>
    <row r="426" spans="1:4" x14ac:dyDescent="0.2">
      <c r="A426">
        <v>2017</v>
      </c>
      <c r="B426" t="s">
        <v>279</v>
      </c>
      <c r="C426" t="s">
        <v>295</v>
      </c>
      <c r="D426">
        <v>166936</v>
      </c>
    </row>
    <row r="427" spans="1:4" x14ac:dyDescent="0.2">
      <c r="A427">
        <v>2017</v>
      </c>
      <c r="B427" t="s">
        <v>280</v>
      </c>
      <c r="C427" t="s">
        <v>266</v>
      </c>
      <c r="D427">
        <v>192728</v>
      </c>
    </row>
    <row r="428" spans="1:4" x14ac:dyDescent="0.2">
      <c r="A428">
        <v>2017</v>
      </c>
      <c r="B428" t="s">
        <v>281</v>
      </c>
      <c r="C428" t="s">
        <v>267</v>
      </c>
      <c r="D428">
        <v>78683</v>
      </c>
    </row>
    <row r="429" spans="1:4" x14ac:dyDescent="0.2">
      <c r="A429">
        <v>2017</v>
      </c>
      <c r="B429" t="s">
        <v>282</v>
      </c>
      <c r="C429" t="s">
        <v>268</v>
      </c>
      <c r="D429">
        <v>1183565</v>
      </c>
    </row>
    <row r="430" spans="1:4" x14ac:dyDescent="0.2">
      <c r="A430">
        <v>2017</v>
      </c>
      <c r="B430" t="s">
        <v>283</v>
      </c>
      <c r="C430" t="s">
        <v>269</v>
      </c>
      <c r="D430">
        <v>160914</v>
      </c>
    </row>
    <row r="431" spans="1:4" x14ac:dyDescent="0.2">
      <c r="A431">
        <v>2017</v>
      </c>
      <c r="B431" t="s">
        <v>284</v>
      </c>
      <c r="C431" t="s">
        <v>270</v>
      </c>
      <c r="D431">
        <v>108792</v>
      </c>
    </row>
    <row r="432" spans="1:4" x14ac:dyDescent="0.2">
      <c r="A432">
        <v>2017</v>
      </c>
      <c r="B432" t="s">
        <v>285</v>
      </c>
      <c r="C432" t="s">
        <v>296</v>
      </c>
      <c r="D432">
        <v>30262</v>
      </c>
    </row>
    <row r="433" spans="1:4" x14ac:dyDescent="0.2">
      <c r="A433">
        <v>2017</v>
      </c>
      <c r="B433" t="s">
        <v>286</v>
      </c>
      <c r="C433" t="s">
        <v>272</v>
      </c>
      <c r="D433">
        <v>113937</v>
      </c>
    </row>
    <row r="434" spans="1:4" x14ac:dyDescent="0.2">
      <c r="A434">
        <v>2017</v>
      </c>
      <c r="B434" t="s">
        <v>287</v>
      </c>
      <c r="C434" t="s">
        <v>273</v>
      </c>
      <c r="D434">
        <v>634800</v>
      </c>
    </row>
    <row r="435" spans="1:4" x14ac:dyDescent="0.2">
      <c r="A435">
        <v>2017</v>
      </c>
      <c r="B435" t="s">
        <v>288</v>
      </c>
      <c r="C435" t="s">
        <v>274</v>
      </c>
      <c r="D435">
        <v>248262</v>
      </c>
    </row>
    <row r="436" spans="1:4" x14ac:dyDescent="0.2">
      <c r="A436">
        <v>2017</v>
      </c>
      <c r="B436" t="s">
        <v>289</v>
      </c>
      <c r="C436" t="s">
        <v>275</v>
      </c>
      <c r="D436">
        <v>65254</v>
      </c>
    </row>
    <row r="437" spans="1:4" x14ac:dyDescent="0.2">
      <c r="A437">
        <v>2018</v>
      </c>
      <c r="B437" t="s">
        <v>32</v>
      </c>
      <c r="C437" t="s">
        <v>0</v>
      </c>
      <c r="D437">
        <v>4470781</v>
      </c>
    </row>
    <row r="438" spans="1:4" x14ac:dyDescent="0.2">
      <c r="A438">
        <v>2018</v>
      </c>
      <c r="B438" t="s">
        <v>33</v>
      </c>
      <c r="C438" t="s">
        <v>1</v>
      </c>
      <c r="D438">
        <v>14635237</v>
      </c>
    </row>
    <row r="439" spans="1:4" x14ac:dyDescent="0.2">
      <c r="A439">
        <v>2018</v>
      </c>
      <c r="B439" t="s">
        <v>34</v>
      </c>
      <c r="C439" t="s">
        <v>2</v>
      </c>
      <c r="D439">
        <v>1823447</v>
      </c>
    </row>
    <row r="440" spans="1:4" x14ac:dyDescent="0.2">
      <c r="A440">
        <v>2018</v>
      </c>
      <c r="B440" t="s">
        <v>35</v>
      </c>
      <c r="C440" t="s">
        <v>3</v>
      </c>
      <c r="D440">
        <v>1347879</v>
      </c>
    </row>
    <row r="441" spans="1:4" x14ac:dyDescent="0.2">
      <c r="A441">
        <v>2018</v>
      </c>
      <c r="B441" t="s">
        <v>36</v>
      </c>
      <c r="C441" t="s">
        <v>4</v>
      </c>
      <c r="D441">
        <v>3695911</v>
      </c>
    </row>
    <row r="442" spans="1:4" x14ac:dyDescent="0.2">
      <c r="A442">
        <v>2018</v>
      </c>
      <c r="B442" t="s">
        <v>37</v>
      </c>
      <c r="C442" t="s">
        <v>5</v>
      </c>
      <c r="D442">
        <v>1805306</v>
      </c>
    </row>
    <row r="443" spans="1:4" x14ac:dyDescent="0.2">
      <c r="A443">
        <v>2018</v>
      </c>
      <c r="B443" t="s">
        <v>38</v>
      </c>
      <c r="C443" t="s">
        <v>6</v>
      </c>
      <c r="D443">
        <v>47952349</v>
      </c>
    </row>
    <row r="444" spans="1:4" x14ac:dyDescent="0.2">
      <c r="A444">
        <v>2018</v>
      </c>
      <c r="B444" t="s">
        <v>39</v>
      </c>
      <c r="C444" t="s">
        <v>7</v>
      </c>
      <c r="D444">
        <v>9227799</v>
      </c>
    </row>
    <row r="445" spans="1:4" x14ac:dyDescent="0.2">
      <c r="A445">
        <v>2018</v>
      </c>
      <c r="B445" t="s">
        <v>40</v>
      </c>
      <c r="C445" t="s">
        <v>8</v>
      </c>
      <c r="D445">
        <v>735754</v>
      </c>
    </row>
    <row r="446" spans="1:4" x14ac:dyDescent="0.2">
      <c r="A446">
        <v>2018</v>
      </c>
      <c r="B446" t="s">
        <v>41</v>
      </c>
      <c r="C446" t="s">
        <v>9</v>
      </c>
      <c r="D446">
        <v>8024883</v>
      </c>
    </row>
    <row r="447" spans="1:4" x14ac:dyDescent="0.2">
      <c r="A447">
        <v>2018</v>
      </c>
      <c r="B447" t="s">
        <v>42</v>
      </c>
      <c r="C447" t="s">
        <v>10</v>
      </c>
      <c r="D447">
        <v>573637</v>
      </c>
    </row>
    <row r="448" spans="1:4" x14ac:dyDescent="0.2">
      <c r="A448">
        <v>2018</v>
      </c>
      <c r="B448" t="s">
        <v>43</v>
      </c>
      <c r="C448" t="s">
        <v>11</v>
      </c>
      <c r="D448">
        <v>4305854</v>
      </c>
    </row>
    <row r="449" spans="1:4" x14ac:dyDescent="0.2">
      <c r="A449">
        <v>2018</v>
      </c>
      <c r="B449" t="s">
        <v>44</v>
      </c>
      <c r="C449" t="s">
        <v>12</v>
      </c>
      <c r="D449">
        <v>1488319</v>
      </c>
    </row>
    <row r="450" spans="1:4" x14ac:dyDescent="0.2">
      <c r="A450">
        <v>2018</v>
      </c>
      <c r="B450" t="s">
        <v>45</v>
      </c>
      <c r="C450" t="s">
        <v>13</v>
      </c>
      <c r="D450">
        <v>2223532</v>
      </c>
    </row>
    <row r="451" spans="1:4" x14ac:dyDescent="0.2">
      <c r="A451">
        <v>2018</v>
      </c>
      <c r="B451" t="s">
        <v>46</v>
      </c>
      <c r="C451" t="s">
        <v>14</v>
      </c>
      <c r="D451">
        <v>1718757</v>
      </c>
    </row>
    <row r="452" spans="1:4" x14ac:dyDescent="0.2">
      <c r="A452">
        <v>2018</v>
      </c>
      <c r="B452" t="s">
        <v>47</v>
      </c>
      <c r="C452" t="s">
        <v>15</v>
      </c>
      <c r="D452">
        <v>6158204</v>
      </c>
    </row>
    <row r="453" spans="1:4" x14ac:dyDescent="0.2">
      <c r="A453">
        <v>2018</v>
      </c>
      <c r="B453" t="s">
        <v>48</v>
      </c>
      <c r="C453" t="s">
        <v>16</v>
      </c>
      <c r="D453">
        <v>3352395</v>
      </c>
    </row>
    <row r="454" spans="1:4" x14ac:dyDescent="0.2">
      <c r="A454">
        <v>2018</v>
      </c>
      <c r="B454" t="s">
        <v>49</v>
      </c>
      <c r="C454" t="s">
        <v>17</v>
      </c>
      <c r="D454">
        <v>3445884</v>
      </c>
    </row>
    <row r="455" spans="1:4" x14ac:dyDescent="0.2">
      <c r="A455">
        <v>2018</v>
      </c>
      <c r="B455" t="s">
        <v>50</v>
      </c>
      <c r="C455" t="s">
        <v>18</v>
      </c>
      <c r="D455">
        <v>713390</v>
      </c>
    </row>
    <row r="456" spans="1:4" x14ac:dyDescent="0.2">
      <c r="A456">
        <v>2018</v>
      </c>
      <c r="B456" t="s">
        <v>51</v>
      </c>
      <c r="C456" t="s">
        <v>19</v>
      </c>
      <c r="D456">
        <v>1838746</v>
      </c>
    </row>
    <row r="457" spans="1:4" x14ac:dyDescent="0.2">
      <c r="A457">
        <v>2018</v>
      </c>
      <c r="B457" t="s">
        <v>52</v>
      </c>
      <c r="C457" t="s">
        <v>20</v>
      </c>
      <c r="D457">
        <v>48508879</v>
      </c>
    </row>
    <row r="458" spans="1:4" x14ac:dyDescent="0.2">
      <c r="A458">
        <v>2018</v>
      </c>
      <c r="B458" t="s">
        <v>53</v>
      </c>
      <c r="C458" t="s">
        <v>21</v>
      </c>
      <c r="D458">
        <v>1964107</v>
      </c>
    </row>
    <row r="459" spans="1:4" x14ac:dyDescent="0.2">
      <c r="A459">
        <v>2018</v>
      </c>
      <c r="B459" t="s">
        <v>54</v>
      </c>
      <c r="C459" t="s">
        <v>22</v>
      </c>
      <c r="D459">
        <v>553196</v>
      </c>
    </row>
    <row r="460" spans="1:4" x14ac:dyDescent="0.2">
      <c r="A460">
        <v>2018</v>
      </c>
      <c r="B460" t="s">
        <v>55</v>
      </c>
      <c r="C460" t="s">
        <v>23</v>
      </c>
      <c r="D460">
        <v>7059081</v>
      </c>
    </row>
    <row r="461" spans="1:4" x14ac:dyDescent="0.2">
      <c r="A461">
        <v>2018</v>
      </c>
      <c r="B461" t="s">
        <v>56</v>
      </c>
      <c r="C461" t="s">
        <v>24</v>
      </c>
      <c r="D461">
        <v>1240692</v>
      </c>
    </row>
    <row r="462" spans="1:4" x14ac:dyDescent="0.2">
      <c r="A462">
        <v>2018</v>
      </c>
      <c r="B462" t="s">
        <v>57</v>
      </c>
      <c r="C462" t="s">
        <v>25</v>
      </c>
      <c r="D462">
        <v>1556197</v>
      </c>
    </row>
    <row r="463" spans="1:4" x14ac:dyDescent="0.2">
      <c r="A463">
        <v>2018</v>
      </c>
      <c r="B463" t="s">
        <v>58</v>
      </c>
      <c r="C463" t="s">
        <v>26</v>
      </c>
      <c r="D463">
        <v>3696688</v>
      </c>
    </row>
    <row r="464" spans="1:4" x14ac:dyDescent="0.2">
      <c r="A464">
        <v>2018</v>
      </c>
      <c r="B464" t="s">
        <v>59</v>
      </c>
      <c r="C464" t="s">
        <v>27</v>
      </c>
      <c r="D464">
        <v>1240464</v>
      </c>
    </row>
    <row r="465" spans="1:4" x14ac:dyDescent="0.2">
      <c r="A465">
        <v>2018</v>
      </c>
      <c r="B465" t="s">
        <v>60</v>
      </c>
      <c r="C465" t="s">
        <v>28</v>
      </c>
      <c r="D465">
        <v>235240392</v>
      </c>
    </row>
    <row r="466" spans="1:4" x14ac:dyDescent="0.2">
      <c r="A466">
        <v>2018</v>
      </c>
      <c r="B466" t="s">
        <v>61</v>
      </c>
      <c r="C466" t="s">
        <v>29</v>
      </c>
      <c r="D466">
        <v>11676725</v>
      </c>
    </row>
    <row r="467" spans="1:4" x14ac:dyDescent="0.2">
      <c r="A467">
        <v>2018</v>
      </c>
      <c r="B467" t="s">
        <v>62</v>
      </c>
      <c r="C467" t="s">
        <v>30</v>
      </c>
      <c r="D467">
        <v>1692771</v>
      </c>
    </row>
    <row r="468" spans="1:4" x14ac:dyDescent="0.2">
      <c r="A468">
        <v>2018</v>
      </c>
      <c r="B468" t="s">
        <v>63</v>
      </c>
      <c r="C468" t="s">
        <v>31</v>
      </c>
      <c r="D468">
        <v>3907666</v>
      </c>
    </row>
    <row r="469" spans="1:4" x14ac:dyDescent="0.2">
      <c r="A469">
        <v>2018</v>
      </c>
      <c r="B469" t="s">
        <v>97</v>
      </c>
      <c r="C469" t="s">
        <v>64</v>
      </c>
      <c r="D469">
        <v>6865645</v>
      </c>
    </row>
    <row r="470" spans="1:4" x14ac:dyDescent="0.2">
      <c r="A470">
        <v>2018</v>
      </c>
      <c r="B470" t="s">
        <v>98</v>
      </c>
      <c r="C470" t="s">
        <v>65</v>
      </c>
      <c r="D470">
        <v>14099388</v>
      </c>
    </row>
    <row r="471" spans="1:4" x14ac:dyDescent="0.2">
      <c r="A471">
        <v>2018</v>
      </c>
      <c r="B471" t="s">
        <v>99</v>
      </c>
      <c r="C471" t="s">
        <v>66</v>
      </c>
      <c r="D471">
        <v>2009254</v>
      </c>
    </row>
    <row r="472" spans="1:4" x14ac:dyDescent="0.2">
      <c r="A472">
        <v>2018</v>
      </c>
      <c r="B472" t="s">
        <v>100</v>
      </c>
      <c r="C472" t="s">
        <v>67</v>
      </c>
      <c r="D472">
        <v>4786828</v>
      </c>
    </row>
    <row r="473" spans="1:4" x14ac:dyDescent="0.2">
      <c r="A473">
        <v>2018</v>
      </c>
      <c r="B473" t="s">
        <v>101</v>
      </c>
      <c r="C473" t="s">
        <v>68</v>
      </c>
      <c r="D473">
        <v>2431334</v>
      </c>
    </row>
    <row r="474" spans="1:4" x14ac:dyDescent="0.2">
      <c r="A474">
        <v>2018</v>
      </c>
      <c r="B474" t="s">
        <v>102</v>
      </c>
      <c r="C474" t="s">
        <v>69</v>
      </c>
      <c r="D474">
        <v>1444372</v>
      </c>
    </row>
    <row r="475" spans="1:4" x14ac:dyDescent="0.2">
      <c r="A475">
        <v>2018</v>
      </c>
      <c r="B475" t="s">
        <v>103</v>
      </c>
      <c r="C475" t="s">
        <v>70</v>
      </c>
      <c r="D475">
        <v>2777909</v>
      </c>
    </row>
    <row r="476" spans="1:4" x14ac:dyDescent="0.2">
      <c r="A476">
        <v>2018</v>
      </c>
      <c r="B476" t="s">
        <v>104</v>
      </c>
      <c r="C476" t="s">
        <v>71</v>
      </c>
      <c r="D476">
        <v>2075741</v>
      </c>
    </row>
    <row r="477" spans="1:4" x14ac:dyDescent="0.2">
      <c r="A477">
        <v>2018</v>
      </c>
      <c r="B477" t="s">
        <v>105</v>
      </c>
      <c r="C477" t="s">
        <v>72</v>
      </c>
      <c r="D477">
        <v>4378863</v>
      </c>
    </row>
    <row r="478" spans="1:4" x14ac:dyDescent="0.2">
      <c r="A478">
        <v>2018</v>
      </c>
      <c r="B478" t="s">
        <v>106</v>
      </c>
      <c r="C478" t="s">
        <v>73</v>
      </c>
      <c r="D478">
        <v>16251147</v>
      </c>
    </row>
    <row r="479" spans="1:4" x14ac:dyDescent="0.2">
      <c r="A479">
        <v>2018</v>
      </c>
      <c r="B479" t="s">
        <v>107</v>
      </c>
      <c r="C479" t="s">
        <v>74</v>
      </c>
      <c r="D479">
        <v>42546236</v>
      </c>
    </row>
    <row r="480" spans="1:4" x14ac:dyDescent="0.2">
      <c r="A480">
        <v>2018</v>
      </c>
      <c r="B480" t="s">
        <v>108</v>
      </c>
      <c r="C480" t="s">
        <v>75</v>
      </c>
      <c r="D480">
        <v>5904175</v>
      </c>
    </row>
    <row r="481" spans="1:4" x14ac:dyDescent="0.2">
      <c r="A481">
        <v>2018</v>
      </c>
      <c r="B481" t="s">
        <v>109</v>
      </c>
      <c r="C481" t="s">
        <v>76</v>
      </c>
      <c r="D481">
        <v>314729</v>
      </c>
    </row>
    <row r="482" spans="1:4" x14ac:dyDescent="0.2">
      <c r="A482">
        <v>2018</v>
      </c>
      <c r="B482" t="s">
        <v>110</v>
      </c>
      <c r="C482" t="s">
        <v>77</v>
      </c>
      <c r="D482">
        <v>4764070</v>
      </c>
    </row>
    <row r="483" spans="1:4" x14ac:dyDescent="0.2">
      <c r="A483">
        <v>2018</v>
      </c>
      <c r="B483" t="s">
        <v>111</v>
      </c>
      <c r="C483" t="s">
        <v>78</v>
      </c>
      <c r="D483">
        <v>3617476</v>
      </c>
    </row>
    <row r="484" spans="1:4" x14ac:dyDescent="0.2">
      <c r="A484">
        <v>2018</v>
      </c>
      <c r="B484" t="s">
        <v>112</v>
      </c>
      <c r="C484" t="s">
        <v>79</v>
      </c>
      <c r="D484">
        <v>733041</v>
      </c>
    </row>
    <row r="485" spans="1:4" x14ac:dyDescent="0.2">
      <c r="A485">
        <v>2018</v>
      </c>
      <c r="B485" t="s">
        <v>113</v>
      </c>
      <c r="C485" t="s">
        <v>80</v>
      </c>
      <c r="D485">
        <v>1915948</v>
      </c>
    </row>
    <row r="486" spans="1:4" x14ac:dyDescent="0.2">
      <c r="A486">
        <v>2018</v>
      </c>
      <c r="B486" t="s">
        <v>114</v>
      </c>
      <c r="C486" t="s">
        <v>81</v>
      </c>
      <c r="D486">
        <v>1226426</v>
      </c>
    </row>
    <row r="487" spans="1:4" x14ac:dyDescent="0.2">
      <c r="A487">
        <v>2018</v>
      </c>
      <c r="B487" t="s">
        <v>115</v>
      </c>
      <c r="C487" t="s">
        <v>82</v>
      </c>
      <c r="D487">
        <v>3020036</v>
      </c>
    </row>
    <row r="488" spans="1:4" x14ac:dyDescent="0.2">
      <c r="A488">
        <v>2018</v>
      </c>
      <c r="B488" t="s">
        <v>116</v>
      </c>
      <c r="C488" t="s">
        <v>83</v>
      </c>
      <c r="D488">
        <v>92691913</v>
      </c>
    </row>
    <row r="489" spans="1:4" x14ac:dyDescent="0.2">
      <c r="A489">
        <v>2018</v>
      </c>
      <c r="B489" t="s">
        <v>117</v>
      </c>
      <c r="C489" t="s">
        <v>84</v>
      </c>
      <c r="D489">
        <v>4540070</v>
      </c>
    </row>
    <row r="490" spans="1:4" x14ac:dyDescent="0.2">
      <c r="A490">
        <v>2018</v>
      </c>
      <c r="B490" t="s">
        <v>118</v>
      </c>
      <c r="C490" t="s">
        <v>85</v>
      </c>
      <c r="D490">
        <v>1252508</v>
      </c>
    </row>
    <row r="491" spans="1:4" x14ac:dyDescent="0.2">
      <c r="A491">
        <v>2018</v>
      </c>
      <c r="B491" t="s">
        <v>119</v>
      </c>
      <c r="C491" t="s">
        <v>86</v>
      </c>
      <c r="D491">
        <v>1618780</v>
      </c>
    </row>
    <row r="492" spans="1:4" x14ac:dyDescent="0.2">
      <c r="A492">
        <v>2018</v>
      </c>
      <c r="B492" t="s">
        <v>120</v>
      </c>
      <c r="C492" t="s">
        <v>87</v>
      </c>
      <c r="D492">
        <v>1039401</v>
      </c>
    </row>
    <row r="493" spans="1:4" x14ac:dyDescent="0.2">
      <c r="A493">
        <v>2018</v>
      </c>
      <c r="B493" t="s">
        <v>121</v>
      </c>
      <c r="C493" t="s">
        <v>88</v>
      </c>
      <c r="D493">
        <v>3674315</v>
      </c>
    </row>
    <row r="494" spans="1:4" x14ac:dyDescent="0.2">
      <c r="A494">
        <v>2018</v>
      </c>
      <c r="B494" t="s">
        <v>122</v>
      </c>
      <c r="C494" t="s">
        <v>89</v>
      </c>
      <c r="D494">
        <v>1246785</v>
      </c>
    </row>
    <row r="495" spans="1:4" x14ac:dyDescent="0.2">
      <c r="A495">
        <v>2018</v>
      </c>
      <c r="B495" t="s">
        <v>123</v>
      </c>
      <c r="C495" t="s">
        <v>90</v>
      </c>
      <c r="D495">
        <v>8258375</v>
      </c>
    </row>
    <row r="496" spans="1:4" x14ac:dyDescent="0.2">
      <c r="A496">
        <v>2018</v>
      </c>
      <c r="B496" t="s">
        <v>124</v>
      </c>
      <c r="C496" t="s">
        <v>91</v>
      </c>
      <c r="D496">
        <v>1873385</v>
      </c>
    </row>
    <row r="497" spans="1:4" x14ac:dyDescent="0.2">
      <c r="A497">
        <v>2018</v>
      </c>
      <c r="B497" t="s">
        <v>125</v>
      </c>
      <c r="C497" t="s">
        <v>92</v>
      </c>
      <c r="D497">
        <v>2629605</v>
      </c>
    </row>
    <row r="498" spans="1:4" x14ac:dyDescent="0.2">
      <c r="A498">
        <v>2018</v>
      </c>
      <c r="B498" t="s">
        <v>126</v>
      </c>
      <c r="C498" t="s">
        <v>93</v>
      </c>
      <c r="D498">
        <v>1474601</v>
      </c>
    </row>
    <row r="499" spans="1:4" x14ac:dyDescent="0.2">
      <c r="A499">
        <v>2018</v>
      </c>
      <c r="B499" t="s">
        <v>127</v>
      </c>
      <c r="C499" t="s">
        <v>94</v>
      </c>
      <c r="D499">
        <v>1334983</v>
      </c>
    </row>
    <row r="500" spans="1:4" x14ac:dyDescent="0.2">
      <c r="A500">
        <v>2018</v>
      </c>
      <c r="B500" t="s">
        <v>128</v>
      </c>
      <c r="C500" t="s">
        <v>95</v>
      </c>
      <c r="D500">
        <v>1805118</v>
      </c>
    </row>
    <row r="501" spans="1:4" x14ac:dyDescent="0.2">
      <c r="A501">
        <v>2018</v>
      </c>
      <c r="B501" t="s">
        <v>129</v>
      </c>
      <c r="C501" t="s">
        <v>96</v>
      </c>
      <c r="D501">
        <v>4290246</v>
      </c>
    </row>
    <row r="502" spans="1:4" x14ac:dyDescent="0.2">
      <c r="A502">
        <v>2018</v>
      </c>
      <c r="B502" t="s">
        <v>163</v>
      </c>
      <c r="C502" t="s">
        <v>130</v>
      </c>
      <c r="D502">
        <v>2952675</v>
      </c>
    </row>
    <row r="503" spans="1:4" x14ac:dyDescent="0.2">
      <c r="A503">
        <v>2018</v>
      </c>
      <c r="B503" t="s">
        <v>164</v>
      </c>
      <c r="C503" t="s">
        <v>131</v>
      </c>
      <c r="D503">
        <v>2110855</v>
      </c>
    </row>
    <row r="504" spans="1:4" x14ac:dyDescent="0.2">
      <c r="A504">
        <v>2018</v>
      </c>
      <c r="B504" t="s">
        <v>165</v>
      </c>
      <c r="C504" t="s">
        <v>132</v>
      </c>
      <c r="D504">
        <v>7077625</v>
      </c>
    </row>
    <row r="505" spans="1:4" x14ac:dyDescent="0.2">
      <c r="A505">
        <v>2018</v>
      </c>
      <c r="B505" t="s">
        <v>166</v>
      </c>
      <c r="C505" t="s">
        <v>133</v>
      </c>
      <c r="D505">
        <v>3797889</v>
      </c>
    </row>
    <row r="506" spans="1:4" x14ac:dyDescent="0.2">
      <c r="A506">
        <v>2018</v>
      </c>
      <c r="B506" t="s">
        <v>167</v>
      </c>
      <c r="C506" t="s">
        <v>134</v>
      </c>
      <c r="D506">
        <v>1901980</v>
      </c>
    </row>
    <row r="507" spans="1:4" x14ac:dyDescent="0.2">
      <c r="A507">
        <v>2018</v>
      </c>
      <c r="B507" t="s">
        <v>168</v>
      </c>
      <c r="C507" t="s">
        <v>135</v>
      </c>
      <c r="D507">
        <v>5227338</v>
      </c>
    </row>
    <row r="508" spans="1:4" x14ac:dyDescent="0.2">
      <c r="A508">
        <v>2018</v>
      </c>
      <c r="B508" t="s">
        <v>169</v>
      </c>
      <c r="C508" t="s">
        <v>136</v>
      </c>
      <c r="D508">
        <v>86368204</v>
      </c>
    </row>
    <row r="509" spans="1:4" x14ac:dyDescent="0.2">
      <c r="A509">
        <v>2018</v>
      </c>
      <c r="B509" t="s">
        <v>170</v>
      </c>
      <c r="C509" t="s">
        <v>137</v>
      </c>
      <c r="D509">
        <v>3467473</v>
      </c>
    </row>
    <row r="510" spans="1:4" x14ac:dyDescent="0.2">
      <c r="A510">
        <v>2018</v>
      </c>
      <c r="B510" t="s">
        <v>171</v>
      </c>
      <c r="C510" t="s">
        <v>138</v>
      </c>
      <c r="D510">
        <v>902642</v>
      </c>
    </row>
    <row r="511" spans="1:4" x14ac:dyDescent="0.2">
      <c r="A511">
        <v>2018</v>
      </c>
      <c r="B511" t="s">
        <v>172</v>
      </c>
      <c r="C511" t="s">
        <v>139</v>
      </c>
      <c r="D511">
        <v>1052934</v>
      </c>
    </row>
    <row r="512" spans="1:4" x14ac:dyDescent="0.2">
      <c r="A512">
        <v>2018</v>
      </c>
      <c r="B512" t="s">
        <v>173</v>
      </c>
      <c r="C512" t="s">
        <v>140</v>
      </c>
      <c r="D512">
        <v>12382790</v>
      </c>
    </row>
    <row r="513" spans="1:4" x14ac:dyDescent="0.2">
      <c r="A513">
        <v>2018</v>
      </c>
      <c r="B513" t="s">
        <v>174</v>
      </c>
      <c r="C513" t="s">
        <v>141</v>
      </c>
      <c r="D513">
        <v>2649911</v>
      </c>
    </row>
    <row r="514" spans="1:4" x14ac:dyDescent="0.2">
      <c r="A514">
        <v>2018</v>
      </c>
      <c r="B514" t="s">
        <v>175</v>
      </c>
      <c r="C514" t="s">
        <v>142</v>
      </c>
      <c r="D514">
        <v>10688619</v>
      </c>
    </row>
    <row r="515" spans="1:4" x14ac:dyDescent="0.2">
      <c r="A515">
        <v>2018</v>
      </c>
      <c r="B515" t="s">
        <v>176</v>
      </c>
      <c r="C515" t="s">
        <v>143</v>
      </c>
      <c r="D515">
        <v>2957008</v>
      </c>
    </row>
    <row r="516" spans="1:4" x14ac:dyDescent="0.2">
      <c r="A516">
        <v>2018</v>
      </c>
      <c r="B516" t="s">
        <v>177</v>
      </c>
      <c r="C516" t="s">
        <v>144</v>
      </c>
      <c r="D516">
        <v>3235219</v>
      </c>
    </row>
    <row r="517" spans="1:4" x14ac:dyDescent="0.2">
      <c r="A517">
        <v>2018</v>
      </c>
      <c r="B517" t="s">
        <v>178</v>
      </c>
      <c r="C517" t="s">
        <v>145</v>
      </c>
      <c r="D517">
        <v>5568263</v>
      </c>
    </row>
    <row r="518" spans="1:4" x14ac:dyDescent="0.2">
      <c r="A518">
        <v>2018</v>
      </c>
      <c r="B518" t="s">
        <v>179</v>
      </c>
      <c r="C518" t="s">
        <v>146</v>
      </c>
      <c r="D518">
        <v>3602415</v>
      </c>
    </row>
    <row r="519" spans="1:4" x14ac:dyDescent="0.2">
      <c r="A519">
        <v>2018</v>
      </c>
      <c r="B519" t="s">
        <v>180</v>
      </c>
      <c r="C519" t="s">
        <v>147</v>
      </c>
      <c r="D519">
        <v>2112441</v>
      </c>
    </row>
    <row r="520" spans="1:4" x14ac:dyDescent="0.2">
      <c r="A520">
        <v>2018</v>
      </c>
      <c r="B520" t="s">
        <v>181</v>
      </c>
      <c r="C520" t="s">
        <v>148</v>
      </c>
      <c r="D520">
        <v>20250661</v>
      </c>
    </row>
    <row r="521" spans="1:4" x14ac:dyDescent="0.2">
      <c r="A521">
        <v>2018</v>
      </c>
      <c r="B521" t="s">
        <v>182</v>
      </c>
      <c r="C521" t="s">
        <v>149</v>
      </c>
      <c r="D521">
        <v>24369044</v>
      </c>
    </row>
    <row r="522" spans="1:4" x14ac:dyDescent="0.2">
      <c r="A522">
        <v>2018</v>
      </c>
      <c r="B522" t="s">
        <v>183</v>
      </c>
      <c r="C522" t="s">
        <v>150</v>
      </c>
      <c r="D522">
        <v>1273498</v>
      </c>
    </row>
    <row r="523" spans="1:4" x14ac:dyDescent="0.2">
      <c r="A523">
        <v>2018</v>
      </c>
      <c r="B523" t="s">
        <v>184</v>
      </c>
      <c r="C523" t="s">
        <v>151</v>
      </c>
      <c r="D523">
        <v>1269249</v>
      </c>
    </row>
    <row r="524" spans="1:4" x14ac:dyDescent="0.2">
      <c r="A524">
        <v>2018</v>
      </c>
      <c r="B524" t="s">
        <v>185</v>
      </c>
      <c r="C524" t="s">
        <v>152</v>
      </c>
      <c r="D524">
        <v>4140685</v>
      </c>
    </row>
    <row r="525" spans="1:4" x14ac:dyDescent="0.2">
      <c r="A525">
        <v>2018</v>
      </c>
      <c r="B525" t="s">
        <v>186</v>
      </c>
      <c r="C525" t="s">
        <v>153</v>
      </c>
      <c r="D525">
        <v>4759140</v>
      </c>
    </row>
    <row r="526" spans="1:4" x14ac:dyDescent="0.2">
      <c r="A526">
        <v>2018</v>
      </c>
      <c r="B526" t="s">
        <v>187</v>
      </c>
      <c r="C526" t="s">
        <v>154</v>
      </c>
      <c r="D526">
        <v>5667087</v>
      </c>
    </row>
    <row r="527" spans="1:4" x14ac:dyDescent="0.2">
      <c r="A527">
        <v>2018</v>
      </c>
      <c r="B527" t="s">
        <v>188</v>
      </c>
      <c r="C527" t="s">
        <v>155</v>
      </c>
      <c r="D527">
        <v>1555933</v>
      </c>
    </row>
    <row r="528" spans="1:4" x14ac:dyDescent="0.2">
      <c r="A528">
        <v>2018</v>
      </c>
      <c r="B528" t="s">
        <v>189</v>
      </c>
      <c r="C528" t="s">
        <v>156</v>
      </c>
      <c r="D528">
        <v>4203488</v>
      </c>
    </row>
    <row r="529" spans="1:4" x14ac:dyDescent="0.2">
      <c r="A529">
        <v>2018</v>
      </c>
      <c r="B529" t="s">
        <v>190</v>
      </c>
      <c r="C529" t="s">
        <v>157</v>
      </c>
      <c r="D529">
        <v>3343697</v>
      </c>
    </row>
    <row r="530" spans="1:4" x14ac:dyDescent="0.2">
      <c r="A530">
        <v>2018</v>
      </c>
      <c r="B530" t="s">
        <v>191</v>
      </c>
      <c r="C530" t="s">
        <v>158</v>
      </c>
      <c r="D530">
        <v>10870429</v>
      </c>
    </row>
    <row r="531" spans="1:4" x14ac:dyDescent="0.2">
      <c r="A531">
        <v>2018</v>
      </c>
      <c r="B531" t="s">
        <v>192</v>
      </c>
      <c r="C531" t="s">
        <v>159</v>
      </c>
      <c r="D531">
        <v>23743307</v>
      </c>
    </row>
    <row r="532" spans="1:4" x14ac:dyDescent="0.2">
      <c r="A532">
        <v>2018</v>
      </c>
      <c r="B532" t="s">
        <v>193</v>
      </c>
      <c r="C532" t="s">
        <v>160</v>
      </c>
      <c r="D532">
        <v>1951537</v>
      </c>
    </row>
    <row r="533" spans="1:4" x14ac:dyDescent="0.2">
      <c r="A533">
        <v>2018</v>
      </c>
      <c r="B533" t="s">
        <v>194</v>
      </c>
      <c r="C533" t="s">
        <v>161</v>
      </c>
      <c r="D533">
        <v>831830</v>
      </c>
    </row>
    <row r="534" spans="1:4" x14ac:dyDescent="0.2">
      <c r="A534">
        <v>2018</v>
      </c>
      <c r="B534" t="s">
        <v>195</v>
      </c>
      <c r="C534" t="s">
        <v>162</v>
      </c>
      <c r="D534">
        <v>6202602</v>
      </c>
    </row>
    <row r="535" spans="1:4" x14ac:dyDescent="0.2">
      <c r="A535">
        <v>2018</v>
      </c>
      <c r="B535" t="s">
        <v>229</v>
      </c>
      <c r="C535" t="s">
        <v>196</v>
      </c>
      <c r="D535">
        <v>4988508</v>
      </c>
    </row>
    <row r="536" spans="1:4" x14ac:dyDescent="0.2">
      <c r="A536">
        <v>2018</v>
      </c>
      <c r="B536" t="s">
        <v>230</v>
      </c>
      <c r="C536" t="s">
        <v>197</v>
      </c>
      <c r="D536">
        <v>3721253</v>
      </c>
    </row>
    <row r="537" spans="1:4" x14ac:dyDescent="0.2">
      <c r="A537">
        <v>2018</v>
      </c>
      <c r="B537" t="s">
        <v>231</v>
      </c>
      <c r="C537" t="s">
        <v>198</v>
      </c>
      <c r="D537">
        <v>17587089</v>
      </c>
    </row>
    <row r="538" spans="1:4" x14ac:dyDescent="0.2">
      <c r="A538">
        <v>2018</v>
      </c>
      <c r="B538" t="s">
        <v>232</v>
      </c>
      <c r="C538" t="s">
        <v>199</v>
      </c>
      <c r="D538">
        <v>6323348</v>
      </c>
    </row>
    <row r="539" spans="1:4" x14ac:dyDescent="0.2">
      <c r="A539">
        <v>2018</v>
      </c>
      <c r="B539" t="s">
        <v>233</v>
      </c>
      <c r="C539" t="s">
        <v>200</v>
      </c>
      <c r="D539">
        <v>3980495</v>
      </c>
    </row>
    <row r="540" spans="1:4" x14ac:dyDescent="0.2">
      <c r="A540">
        <v>2018</v>
      </c>
      <c r="B540" t="s">
        <v>234</v>
      </c>
      <c r="C540" t="s">
        <v>201</v>
      </c>
      <c r="D540">
        <v>8878626</v>
      </c>
    </row>
    <row r="541" spans="1:4" x14ac:dyDescent="0.2">
      <c r="A541">
        <v>2018</v>
      </c>
      <c r="B541" t="s">
        <v>235</v>
      </c>
      <c r="C541" t="s">
        <v>202</v>
      </c>
      <c r="D541">
        <v>25768859</v>
      </c>
    </row>
    <row r="542" spans="1:4" x14ac:dyDescent="0.2">
      <c r="A542">
        <v>2018</v>
      </c>
      <c r="B542" t="s">
        <v>236</v>
      </c>
      <c r="C542" t="s">
        <v>203</v>
      </c>
      <c r="D542">
        <v>33217791</v>
      </c>
    </row>
    <row r="543" spans="1:4" x14ac:dyDescent="0.2">
      <c r="A543">
        <v>2018</v>
      </c>
      <c r="B543" t="s">
        <v>237</v>
      </c>
      <c r="C543" t="s">
        <v>204</v>
      </c>
      <c r="D543">
        <v>3650457</v>
      </c>
    </row>
    <row r="544" spans="1:4" x14ac:dyDescent="0.2">
      <c r="A544">
        <v>2018</v>
      </c>
      <c r="B544" t="s">
        <v>238</v>
      </c>
      <c r="C544" t="s">
        <v>205</v>
      </c>
      <c r="D544">
        <v>12974638</v>
      </c>
    </row>
    <row r="545" spans="1:4" x14ac:dyDescent="0.2">
      <c r="A545">
        <v>2018</v>
      </c>
      <c r="B545" t="s">
        <v>239</v>
      </c>
      <c r="C545" t="s">
        <v>206</v>
      </c>
      <c r="D545">
        <v>1404635</v>
      </c>
    </row>
    <row r="546" spans="1:4" x14ac:dyDescent="0.2">
      <c r="A546">
        <v>2018</v>
      </c>
      <c r="B546" t="s">
        <v>240</v>
      </c>
      <c r="C546" t="s">
        <v>207</v>
      </c>
      <c r="D546">
        <v>26434995</v>
      </c>
    </row>
    <row r="547" spans="1:4" x14ac:dyDescent="0.2">
      <c r="A547">
        <v>2018</v>
      </c>
      <c r="B547" t="s">
        <v>241</v>
      </c>
      <c r="C547" t="s">
        <v>208</v>
      </c>
      <c r="D547">
        <v>12842165</v>
      </c>
    </row>
    <row r="548" spans="1:4" x14ac:dyDescent="0.2">
      <c r="A548">
        <v>2018</v>
      </c>
      <c r="B548" t="s">
        <v>242</v>
      </c>
      <c r="C548" t="s">
        <v>209</v>
      </c>
      <c r="D548">
        <v>2753055</v>
      </c>
    </row>
    <row r="549" spans="1:4" x14ac:dyDescent="0.2">
      <c r="A549">
        <v>2018</v>
      </c>
      <c r="B549" t="s">
        <v>243</v>
      </c>
      <c r="C549" t="s">
        <v>210</v>
      </c>
      <c r="D549">
        <v>12296612</v>
      </c>
    </row>
    <row r="550" spans="1:4" x14ac:dyDescent="0.2">
      <c r="A550">
        <v>2018</v>
      </c>
      <c r="B550" t="s">
        <v>244</v>
      </c>
      <c r="C550" t="s">
        <v>211</v>
      </c>
      <c r="D550">
        <v>4713639</v>
      </c>
    </row>
    <row r="551" spans="1:4" x14ac:dyDescent="0.2">
      <c r="A551">
        <v>2018</v>
      </c>
      <c r="B551" t="s">
        <v>245</v>
      </c>
      <c r="C551" t="s">
        <v>212</v>
      </c>
      <c r="D551">
        <v>1867344</v>
      </c>
    </row>
    <row r="552" spans="1:4" x14ac:dyDescent="0.2">
      <c r="A552">
        <v>2018</v>
      </c>
      <c r="B552" t="s">
        <v>246</v>
      </c>
      <c r="C552" t="s">
        <v>213</v>
      </c>
      <c r="D552">
        <v>4094647</v>
      </c>
    </row>
    <row r="553" spans="1:4" x14ac:dyDescent="0.2">
      <c r="A553">
        <v>2018</v>
      </c>
      <c r="B553" t="s">
        <v>247</v>
      </c>
      <c r="C553" t="s">
        <v>214</v>
      </c>
      <c r="D553">
        <v>3044775</v>
      </c>
    </row>
    <row r="554" spans="1:4" x14ac:dyDescent="0.2">
      <c r="A554">
        <v>2018</v>
      </c>
      <c r="B554" t="s">
        <v>248</v>
      </c>
      <c r="C554" t="s">
        <v>215</v>
      </c>
      <c r="D554">
        <v>882636</v>
      </c>
    </row>
    <row r="555" spans="1:4" x14ac:dyDescent="0.2">
      <c r="A555">
        <v>2018</v>
      </c>
      <c r="B555" t="s">
        <v>249</v>
      </c>
      <c r="C555" t="s">
        <v>216</v>
      </c>
      <c r="D555">
        <v>15527</v>
      </c>
    </row>
    <row r="556" spans="1:4" x14ac:dyDescent="0.2">
      <c r="A556">
        <v>2018</v>
      </c>
      <c r="B556" t="s">
        <v>250</v>
      </c>
      <c r="C556" t="s">
        <v>217</v>
      </c>
      <c r="D556">
        <v>1119367</v>
      </c>
    </row>
    <row r="557" spans="1:4" x14ac:dyDescent="0.2">
      <c r="A557">
        <v>2018</v>
      </c>
      <c r="B557" t="s">
        <v>251</v>
      </c>
      <c r="C557" t="s">
        <v>218</v>
      </c>
      <c r="D557">
        <v>37378505</v>
      </c>
    </row>
    <row r="558" spans="1:4" x14ac:dyDescent="0.2">
      <c r="A558">
        <v>2018</v>
      </c>
      <c r="B558" t="s">
        <v>252</v>
      </c>
      <c r="C558" t="s">
        <v>219</v>
      </c>
      <c r="D558">
        <v>65645528</v>
      </c>
    </row>
    <row r="559" spans="1:4" x14ac:dyDescent="0.2">
      <c r="A559">
        <v>2018</v>
      </c>
      <c r="B559" t="s">
        <v>253</v>
      </c>
      <c r="C559" t="s">
        <v>220</v>
      </c>
      <c r="D559">
        <v>3425400</v>
      </c>
    </row>
    <row r="560" spans="1:4" x14ac:dyDescent="0.2">
      <c r="A560">
        <v>2018</v>
      </c>
      <c r="B560" t="s">
        <v>254</v>
      </c>
      <c r="C560" t="s">
        <v>221</v>
      </c>
      <c r="D560">
        <v>885673</v>
      </c>
    </row>
    <row r="561" spans="1:4" x14ac:dyDescent="0.2">
      <c r="A561">
        <v>2018</v>
      </c>
      <c r="B561" t="s">
        <v>255</v>
      </c>
      <c r="C561" t="s">
        <v>222</v>
      </c>
      <c r="D561">
        <v>460556</v>
      </c>
    </row>
    <row r="562" spans="1:4" x14ac:dyDescent="0.2">
      <c r="A562">
        <v>2018</v>
      </c>
      <c r="B562" t="s">
        <v>256</v>
      </c>
      <c r="C562" t="s">
        <v>223</v>
      </c>
      <c r="D562">
        <v>2878665</v>
      </c>
    </row>
    <row r="563" spans="1:4" x14ac:dyDescent="0.2">
      <c r="A563">
        <v>2018</v>
      </c>
      <c r="B563" t="s">
        <v>257</v>
      </c>
      <c r="C563" t="s">
        <v>224</v>
      </c>
      <c r="D563">
        <v>577218</v>
      </c>
    </row>
    <row r="564" spans="1:4" x14ac:dyDescent="0.2">
      <c r="A564">
        <v>2018</v>
      </c>
      <c r="B564" t="s">
        <v>258</v>
      </c>
      <c r="C564" t="s">
        <v>225</v>
      </c>
      <c r="D564">
        <v>1152904</v>
      </c>
    </row>
    <row r="565" spans="1:4" x14ac:dyDescent="0.2">
      <c r="A565">
        <v>2018</v>
      </c>
      <c r="B565" t="s">
        <v>259</v>
      </c>
      <c r="C565" t="s">
        <v>226</v>
      </c>
      <c r="D565">
        <v>573813</v>
      </c>
    </row>
    <row r="566" spans="1:4" x14ac:dyDescent="0.2">
      <c r="A566">
        <v>2018</v>
      </c>
      <c r="B566" t="s">
        <v>260</v>
      </c>
      <c r="C566" t="s">
        <v>227</v>
      </c>
      <c r="D566">
        <v>8531099</v>
      </c>
    </row>
    <row r="567" spans="1:4" x14ac:dyDescent="0.2">
      <c r="A567">
        <v>2018</v>
      </c>
      <c r="B567" t="s">
        <v>261</v>
      </c>
      <c r="C567" t="s">
        <v>228</v>
      </c>
      <c r="D567">
        <v>3639321</v>
      </c>
    </row>
    <row r="568" spans="1:4" x14ac:dyDescent="0.2">
      <c r="A568">
        <v>2018</v>
      </c>
      <c r="B568" t="s">
        <v>276</v>
      </c>
      <c r="C568" t="s">
        <v>294</v>
      </c>
      <c r="D568">
        <v>10985768</v>
      </c>
    </row>
    <row r="569" spans="1:4" x14ac:dyDescent="0.2">
      <c r="A569">
        <v>2018</v>
      </c>
      <c r="B569" t="s">
        <v>277</v>
      </c>
      <c r="C569" t="s">
        <v>263</v>
      </c>
      <c r="D569">
        <v>1861082</v>
      </c>
    </row>
    <row r="570" spans="1:4" x14ac:dyDescent="0.2">
      <c r="A570">
        <v>2018</v>
      </c>
      <c r="B570" t="s">
        <v>278</v>
      </c>
      <c r="C570" t="s">
        <v>264</v>
      </c>
      <c r="D570">
        <v>311553</v>
      </c>
    </row>
    <row r="571" spans="1:4" x14ac:dyDescent="0.2">
      <c r="A571">
        <v>2018</v>
      </c>
      <c r="B571" t="s">
        <v>279</v>
      </c>
      <c r="C571" t="s">
        <v>295</v>
      </c>
      <c r="D571">
        <v>159876</v>
      </c>
    </row>
    <row r="572" spans="1:4" x14ac:dyDescent="0.2">
      <c r="A572">
        <v>2018</v>
      </c>
      <c r="B572" t="s">
        <v>280</v>
      </c>
      <c r="C572" t="s">
        <v>266</v>
      </c>
      <c r="D572" t="s">
        <v>297</v>
      </c>
    </row>
    <row r="573" spans="1:4" x14ac:dyDescent="0.2">
      <c r="A573">
        <v>2018</v>
      </c>
      <c r="B573" t="s">
        <v>281</v>
      </c>
      <c r="C573" t="s">
        <v>267</v>
      </c>
      <c r="D573">
        <v>95201</v>
      </c>
    </row>
    <row r="574" spans="1:4" x14ac:dyDescent="0.2">
      <c r="A574">
        <v>2018</v>
      </c>
      <c r="B574" t="s">
        <v>282</v>
      </c>
      <c r="C574" t="s">
        <v>268</v>
      </c>
      <c r="D574">
        <v>1394319</v>
      </c>
    </row>
    <row r="575" spans="1:4" x14ac:dyDescent="0.2">
      <c r="A575">
        <v>2018</v>
      </c>
      <c r="B575" t="s">
        <v>283</v>
      </c>
      <c r="C575" t="s">
        <v>269</v>
      </c>
      <c r="D575">
        <v>179115</v>
      </c>
    </row>
    <row r="576" spans="1:4" x14ac:dyDescent="0.2">
      <c r="A576">
        <v>2018</v>
      </c>
      <c r="B576" t="s">
        <v>284</v>
      </c>
      <c r="C576" t="s">
        <v>270</v>
      </c>
      <c r="D576">
        <v>110026</v>
      </c>
    </row>
    <row r="577" spans="1:4" x14ac:dyDescent="0.2">
      <c r="A577">
        <v>2018</v>
      </c>
      <c r="B577" t="s">
        <v>285</v>
      </c>
      <c r="C577" t="s">
        <v>296</v>
      </c>
      <c r="D577">
        <v>33977</v>
      </c>
    </row>
    <row r="578" spans="1:4" x14ac:dyDescent="0.2">
      <c r="A578">
        <v>2018</v>
      </c>
      <c r="B578" t="s">
        <v>286</v>
      </c>
      <c r="C578" t="s">
        <v>272</v>
      </c>
      <c r="D578">
        <v>135138</v>
      </c>
    </row>
    <row r="579" spans="1:4" x14ac:dyDescent="0.2">
      <c r="A579">
        <v>2018</v>
      </c>
      <c r="B579" t="s">
        <v>287</v>
      </c>
      <c r="C579" t="s">
        <v>273</v>
      </c>
      <c r="D579">
        <v>724752</v>
      </c>
    </row>
    <row r="580" spans="1:4" x14ac:dyDescent="0.2">
      <c r="A580">
        <v>2018</v>
      </c>
      <c r="B580" t="s">
        <v>288</v>
      </c>
      <c r="C580" t="s">
        <v>274</v>
      </c>
      <c r="D580">
        <v>271290</v>
      </c>
    </row>
    <row r="581" spans="1:4" x14ac:dyDescent="0.2">
      <c r="A581">
        <v>2018</v>
      </c>
      <c r="B581" t="s">
        <v>289</v>
      </c>
      <c r="C581" t="s">
        <v>275</v>
      </c>
      <c r="D581">
        <v>85036</v>
      </c>
    </row>
    <row r="582" spans="1:4" x14ac:dyDescent="0.2">
      <c r="A582">
        <v>2019</v>
      </c>
      <c r="B582">
        <v>40100</v>
      </c>
      <c r="C582" t="s">
        <v>0</v>
      </c>
      <c r="D582">
        <v>4317242</v>
      </c>
    </row>
    <row r="583" spans="1:4" x14ac:dyDescent="0.2">
      <c r="A583">
        <v>2019</v>
      </c>
      <c r="B583">
        <v>40101</v>
      </c>
      <c r="C583" t="s">
        <v>1</v>
      </c>
      <c r="D583">
        <v>14849314</v>
      </c>
    </row>
    <row r="584" spans="1:4" x14ac:dyDescent="0.2">
      <c r="A584">
        <v>2019</v>
      </c>
      <c r="B584">
        <v>40102</v>
      </c>
      <c r="C584" t="s">
        <v>2</v>
      </c>
      <c r="D584">
        <v>1753675</v>
      </c>
    </row>
    <row r="585" spans="1:4" x14ac:dyDescent="0.2">
      <c r="A585">
        <v>2019</v>
      </c>
      <c r="B585">
        <v>40103</v>
      </c>
      <c r="C585" t="s">
        <v>3</v>
      </c>
      <c r="D585">
        <v>1251063</v>
      </c>
    </row>
    <row r="586" spans="1:4" x14ac:dyDescent="0.2">
      <c r="A586">
        <v>2019</v>
      </c>
      <c r="B586">
        <v>40104</v>
      </c>
      <c r="C586" t="s">
        <v>4</v>
      </c>
      <c r="D586">
        <v>3642767</v>
      </c>
    </row>
    <row r="587" spans="1:4" x14ac:dyDescent="0.2">
      <c r="A587">
        <v>2019</v>
      </c>
      <c r="B587">
        <v>40105</v>
      </c>
      <c r="C587" t="s">
        <v>5</v>
      </c>
      <c r="D587">
        <v>1731624</v>
      </c>
    </row>
    <row r="588" spans="1:4" x14ac:dyDescent="0.2">
      <c r="A588">
        <v>2019</v>
      </c>
      <c r="B588">
        <v>40106</v>
      </c>
      <c r="C588" t="s">
        <v>6</v>
      </c>
      <c r="D588">
        <v>47253709</v>
      </c>
    </row>
    <row r="589" spans="1:4" x14ac:dyDescent="0.2">
      <c r="A589">
        <v>2019</v>
      </c>
      <c r="B589">
        <v>40107</v>
      </c>
      <c r="C589" t="s">
        <v>7</v>
      </c>
      <c r="D589">
        <v>9055663</v>
      </c>
    </row>
    <row r="590" spans="1:4" x14ac:dyDescent="0.2">
      <c r="A590">
        <v>2019</v>
      </c>
      <c r="B590">
        <v>40108</v>
      </c>
      <c r="C590" t="s">
        <v>8</v>
      </c>
      <c r="D590">
        <v>696997</v>
      </c>
    </row>
    <row r="591" spans="1:4" x14ac:dyDescent="0.2">
      <c r="A591">
        <v>2019</v>
      </c>
      <c r="B591">
        <v>40109</v>
      </c>
      <c r="C591" t="s">
        <v>9</v>
      </c>
      <c r="D591">
        <v>7967770</v>
      </c>
    </row>
    <row r="592" spans="1:4" x14ac:dyDescent="0.2">
      <c r="A592">
        <v>2019</v>
      </c>
      <c r="B592">
        <v>40110</v>
      </c>
      <c r="C592" t="s">
        <v>10</v>
      </c>
      <c r="D592">
        <v>535709</v>
      </c>
    </row>
    <row r="593" spans="1:4" x14ac:dyDescent="0.2">
      <c r="A593">
        <v>2019</v>
      </c>
      <c r="B593">
        <v>40111</v>
      </c>
      <c r="C593" t="s">
        <v>11</v>
      </c>
      <c r="D593">
        <v>4268700</v>
      </c>
    </row>
    <row r="594" spans="1:4" x14ac:dyDescent="0.2">
      <c r="A594">
        <v>2019</v>
      </c>
      <c r="B594">
        <v>40112</v>
      </c>
      <c r="C594" t="s">
        <v>12</v>
      </c>
      <c r="D594">
        <v>1378861</v>
      </c>
    </row>
    <row r="595" spans="1:4" x14ac:dyDescent="0.2">
      <c r="A595">
        <v>2019</v>
      </c>
      <c r="B595">
        <v>40113</v>
      </c>
      <c r="C595" t="s">
        <v>13</v>
      </c>
      <c r="D595">
        <v>2101070</v>
      </c>
    </row>
    <row r="596" spans="1:4" x14ac:dyDescent="0.2">
      <c r="A596">
        <v>2019</v>
      </c>
      <c r="B596">
        <v>40114</v>
      </c>
      <c r="C596" t="s">
        <v>14</v>
      </c>
      <c r="D596">
        <v>1651385</v>
      </c>
    </row>
    <row r="597" spans="1:4" x14ac:dyDescent="0.2">
      <c r="A597">
        <v>2019</v>
      </c>
      <c r="B597">
        <v>40115</v>
      </c>
      <c r="C597" t="s">
        <v>15</v>
      </c>
      <c r="D597">
        <v>6099823</v>
      </c>
    </row>
    <row r="598" spans="1:4" x14ac:dyDescent="0.2">
      <c r="A598">
        <v>2019</v>
      </c>
      <c r="B598">
        <v>40116</v>
      </c>
      <c r="C598" t="s">
        <v>16</v>
      </c>
      <c r="D598">
        <v>3262554</v>
      </c>
    </row>
    <row r="599" spans="1:4" x14ac:dyDescent="0.2">
      <c r="A599">
        <v>2019</v>
      </c>
      <c r="B599">
        <v>40117</v>
      </c>
      <c r="C599" t="s">
        <v>17</v>
      </c>
      <c r="D599">
        <v>3259708</v>
      </c>
    </row>
    <row r="600" spans="1:4" x14ac:dyDescent="0.2">
      <c r="A600">
        <v>2019</v>
      </c>
      <c r="B600">
        <v>40118</v>
      </c>
      <c r="C600" t="s">
        <v>18</v>
      </c>
      <c r="D600">
        <v>655188</v>
      </c>
    </row>
    <row r="601" spans="1:4" x14ac:dyDescent="0.2">
      <c r="A601">
        <v>2019</v>
      </c>
      <c r="B601">
        <v>40119</v>
      </c>
      <c r="C601" t="s">
        <v>19</v>
      </c>
      <c r="D601">
        <v>1710602</v>
      </c>
    </row>
    <row r="602" spans="1:4" x14ac:dyDescent="0.2">
      <c r="A602">
        <v>2019</v>
      </c>
      <c r="B602">
        <v>40120</v>
      </c>
      <c r="C602" t="s">
        <v>20</v>
      </c>
      <c r="D602">
        <v>47786369</v>
      </c>
    </row>
    <row r="603" spans="1:4" x14ac:dyDescent="0.2">
      <c r="A603">
        <v>2019</v>
      </c>
      <c r="B603">
        <v>40121</v>
      </c>
      <c r="C603" t="s">
        <v>21</v>
      </c>
      <c r="D603">
        <v>1915267</v>
      </c>
    </row>
    <row r="604" spans="1:4" x14ac:dyDescent="0.2">
      <c r="A604">
        <v>2019</v>
      </c>
      <c r="B604">
        <v>40122</v>
      </c>
      <c r="C604" t="s">
        <v>22</v>
      </c>
      <c r="D604">
        <v>544135</v>
      </c>
    </row>
    <row r="605" spans="1:4" x14ac:dyDescent="0.2">
      <c r="A605">
        <v>2019</v>
      </c>
      <c r="B605">
        <v>40123</v>
      </c>
      <c r="C605" t="s">
        <v>23</v>
      </c>
      <c r="D605">
        <v>6982127</v>
      </c>
    </row>
    <row r="606" spans="1:4" x14ac:dyDescent="0.2">
      <c r="A606">
        <v>2019</v>
      </c>
      <c r="B606">
        <v>40124</v>
      </c>
      <c r="C606" t="s">
        <v>24</v>
      </c>
      <c r="D606">
        <v>1221265</v>
      </c>
    </row>
    <row r="607" spans="1:4" x14ac:dyDescent="0.2">
      <c r="A607">
        <v>2019</v>
      </c>
      <c r="B607">
        <v>40125</v>
      </c>
      <c r="C607" t="s">
        <v>25</v>
      </c>
      <c r="D607">
        <v>1476075</v>
      </c>
    </row>
    <row r="608" spans="1:4" x14ac:dyDescent="0.2">
      <c r="A608">
        <v>2019</v>
      </c>
      <c r="B608">
        <v>40126</v>
      </c>
      <c r="C608" t="s">
        <v>26</v>
      </c>
      <c r="D608">
        <v>3628519</v>
      </c>
    </row>
    <row r="609" spans="1:4" x14ac:dyDescent="0.2">
      <c r="A609">
        <v>2019</v>
      </c>
      <c r="B609">
        <v>40128</v>
      </c>
      <c r="C609" t="s">
        <v>27</v>
      </c>
      <c r="D609">
        <v>1195391</v>
      </c>
    </row>
    <row r="610" spans="1:4" x14ac:dyDescent="0.2">
      <c r="A610">
        <v>2019</v>
      </c>
      <c r="B610">
        <v>40129</v>
      </c>
      <c r="C610" t="s">
        <v>28</v>
      </c>
      <c r="D610">
        <v>236695060</v>
      </c>
    </row>
    <row r="611" spans="1:4" x14ac:dyDescent="0.2">
      <c r="A611">
        <v>2019</v>
      </c>
      <c r="B611">
        <v>40130</v>
      </c>
      <c r="C611" t="s">
        <v>29</v>
      </c>
      <c r="D611">
        <v>11554803</v>
      </c>
    </row>
    <row r="612" spans="1:4" x14ac:dyDescent="0.2">
      <c r="A612">
        <v>2019</v>
      </c>
      <c r="B612">
        <v>40131</v>
      </c>
      <c r="C612" t="s">
        <v>30</v>
      </c>
      <c r="D612">
        <v>1694195</v>
      </c>
    </row>
    <row r="613" spans="1:4" x14ac:dyDescent="0.2">
      <c r="A613">
        <v>2019</v>
      </c>
      <c r="B613">
        <v>40132</v>
      </c>
      <c r="C613" t="s">
        <v>31</v>
      </c>
      <c r="D613">
        <v>3791174</v>
      </c>
    </row>
    <row r="614" spans="1:4" x14ac:dyDescent="0.2">
      <c r="A614">
        <v>2019</v>
      </c>
      <c r="B614">
        <v>40133</v>
      </c>
      <c r="C614" t="s">
        <v>64</v>
      </c>
      <c r="D614">
        <v>6632588</v>
      </c>
    </row>
    <row r="615" spans="1:4" x14ac:dyDescent="0.2">
      <c r="A615">
        <v>2019</v>
      </c>
      <c r="B615">
        <v>40134</v>
      </c>
      <c r="C615" t="s">
        <v>65</v>
      </c>
      <c r="D615">
        <v>14175476</v>
      </c>
    </row>
    <row r="616" spans="1:4" x14ac:dyDescent="0.2">
      <c r="A616">
        <v>2019</v>
      </c>
      <c r="B616">
        <v>40135</v>
      </c>
      <c r="C616" t="s">
        <v>66</v>
      </c>
      <c r="D616">
        <v>1933433</v>
      </c>
    </row>
    <row r="617" spans="1:4" x14ac:dyDescent="0.2">
      <c r="A617">
        <v>2019</v>
      </c>
      <c r="B617">
        <v>40136</v>
      </c>
      <c r="C617" t="s">
        <v>67</v>
      </c>
      <c r="D617">
        <v>4784384</v>
      </c>
    </row>
    <row r="618" spans="1:4" x14ac:dyDescent="0.2">
      <c r="A618">
        <v>2019</v>
      </c>
      <c r="B618">
        <v>40137</v>
      </c>
      <c r="C618" t="s">
        <v>68</v>
      </c>
      <c r="D618">
        <v>2373459</v>
      </c>
    </row>
    <row r="619" spans="1:4" x14ac:dyDescent="0.2">
      <c r="A619">
        <v>2019</v>
      </c>
      <c r="B619">
        <v>40138</v>
      </c>
      <c r="C619" t="s">
        <v>69</v>
      </c>
      <c r="D619">
        <v>1337975</v>
      </c>
    </row>
    <row r="620" spans="1:4" x14ac:dyDescent="0.2">
      <c r="A620">
        <v>2019</v>
      </c>
      <c r="B620">
        <v>40139</v>
      </c>
      <c r="C620" t="s">
        <v>70</v>
      </c>
      <c r="D620">
        <v>2684578</v>
      </c>
    </row>
    <row r="621" spans="1:4" x14ac:dyDescent="0.2">
      <c r="A621">
        <v>2019</v>
      </c>
      <c r="B621">
        <v>40140</v>
      </c>
      <c r="C621" t="s">
        <v>71</v>
      </c>
      <c r="D621">
        <v>2047927</v>
      </c>
    </row>
    <row r="622" spans="1:4" x14ac:dyDescent="0.2">
      <c r="A622">
        <v>2019</v>
      </c>
      <c r="B622">
        <v>40141</v>
      </c>
      <c r="C622" t="s">
        <v>72</v>
      </c>
      <c r="D622">
        <v>4246045</v>
      </c>
    </row>
    <row r="623" spans="1:4" x14ac:dyDescent="0.2">
      <c r="A623">
        <v>2019</v>
      </c>
      <c r="B623">
        <v>40142</v>
      </c>
      <c r="C623" t="s">
        <v>73</v>
      </c>
      <c r="D623">
        <v>15837890</v>
      </c>
    </row>
    <row r="624" spans="1:4" x14ac:dyDescent="0.2">
      <c r="A624">
        <v>2019</v>
      </c>
      <c r="B624">
        <v>40143</v>
      </c>
      <c r="C624" t="s">
        <v>74</v>
      </c>
      <c r="D624">
        <v>42375570</v>
      </c>
    </row>
    <row r="625" spans="1:4" x14ac:dyDescent="0.2">
      <c r="A625">
        <v>2019</v>
      </c>
      <c r="B625">
        <v>40144</v>
      </c>
      <c r="C625" t="s">
        <v>75</v>
      </c>
      <c r="D625">
        <v>5742495</v>
      </c>
    </row>
    <row r="626" spans="1:4" x14ac:dyDescent="0.2">
      <c r="A626">
        <v>2019</v>
      </c>
      <c r="B626">
        <v>40145</v>
      </c>
      <c r="C626" t="s">
        <v>76</v>
      </c>
      <c r="D626">
        <v>291131</v>
      </c>
    </row>
    <row r="627" spans="1:4" x14ac:dyDescent="0.2">
      <c r="A627">
        <v>2019</v>
      </c>
      <c r="B627">
        <v>40146</v>
      </c>
      <c r="C627" t="s">
        <v>77</v>
      </c>
      <c r="D627">
        <v>4771129</v>
      </c>
    </row>
    <row r="628" spans="1:4" x14ac:dyDescent="0.2">
      <c r="A628">
        <v>2019</v>
      </c>
      <c r="B628">
        <v>40148</v>
      </c>
      <c r="C628" t="s">
        <v>78</v>
      </c>
      <c r="D628">
        <v>3599745</v>
      </c>
    </row>
    <row r="629" spans="1:4" x14ac:dyDescent="0.2">
      <c r="A629">
        <v>2019</v>
      </c>
      <c r="B629">
        <v>40149</v>
      </c>
      <c r="C629" t="s">
        <v>79</v>
      </c>
      <c r="D629">
        <v>708396</v>
      </c>
    </row>
    <row r="630" spans="1:4" x14ac:dyDescent="0.2">
      <c r="A630">
        <v>2019</v>
      </c>
      <c r="B630">
        <v>40150</v>
      </c>
      <c r="C630" t="s">
        <v>80</v>
      </c>
      <c r="D630">
        <v>1862772</v>
      </c>
    </row>
    <row r="631" spans="1:4" x14ac:dyDescent="0.2">
      <c r="A631">
        <v>2019</v>
      </c>
      <c r="B631">
        <v>40151</v>
      </c>
      <c r="C631" t="s">
        <v>81</v>
      </c>
      <c r="D631">
        <v>1164160</v>
      </c>
    </row>
    <row r="632" spans="1:4" x14ac:dyDescent="0.2">
      <c r="A632">
        <v>2019</v>
      </c>
      <c r="B632">
        <v>40152</v>
      </c>
      <c r="C632" t="s">
        <v>82</v>
      </c>
      <c r="D632">
        <v>2852616</v>
      </c>
    </row>
    <row r="633" spans="1:4" x14ac:dyDescent="0.2">
      <c r="A633">
        <v>2019</v>
      </c>
      <c r="B633">
        <v>40153</v>
      </c>
      <c r="C633" t="s">
        <v>83</v>
      </c>
      <c r="D633">
        <v>95362004</v>
      </c>
    </row>
    <row r="634" spans="1:4" x14ac:dyDescent="0.2">
      <c r="A634">
        <v>2019</v>
      </c>
      <c r="B634">
        <v>40154</v>
      </c>
      <c r="C634" t="s">
        <v>84</v>
      </c>
      <c r="D634">
        <v>4471730</v>
      </c>
    </row>
    <row r="635" spans="1:4" x14ac:dyDescent="0.2">
      <c r="A635">
        <v>2019</v>
      </c>
      <c r="B635">
        <v>40155</v>
      </c>
      <c r="C635" t="s">
        <v>85</v>
      </c>
      <c r="D635">
        <v>1254083</v>
      </c>
    </row>
    <row r="636" spans="1:4" x14ac:dyDescent="0.2">
      <c r="A636">
        <v>2019</v>
      </c>
      <c r="B636">
        <v>40156</v>
      </c>
      <c r="C636" t="s">
        <v>86</v>
      </c>
      <c r="D636">
        <v>1541453</v>
      </c>
    </row>
    <row r="637" spans="1:4" x14ac:dyDescent="0.2">
      <c r="A637">
        <v>2019</v>
      </c>
      <c r="B637">
        <v>40157</v>
      </c>
      <c r="C637" t="s">
        <v>87</v>
      </c>
      <c r="D637">
        <v>1017427</v>
      </c>
    </row>
    <row r="638" spans="1:4" x14ac:dyDescent="0.2">
      <c r="A638">
        <v>2019</v>
      </c>
      <c r="B638">
        <v>40158</v>
      </c>
      <c r="C638" t="s">
        <v>88</v>
      </c>
      <c r="D638">
        <v>3531727</v>
      </c>
    </row>
    <row r="639" spans="1:4" x14ac:dyDescent="0.2">
      <c r="A639">
        <v>2019</v>
      </c>
      <c r="B639">
        <v>40159</v>
      </c>
      <c r="C639" t="s">
        <v>89</v>
      </c>
      <c r="D639">
        <v>1365093</v>
      </c>
    </row>
    <row r="640" spans="1:4" x14ac:dyDescent="0.2">
      <c r="A640">
        <v>2019</v>
      </c>
      <c r="B640">
        <v>40160</v>
      </c>
      <c r="C640" t="s">
        <v>90</v>
      </c>
      <c r="D640">
        <v>8130177</v>
      </c>
    </row>
    <row r="641" spans="1:4" x14ac:dyDescent="0.2">
      <c r="A641">
        <v>2019</v>
      </c>
      <c r="B641">
        <v>40162</v>
      </c>
      <c r="C641" t="s">
        <v>91</v>
      </c>
      <c r="D641">
        <v>1815913</v>
      </c>
    </row>
    <row r="642" spans="1:4" x14ac:dyDescent="0.2">
      <c r="A642">
        <v>2019</v>
      </c>
      <c r="B642">
        <v>40163</v>
      </c>
      <c r="C642" t="s">
        <v>92</v>
      </c>
      <c r="D642">
        <v>2607276</v>
      </c>
    </row>
    <row r="643" spans="1:4" x14ac:dyDescent="0.2">
      <c r="A643">
        <v>2019</v>
      </c>
      <c r="B643">
        <v>40165</v>
      </c>
      <c r="C643" t="s">
        <v>93</v>
      </c>
      <c r="D643">
        <v>1452768</v>
      </c>
    </row>
    <row r="644" spans="1:4" x14ac:dyDescent="0.2">
      <c r="A644">
        <v>2019</v>
      </c>
      <c r="B644">
        <v>40166</v>
      </c>
      <c r="C644" t="s">
        <v>94</v>
      </c>
      <c r="D644">
        <v>1266384</v>
      </c>
    </row>
    <row r="645" spans="1:4" x14ac:dyDescent="0.2">
      <c r="A645">
        <v>2019</v>
      </c>
      <c r="B645">
        <v>40167</v>
      </c>
      <c r="C645" t="s">
        <v>95</v>
      </c>
      <c r="D645">
        <v>1700907</v>
      </c>
    </row>
    <row r="646" spans="1:4" x14ac:dyDescent="0.2">
      <c r="A646">
        <v>2019</v>
      </c>
      <c r="B646">
        <v>40168</v>
      </c>
      <c r="C646" t="s">
        <v>96</v>
      </c>
      <c r="D646">
        <v>4118715</v>
      </c>
    </row>
    <row r="647" spans="1:4" x14ac:dyDescent="0.2">
      <c r="A647">
        <v>2019</v>
      </c>
      <c r="B647">
        <v>40169</v>
      </c>
      <c r="C647" t="s">
        <v>130</v>
      </c>
      <c r="D647">
        <v>2857022</v>
      </c>
    </row>
    <row r="648" spans="1:4" x14ac:dyDescent="0.2">
      <c r="A648">
        <v>2019</v>
      </c>
      <c r="B648">
        <v>40170</v>
      </c>
      <c r="C648" t="s">
        <v>131</v>
      </c>
      <c r="D648">
        <v>1952432</v>
      </c>
    </row>
    <row r="649" spans="1:4" x14ac:dyDescent="0.2">
      <c r="A649">
        <v>2019</v>
      </c>
      <c r="B649">
        <v>40171</v>
      </c>
      <c r="C649" t="s">
        <v>132</v>
      </c>
      <c r="D649">
        <v>6863657</v>
      </c>
    </row>
    <row r="650" spans="1:4" x14ac:dyDescent="0.2">
      <c r="A650">
        <v>2019</v>
      </c>
      <c r="B650">
        <v>40172</v>
      </c>
      <c r="C650" t="s">
        <v>133</v>
      </c>
      <c r="D650">
        <v>3770593</v>
      </c>
    </row>
    <row r="651" spans="1:4" x14ac:dyDescent="0.2">
      <c r="A651">
        <v>2019</v>
      </c>
      <c r="B651">
        <v>40173</v>
      </c>
      <c r="C651" t="s">
        <v>134</v>
      </c>
      <c r="D651">
        <v>1785470</v>
      </c>
    </row>
    <row r="652" spans="1:4" x14ac:dyDescent="0.2">
      <c r="A652">
        <v>2019</v>
      </c>
      <c r="B652">
        <v>40174</v>
      </c>
      <c r="C652" t="s">
        <v>135</v>
      </c>
      <c r="D652">
        <v>5014219</v>
      </c>
    </row>
    <row r="653" spans="1:4" x14ac:dyDescent="0.2">
      <c r="A653">
        <v>2019</v>
      </c>
      <c r="B653">
        <v>40176</v>
      </c>
      <c r="C653" t="s">
        <v>136</v>
      </c>
      <c r="D653">
        <v>84726879</v>
      </c>
    </row>
    <row r="654" spans="1:4" x14ac:dyDescent="0.2">
      <c r="A654">
        <v>2019</v>
      </c>
      <c r="B654">
        <v>40177</v>
      </c>
      <c r="C654" t="s">
        <v>137</v>
      </c>
      <c r="D654">
        <v>3309996</v>
      </c>
    </row>
    <row r="655" spans="1:4" x14ac:dyDescent="0.2">
      <c r="A655">
        <v>2019</v>
      </c>
      <c r="B655">
        <v>40178</v>
      </c>
      <c r="C655" t="s">
        <v>138</v>
      </c>
      <c r="D655">
        <v>886523</v>
      </c>
    </row>
    <row r="656" spans="1:4" x14ac:dyDescent="0.2">
      <c r="A656">
        <v>2019</v>
      </c>
      <c r="B656">
        <v>40179</v>
      </c>
      <c r="C656" t="s">
        <v>139</v>
      </c>
      <c r="D656">
        <v>1076144</v>
      </c>
    </row>
    <row r="657" spans="1:4" x14ac:dyDescent="0.2">
      <c r="A657">
        <v>2019</v>
      </c>
      <c r="B657">
        <v>40180</v>
      </c>
      <c r="C657" t="s">
        <v>140</v>
      </c>
      <c r="D657">
        <v>11946567</v>
      </c>
    </row>
    <row r="658" spans="1:4" x14ac:dyDescent="0.2">
      <c r="A658">
        <v>2019</v>
      </c>
      <c r="B658">
        <v>40181</v>
      </c>
      <c r="C658" t="s">
        <v>141</v>
      </c>
      <c r="D658">
        <v>2674582</v>
      </c>
    </row>
    <row r="659" spans="1:4" x14ac:dyDescent="0.2">
      <c r="A659">
        <v>2019</v>
      </c>
      <c r="B659">
        <v>40182</v>
      </c>
      <c r="C659" t="s">
        <v>142</v>
      </c>
      <c r="D659">
        <v>10399356</v>
      </c>
    </row>
    <row r="660" spans="1:4" x14ac:dyDescent="0.2">
      <c r="A660">
        <v>2019</v>
      </c>
      <c r="B660">
        <v>40183</v>
      </c>
      <c r="C660" t="s">
        <v>143</v>
      </c>
      <c r="D660">
        <v>2854073</v>
      </c>
    </row>
    <row r="661" spans="1:4" x14ac:dyDescent="0.2">
      <c r="A661">
        <v>2019</v>
      </c>
      <c r="B661">
        <v>40184</v>
      </c>
      <c r="C661" t="s">
        <v>144</v>
      </c>
      <c r="D661">
        <v>3159929</v>
      </c>
    </row>
    <row r="662" spans="1:4" x14ac:dyDescent="0.2">
      <c r="A662">
        <v>2019</v>
      </c>
      <c r="B662">
        <v>40185</v>
      </c>
      <c r="C662" t="s">
        <v>145</v>
      </c>
      <c r="D662">
        <v>5724764</v>
      </c>
    </row>
    <row r="663" spans="1:4" x14ac:dyDescent="0.2">
      <c r="A663">
        <v>2019</v>
      </c>
      <c r="B663">
        <v>40186</v>
      </c>
      <c r="C663" t="s">
        <v>146</v>
      </c>
      <c r="D663">
        <v>3478565</v>
      </c>
    </row>
    <row r="664" spans="1:4" x14ac:dyDescent="0.2">
      <c r="A664">
        <v>2019</v>
      </c>
      <c r="B664">
        <v>40187</v>
      </c>
      <c r="C664" t="s">
        <v>147</v>
      </c>
      <c r="D664">
        <v>2088514</v>
      </c>
    </row>
    <row r="665" spans="1:4" x14ac:dyDescent="0.2">
      <c r="A665">
        <v>2019</v>
      </c>
      <c r="B665">
        <v>40188</v>
      </c>
      <c r="C665" t="s">
        <v>148</v>
      </c>
      <c r="D665">
        <v>20256640</v>
      </c>
    </row>
    <row r="666" spans="1:4" x14ac:dyDescent="0.2">
      <c r="A666">
        <v>2019</v>
      </c>
      <c r="B666">
        <v>40189</v>
      </c>
      <c r="C666" t="s">
        <v>149</v>
      </c>
      <c r="D666">
        <v>24371587</v>
      </c>
    </row>
    <row r="667" spans="1:4" x14ac:dyDescent="0.2">
      <c r="A667">
        <v>2019</v>
      </c>
      <c r="B667">
        <v>40190</v>
      </c>
      <c r="C667" t="s">
        <v>150</v>
      </c>
      <c r="D667">
        <v>1197213</v>
      </c>
    </row>
    <row r="668" spans="1:4" x14ac:dyDescent="0.2">
      <c r="A668">
        <v>2019</v>
      </c>
      <c r="B668">
        <v>40191</v>
      </c>
      <c r="C668" t="s">
        <v>151</v>
      </c>
      <c r="D668">
        <v>1227843</v>
      </c>
    </row>
    <row r="669" spans="1:4" x14ac:dyDescent="0.2">
      <c r="A669">
        <v>2019</v>
      </c>
      <c r="B669">
        <v>40192</v>
      </c>
      <c r="C669" t="s">
        <v>152</v>
      </c>
      <c r="D669">
        <v>3826971</v>
      </c>
    </row>
    <row r="670" spans="1:4" x14ac:dyDescent="0.2">
      <c r="A670">
        <v>2019</v>
      </c>
      <c r="B670">
        <v>40193</v>
      </c>
      <c r="C670" t="s">
        <v>153</v>
      </c>
      <c r="D670">
        <v>4609126</v>
      </c>
    </row>
    <row r="671" spans="1:4" x14ac:dyDescent="0.2">
      <c r="A671">
        <v>2019</v>
      </c>
      <c r="B671">
        <v>40195</v>
      </c>
      <c r="C671" t="s">
        <v>154</v>
      </c>
      <c r="D671">
        <v>5469095</v>
      </c>
    </row>
    <row r="672" spans="1:4" x14ac:dyDescent="0.2">
      <c r="A672">
        <v>2019</v>
      </c>
      <c r="B672">
        <v>40196</v>
      </c>
      <c r="C672" t="s">
        <v>155</v>
      </c>
      <c r="D672">
        <v>1449843</v>
      </c>
    </row>
    <row r="673" spans="1:4" x14ac:dyDescent="0.2">
      <c r="A673">
        <v>2019</v>
      </c>
      <c r="B673">
        <v>40197</v>
      </c>
      <c r="C673" t="s">
        <v>156</v>
      </c>
      <c r="D673">
        <v>4309336</v>
      </c>
    </row>
    <row r="674" spans="1:4" x14ac:dyDescent="0.2">
      <c r="A674">
        <v>2019</v>
      </c>
      <c r="B674">
        <v>40198</v>
      </c>
      <c r="C674" t="s">
        <v>157</v>
      </c>
      <c r="D674">
        <v>3238344</v>
      </c>
    </row>
    <row r="675" spans="1:4" x14ac:dyDescent="0.2">
      <c r="A675">
        <v>2019</v>
      </c>
      <c r="B675">
        <v>40199</v>
      </c>
      <c r="C675" t="s">
        <v>158</v>
      </c>
      <c r="D675">
        <v>10915745</v>
      </c>
    </row>
    <row r="676" spans="1:4" x14ac:dyDescent="0.2">
      <c r="A676">
        <v>2019</v>
      </c>
      <c r="B676">
        <v>40200</v>
      </c>
      <c r="C676" t="s">
        <v>159</v>
      </c>
      <c r="D676">
        <v>23740092</v>
      </c>
    </row>
    <row r="677" spans="1:4" x14ac:dyDescent="0.2">
      <c r="A677">
        <v>2019</v>
      </c>
      <c r="B677">
        <v>40201</v>
      </c>
      <c r="C677" t="s">
        <v>160</v>
      </c>
      <c r="D677">
        <v>1909912</v>
      </c>
    </row>
    <row r="678" spans="1:4" x14ac:dyDescent="0.2">
      <c r="A678">
        <v>2019</v>
      </c>
      <c r="B678">
        <v>40202</v>
      </c>
      <c r="C678" t="s">
        <v>161</v>
      </c>
      <c r="D678">
        <v>809865</v>
      </c>
    </row>
    <row r="679" spans="1:4" x14ac:dyDescent="0.2">
      <c r="A679">
        <v>2019</v>
      </c>
      <c r="B679">
        <v>40203</v>
      </c>
      <c r="C679" t="s">
        <v>162</v>
      </c>
      <c r="D679">
        <v>6165180</v>
      </c>
    </row>
    <row r="680" spans="1:4" x14ac:dyDescent="0.2">
      <c r="A680">
        <v>2019</v>
      </c>
      <c r="B680">
        <v>40205</v>
      </c>
      <c r="C680" t="s">
        <v>196</v>
      </c>
      <c r="D680">
        <v>5422500</v>
      </c>
    </row>
    <row r="681" spans="1:4" x14ac:dyDescent="0.2">
      <c r="A681">
        <v>2019</v>
      </c>
      <c r="B681">
        <v>40206</v>
      </c>
      <c r="C681" t="s">
        <v>197</v>
      </c>
      <c r="D681">
        <v>3629710</v>
      </c>
    </row>
    <row r="682" spans="1:4" x14ac:dyDescent="0.2">
      <c r="A682">
        <v>2019</v>
      </c>
      <c r="B682">
        <v>40207</v>
      </c>
      <c r="C682" t="s">
        <v>198</v>
      </c>
      <c r="D682">
        <v>16645974</v>
      </c>
    </row>
    <row r="683" spans="1:4" x14ac:dyDescent="0.2">
      <c r="A683">
        <v>2019</v>
      </c>
      <c r="B683">
        <v>40208</v>
      </c>
      <c r="C683" t="s">
        <v>199</v>
      </c>
      <c r="D683">
        <v>6309660</v>
      </c>
    </row>
    <row r="684" spans="1:4" x14ac:dyDescent="0.2">
      <c r="A684">
        <v>2019</v>
      </c>
      <c r="B684">
        <v>40209</v>
      </c>
      <c r="C684" t="s">
        <v>200</v>
      </c>
      <c r="D684">
        <v>3999587</v>
      </c>
    </row>
    <row r="685" spans="1:4" x14ac:dyDescent="0.2">
      <c r="A685">
        <v>2019</v>
      </c>
      <c r="B685">
        <v>40210</v>
      </c>
      <c r="C685" t="s">
        <v>201</v>
      </c>
      <c r="D685">
        <v>8323399</v>
      </c>
    </row>
    <row r="686" spans="1:4" x14ac:dyDescent="0.2">
      <c r="A686">
        <v>2019</v>
      </c>
      <c r="B686">
        <v>40211</v>
      </c>
      <c r="C686" t="s">
        <v>202</v>
      </c>
      <c r="D686">
        <v>25217034</v>
      </c>
    </row>
    <row r="687" spans="1:4" x14ac:dyDescent="0.2">
      <c r="A687">
        <v>2019</v>
      </c>
      <c r="B687">
        <v>40212</v>
      </c>
      <c r="C687" t="s">
        <v>203</v>
      </c>
      <c r="D687">
        <v>32610188</v>
      </c>
    </row>
    <row r="688" spans="1:4" x14ac:dyDescent="0.2">
      <c r="A688">
        <v>2019</v>
      </c>
      <c r="B688">
        <v>40213</v>
      </c>
      <c r="C688" t="s">
        <v>204</v>
      </c>
      <c r="D688">
        <v>3640493</v>
      </c>
    </row>
    <row r="689" spans="1:4" x14ac:dyDescent="0.2">
      <c r="A689">
        <v>2019</v>
      </c>
      <c r="B689">
        <v>40214</v>
      </c>
      <c r="C689" t="s">
        <v>205</v>
      </c>
      <c r="D689">
        <v>12692239</v>
      </c>
    </row>
    <row r="690" spans="1:4" x14ac:dyDescent="0.2">
      <c r="A690">
        <v>2019</v>
      </c>
      <c r="B690">
        <v>40215</v>
      </c>
      <c r="C690" t="s">
        <v>206</v>
      </c>
      <c r="D690">
        <v>1375117</v>
      </c>
    </row>
    <row r="691" spans="1:4" x14ac:dyDescent="0.2">
      <c r="A691">
        <v>2019</v>
      </c>
      <c r="B691">
        <v>40216</v>
      </c>
      <c r="C691" t="s">
        <v>207</v>
      </c>
      <c r="D691">
        <v>26141439</v>
      </c>
    </row>
    <row r="692" spans="1:4" x14ac:dyDescent="0.2">
      <c r="A692">
        <v>2019</v>
      </c>
      <c r="B692">
        <v>40217</v>
      </c>
      <c r="C692" t="s">
        <v>208</v>
      </c>
      <c r="D692">
        <v>12653417</v>
      </c>
    </row>
    <row r="693" spans="1:4" x14ac:dyDescent="0.2">
      <c r="A693">
        <v>2019</v>
      </c>
      <c r="B693">
        <v>40219</v>
      </c>
      <c r="C693" t="s">
        <v>209</v>
      </c>
      <c r="D693">
        <v>2651420</v>
      </c>
    </row>
    <row r="694" spans="1:4" x14ac:dyDescent="0.2">
      <c r="A694">
        <v>2019</v>
      </c>
      <c r="B694">
        <v>40220</v>
      </c>
      <c r="C694" t="s">
        <v>210</v>
      </c>
      <c r="D694">
        <v>12563658</v>
      </c>
    </row>
    <row r="695" spans="1:4" x14ac:dyDescent="0.2">
      <c r="A695">
        <v>2019</v>
      </c>
      <c r="B695">
        <v>40222</v>
      </c>
      <c r="C695" t="s">
        <v>211</v>
      </c>
      <c r="D695">
        <v>4524669</v>
      </c>
    </row>
    <row r="696" spans="1:4" x14ac:dyDescent="0.2">
      <c r="A696">
        <v>2019</v>
      </c>
      <c r="B696">
        <v>40223</v>
      </c>
      <c r="C696" t="s">
        <v>212</v>
      </c>
      <c r="D696">
        <v>1840446</v>
      </c>
    </row>
    <row r="697" spans="1:4" x14ac:dyDescent="0.2">
      <c r="A697">
        <v>2019</v>
      </c>
      <c r="B697">
        <v>40224</v>
      </c>
      <c r="C697" t="s">
        <v>213</v>
      </c>
      <c r="D697">
        <v>4225485</v>
      </c>
    </row>
    <row r="698" spans="1:4" x14ac:dyDescent="0.2">
      <c r="A698">
        <v>2019</v>
      </c>
      <c r="B698">
        <v>40225</v>
      </c>
      <c r="C698" t="s">
        <v>214</v>
      </c>
      <c r="D698">
        <v>2989247</v>
      </c>
    </row>
    <row r="699" spans="1:4" x14ac:dyDescent="0.2">
      <c r="A699">
        <v>2019</v>
      </c>
      <c r="B699">
        <v>40230</v>
      </c>
      <c r="C699" t="s">
        <v>215</v>
      </c>
      <c r="D699">
        <v>846209</v>
      </c>
    </row>
    <row r="700" spans="1:4" x14ac:dyDescent="0.2">
      <c r="A700">
        <v>2019</v>
      </c>
      <c r="B700">
        <v>40231</v>
      </c>
      <c r="C700" t="s">
        <v>216</v>
      </c>
      <c r="D700">
        <v>14918</v>
      </c>
    </row>
    <row r="701" spans="1:4" x14ac:dyDescent="0.2">
      <c r="A701">
        <v>2019</v>
      </c>
      <c r="B701">
        <v>40232</v>
      </c>
      <c r="C701" t="s">
        <v>217</v>
      </c>
      <c r="D701">
        <v>1023588</v>
      </c>
    </row>
    <row r="702" spans="1:4" x14ac:dyDescent="0.2">
      <c r="A702">
        <v>2019</v>
      </c>
      <c r="B702">
        <v>40233</v>
      </c>
      <c r="C702" t="s">
        <v>218</v>
      </c>
      <c r="D702">
        <v>36880496</v>
      </c>
    </row>
    <row r="703" spans="1:4" x14ac:dyDescent="0.2">
      <c r="A703">
        <v>2019</v>
      </c>
      <c r="B703">
        <v>40234</v>
      </c>
      <c r="C703" t="s">
        <v>219</v>
      </c>
      <c r="D703">
        <v>64056333</v>
      </c>
    </row>
    <row r="704" spans="1:4" x14ac:dyDescent="0.2">
      <c r="A704">
        <v>2019</v>
      </c>
      <c r="B704">
        <v>40236</v>
      </c>
      <c r="C704" t="s">
        <v>220</v>
      </c>
      <c r="D704">
        <v>3355913</v>
      </c>
    </row>
    <row r="705" spans="1:4" x14ac:dyDescent="0.2">
      <c r="A705">
        <v>2019</v>
      </c>
      <c r="B705">
        <v>40306</v>
      </c>
      <c r="C705" t="s">
        <v>221</v>
      </c>
      <c r="D705">
        <v>873296</v>
      </c>
    </row>
    <row r="706" spans="1:4" x14ac:dyDescent="0.2">
      <c r="A706">
        <v>2019</v>
      </c>
      <c r="B706">
        <v>40307</v>
      </c>
      <c r="C706" t="s">
        <v>222</v>
      </c>
      <c r="D706">
        <v>472670</v>
      </c>
    </row>
    <row r="707" spans="1:4" x14ac:dyDescent="0.2">
      <c r="A707">
        <v>2019</v>
      </c>
      <c r="B707">
        <v>40308</v>
      </c>
      <c r="C707" t="s">
        <v>223</v>
      </c>
      <c r="D707">
        <v>2763669</v>
      </c>
    </row>
    <row r="708" spans="1:4" x14ac:dyDescent="0.2">
      <c r="A708">
        <v>2019</v>
      </c>
      <c r="B708">
        <v>40309</v>
      </c>
      <c r="C708" t="s">
        <v>224</v>
      </c>
      <c r="D708">
        <v>548406</v>
      </c>
    </row>
    <row r="709" spans="1:4" x14ac:dyDescent="0.2">
      <c r="A709">
        <v>2019</v>
      </c>
      <c r="B709">
        <v>40313</v>
      </c>
      <c r="C709" t="s">
        <v>225</v>
      </c>
      <c r="D709">
        <v>1139606</v>
      </c>
    </row>
    <row r="710" spans="1:4" x14ac:dyDescent="0.2">
      <c r="A710">
        <v>2019</v>
      </c>
      <c r="B710">
        <v>40314</v>
      </c>
      <c r="C710" t="s">
        <v>226</v>
      </c>
      <c r="D710">
        <v>538692</v>
      </c>
    </row>
    <row r="711" spans="1:4" x14ac:dyDescent="0.2">
      <c r="A711">
        <v>2019</v>
      </c>
      <c r="B711">
        <v>40332</v>
      </c>
      <c r="C711" t="s">
        <v>227</v>
      </c>
      <c r="D711">
        <v>8668259</v>
      </c>
    </row>
    <row r="712" spans="1:4" x14ac:dyDescent="0.2">
      <c r="A712">
        <v>2019</v>
      </c>
      <c r="B712">
        <v>40335</v>
      </c>
      <c r="C712" t="s">
        <v>228</v>
      </c>
      <c r="D712">
        <v>3538775</v>
      </c>
    </row>
    <row r="713" spans="1:4" x14ac:dyDescent="0.2">
      <c r="A713">
        <v>2019</v>
      </c>
      <c r="B713">
        <v>40402</v>
      </c>
      <c r="C713" t="s">
        <v>294</v>
      </c>
      <c r="D713">
        <v>11049526</v>
      </c>
    </row>
    <row r="714" spans="1:4" x14ac:dyDescent="0.2">
      <c r="A714">
        <v>2019</v>
      </c>
      <c r="B714">
        <v>40403</v>
      </c>
      <c r="C714" t="s">
        <v>263</v>
      </c>
      <c r="D714">
        <v>1816800</v>
      </c>
    </row>
    <row r="715" spans="1:4" x14ac:dyDescent="0.2">
      <c r="A715">
        <v>2019</v>
      </c>
      <c r="B715">
        <v>40410</v>
      </c>
      <c r="C715" t="s">
        <v>264</v>
      </c>
      <c r="D715">
        <v>308280</v>
      </c>
    </row>
    <row r="716" spans="1:4" x14ac:dyDescent="0.2">
      <c r="A716">
        <v>2019</v>
      </c>
      <c r="B716">
        <v>40412</v>
      </c>
      <c r="C716" t="s">
        <v>295</v>
      </c>
      <c r="D716">
        <v>182898</v>
      </c>
    </row>
    <row r="717" spans="1:4" x14ac:dyDescent="0.2">
      <c r="A717">
        <v>2019</v>
      </c>
      <c r="B717">
        <v>40413</v>
      </c>
      <c r="C717" t="s">
        <v>266</v>
      </c>
      <c r="D717" t="s">
        <v>297</v>
      </c>
    </row>
    <row r="718" spans="1:4" x14ac:dyDescent="0.2">
      <c r="A718">
        <v>2019</v>
      </c>
      <c r="B718">
        <v>40414</v>
      </c>
      <c r="C718" t="s">
        <v>267</v>
      </c>
      <c r="D718">
        <v>89319</v>
      </c>
    </row>
    <row r="719" spans="1:4" x14ac:dyDescent="0.2">
      <c r="A719">
        <v>2019</v>
      </c>
      <c r="B719">
        <v>40415</v>
      </c>
      <c r="C719" t="s">
        <v>268</v>
      </c>
      <c r="D719">
        <v>1357537</v>
      </c>
    </row>
    <row r="720" spans="1:4" x14ac:dyDescent="0.2">
      <c r="A720">
        <v>2019</v>
      </c>
      <c r="B720">
        <v>40416</v>
      </c>
      <c r="C720" t="s">
        <v>269</v>
      </c>
      <c r="D720">
        <v>180599</v>
      </c>
    </row>
    <row r="721" spans="1:4" x14ac:dyDescent="0.2">
      <c r="A721">
        <v>2019</v>
      </c>
      <c r="B721">
        <v>40417</v>
      </c>
      <c r="C721" t="s">
        <v>270</v>
      </c>
      <c r="D721">
        <v>119168</v>
      </c>
    </row>
    <row r="722" spans="1:4" x14ac:dyDescent="0.2">
      <c r="A722">
        <v>2019</v>
      </c>
      <c r="B722">
        <v>40418</v>
      </c>
      <c r="C722" t="s">
        <v>296</v>
      </c>
      <c r="D722">
        <v>40566</v>
      </c>
    </row>
    <row r="723" spans="1:4" x14ac:dyDescent="0.2">
      <c r="A723">
        <v>2019</v>
      </c>
      <c r="B723">
        <v>40421</v>
      </c>
      <c r="C723" t="s">
        <v>272</v>
      </c>
      <c r="D723">
        <v>128563</v>
      </c>
    </row>
    <row r="724" spans="1:4" x14ac:dyDescent="0.2">
      <c r="A724">
        <v>2019</v>
      </c>
      <c r="B724">
        <v>40423</v>
      </c>
      <c r="C724" t="s">
        <v>273</v>
      </c>
      <c r="D724">
        <v>673873</v>
      </c>
    </row>
    <row r="725" spans="1:4" x14ac:dyDescent="0.2">
      <c r="A725">
        <v>2019</v>
      </c>
      <c r="B725">
        <v>40424</v>
      </c>
      <c r="C725" t="s">
        <v>274</v>
      </c>
      <c r="D725">
        <v>288617</v>
      </c>
    </row>
    <row r="726" spans="1:4" x14ac:dyDescent="0.2">
      <c r="A726">
        <v>2019</v>
      </c>
      <c r="B726">
        <v>40425</v>
      </c>
      <c r="C726" t="s">
        <v>275</v>
      </c>
      <c r="D726">
        <v>74578</v>
      </c>
    </row>
    <row r="727" spans="1:4" x14ac:dyDescent="0.2">
      <c r="A727">
        <v>2020</v>
      </c>
      <c r="B727">
        <v>40100</v>
      </c>
      <c r="C727" t="s">
        <v>0</v>
      </c>
      <c r="D727">
        <v>4363784</v>
      </c>
    </row>
    <row r="728" spans="1:4" x14ac:dyDescent="0.2">
      <c r="A728">
        <v>2020</v>
      </c>
      <c r="B728">
        <v>40101</v>
      </c>
      <c r="C728" t="s">
        <v>1</v>
      </c>
      <c r="D728">
        <v>15466883</v>
      </c>
    </row>
    <row r="729" spans="1:4" x14ac:dyDescent="0.2">
      <c r="A729">
        <v>2020</v>
      </c>
      <c r="B729">
        <v>40102</v>
      </c>
      <c r="C729" t="s">
        <v>2</v>
      </c>
      <c r="D729">
        <v>1760805</v>
      </c>
    </row>
    <row r="730" spans="1:4" x14ac:dyDescent="0.2">
      <c r="A730">
        <v>2020</v>
      </c>
      <c r="B730">
        <v>40103</v>
      </c>
      <c r="C730" t="s">
        <v>3</v>
      </c>
      <c r="D730">
        <v>1307931</v>
      </c>
    </row>
    <row r="731" spans="1:4" x14ac:dyDescent="0.2">
      <c r="A731">
        <v>2020</v>
      </c>
      <c r="B731">
        <v>40104</v>
      </c>
      <c r="C731" t="s">
        <v>4</v>
      </c>
      <c r="D731">
        <v>3836338</v>
      </c>
    </row>
    <row r="732" spans="1:4" x14ac:dyDescent="0.2">
      <c r="A732">
        <v>2020</v>
      </c>
      <c r="B732">
        <v>40105</v>
      </c>
      <c r="C732" t="s">
        <v>5</v>
      </c>
      <c r="D732">
        <v>1773070</v>
      </c>
    </row>
    <row r="733" spans="1:4" x14ac:dyDescent="0.2">
      <c r="A733">
        <v>2020</v>
      </c>
      <c r="B733">
        <v>40106</v>
      </c>
      <c r="C733" t="s">
        <v>6</v>
      </c>
      <c r="D733">
        <v>48738280</v>
      </c>
    </row>
    <row r="734" spans="1:4" x14ac:dyDescent="0.2">
      <c r="A734">
        <v>2020</v>
      </c>
      <c r="B734">
        <v>40107</v>
      </c>
      <c r="C734" t="s">
        <v>7</v>
      </c>
      <c r="D734">
        <v>9300598</v>
      </c>
    </row>
    <row r="735" spans="1:4" x14ac:dyDescent="0.2">
      <c r="A735">
        <v>2020</v>
      </c>
      <c r="B735">
        <v>40108</v>
      </c>
      <c r="C735" t="s">
        <v>8</v>
      </c>
      <c r="D735">
        <v>702573</v>
      </c>
    </row>
    <row r="736" spans="1:4" x14ac:dyDescent="0.2">
      <c r="A736">
        <v>2020</v>
      </c>
      <c r="B736">
        <v>40109</v>
      </c>
      <c r="C736" t="s">
        <v>9</v>
      </c>
      <c r="D736">
        <v>8166050</v>
      </c>
    </row>
    <row r="737" spans="1:4" x14ac:dyDescent="0.2">
      <c r="A737">
        <v>2020</v>
      </c>
      <c r="B737">
        <v>40110</v>
      </c>
      <c r="C737" t="s">
        <v>10</v>
      </c>
      <c r="D737">
        <v>551169</v>
      </c>
    </row>
    <row r="738" spans="1:4" x14ac:dyDescent="0.2">
      <c r="A738">
        <v>2020</v>
      </c>
      <c r="B738">
        <v>40111</v>
      </c>
      <c r="C738" t="s">
        <v>11</v>
      </c>
      <c r="D738">
        <v>4393394</v>
      </c>
    </row>
    <row r="739" spans="1:4" x14ac:dyDescent="0.2">
      <c r="A739">
        <v>2020</v>
      </c>
      <c r="B739">
        <v>40112</v>
      </c>
      <c r="C739" t="s">
        <v>12</v>
      </c>
      <c r="D739">
        <v>1421634</v>
      </c>
    </row>
    <row r="740" spans="1:4" x14ac:dyDescent="0.2">
      <c r="A740">
        <v>2020</v>
      </c>
      <c r="B740">
        <v>40113</v>
      </c>
      <c r="C740" t="s">
        <v>13</v>
      </c>
      <c r="D740">
        <v>2102387</v>
      </c>
    </row>
    <row r="741" spans="1:4" x14ac:dyDescent="0.2">
      <c r="A741">
        <v>2020</v>
      </c>
      <c r="B741">
        <v>40114</v>
      </c>
      <c r="C741" t="s">
        <v>14</v>
      </c>
      <c r="D741">
        <v>1739502</v>
      </c>
    </row>
    <row r="742" spans="1:4" x14ac:dyDescent="0.2">
      <c r="A742">
        <v>2020</v>
      </c>
      <c r="B742">
        <v>40115</v>
      </c>
      <c r="C742" t="s">
        <v>15</v>
      </c>
      <c r="D742">
        <v>6392959</v>
      </c>
    </row>
    <row r="743" spans="1:4" x14ac:dyDescent="0.2">
      <c r="A743">
        <v>2020</v>
      </c>
      <c r="B743">
        <v>40116</v>
      </c>
      <c r="C743" t="s">
        <v>16</v>
      </c>
      <c r="D743">
        <v>3264607</v>
      </c>
    </row>
    <row r="744" spans="1:4" x14ac:dyDescent="0.2">
      <c r="A744">
        <v>2020</v>
      </c>
      <c r="B744">
        <v>40117</v>
      </c>
      <c r="C744" t="s">
        <v>17</v>
      </c>
      <c r="D744">
        <v>3356000</v>
      </c>
    </row>
    <row r="745" spans="1:4" x14ac:dyDescent="0.2">
      <c r="A745">
        <v>2020</v>
      </c>
      <c r="B745">
        <v>40118</v>
      </c>
      <c r="C745" t="s">
        <v>18</v>
      </c>
      <c r="D745">
        <v>635678</v>
      </c>
    </row>
    <row r="746" spans="1:4" x14ac:dyDescent="0.2">
      <c r="A746">
        <v>2020</v>
      </c>
      <c r="B746">
        <v>40119</v>
      </c>
      <c r="C746" t="s">
        <v>19</v>
      </c>
      <c r="D746">
        <v>1744225</v>
      </c>
    </row>
    <row r="747" spans="1:4" x14ac:dyDescent="0.2">
      <c r="A747">
        <v>2020</v>
      </c>
      <c r="B747">
        <v>40120</v>
      </c>
      <c r="C747" t="s">
        <v>20</v>
      </c>
      <c r="D747">
        <v>49182407</v>
      </c>
    </row>
    <row r="748" spans="1:4" x14ac:dyDescent="0.2">
      <c r="A748">
        <v>2020</v>
      </c>
      <c r="B748">
        <v>40121</v>
      </c>
      <c r="C748" t="s">
        <v>21</v>
      </c>
      <c r="D748">
        <v>1968435</v>
      </c>
    </row>
    <row r="749" spans="1:4" x14ac:dyDescent="0.2">
      <c r="A749">
        <v>2020</v>
      </c>
      <c r="B749">
        <v>40122</v>
      </c>
      <c r="C749" t="s">
        <v>22</v>
      </c>
      <c r="D749">
        <v>568737</v>
      </c>
    </row>
    <row r="750" spans="1:4" x14ac:dyDescent="0.2">
      <c r="A750">
        <v>2020</v>
      </c>
      <c r="B750">
        <v>40123</v>
      </c>
      <c r="C750" t="s">
        <v>23</v>
      </c>
      <c r="D750">
        <v>7118552</v>
      </c>
    </row>
    <row r="751" spans="1:4" x14ac:dyDescent="0.2">
      <c r="A751">
        <v>2020</v>
      </c>
      <c r="B751">
        <v>40124</v>
      </c>
      <c r="C751" t="s">
        <v>24</v>
      </c>
      <c r="D751">
        <v>1292855</v>
      </c>
    </row>
    <row r="752" spans="1:4" x14ac:dyDescent="0.2">
      <c r="A752">
        <v>2020</v>
      </c>
      <c r="B752">
        <v>40125</v>
      </c>
      <c r="C752" t="s">
        <v>25</v>
      </c>
      <c r="D752">
        <v>1565256</v>
      </c>
    </row>
    <row r="753" spans="1:4" x14ac:dyDescent="0.2">
      <c r="A753">
        <v>2020</v>
      </c>
      <c r="B753">
        <v>40126</v>
      </c>
      <c r="C753" t="s">
        <v>26</v>
      </c>
      <c r="D753">
        <v>3769367</v>
      </c>
    </row>
    <row r="754" spans="1:4" x14ac:dyDescent="0.2">
      <c r="A754">
        <v>2020</v>
      </c>
      <c r="B754">
        <v>40128</v>
      </c>
      <c r="C754" t="s">
        <v>27</v>
      </c>
      <c r="D754">
        <v>1181098</v>
      </c>
    </row>
    <row r="755" spans="1:4" x14ac:dyDescent="0.2">
      <c r="A755">
        <v>2020</v>
      </c>
      <c r="B755">
        <v>40129</v>
      </c>
      <c r="C755" t="s">
        <v>28</v>
      </c>
      <c r="D755">
        <v>245902490</v>
      </c>
    </row>
    <row r="756" spans="1:4" x14ac:dyDescent="0.2">
      <c r="A756">
        <v>2020</v>
      </c>
      <c r="B756">
        <v>40130</v>
      </c>
      <c r="C756" t="s">
        <v>29</v>
      </c>
      <c r="D756">
        <v>11960052</v>
      </c>
    </row>
    <row r="757" spans="1:4" x14ac:dyDescent="0.2">
      <c r="A757">
        <v>2020</v>
      </c>
      <c r="B757">
        <v>40131</v>
      </c>
      <c r="C757" t="s">
        <v>30</v>
      </c>
      <c r="D757">
        <v>1694858</v>
      </c>
    </row>
    <row r="758" spans="1:4" x14ac:dyDescent="0.2">
      <c r="A758">
        <v>2020</v>
      </c>
      <c r="B758">
        <v>40132</v>
      </c>
      <c r="C758" t="s">
        <v>31</v>
      </c>
      <c r="D758">
        <v>3856690</v>
      </c>
    </row>
    <row r="759" spans="1:4" x14ac:dyDescent="0.2">
      <c r="A759">
        <v>2020</v>
      </c>
      <c r="B759">
        <v>40133</v>
      </c>
      <c r="C759" t="s">
        <v>64</v>
      </c>
      <c r="D759">
        <v>6530588</v>
      </c>
    </row>
    <row r="760" spans="1:4" x14ac:dyDescent="0.2">
      <c r="A760">
        <v>2020</v>
      </c>
      <c r="B760">
        <v>40134</v>
      </c>
      <c r="C760" t="s">
        <v>65</v>
      </c>
      <c r="D760">
        <v>14567304</v>
      </c>
    </row>
    <row r="761" spans="1:4" x14ac:dyDescent="0.2">
      <c r="A761">
        <v>2020</v>
      </c>
      <c r="B761">
        <v>40135</v>
      </c>
      <c r="C761" t="s">
        <v>66</v>
      </c>
      <c r="D761">
        <v>2018914</v>
      </c>
    </row>
    <row r="762" spans="1:4" x14ac:dyDescent="0.2">
      <c r="A762">
        <v>2020</v>
      </c>
      <c r="B762">
        <v>40136</v>
      </c>
      <c r="C762" t="s">
        <v>67</v>
      </c>
      <c r="D762">
        <v>4984888</v>
      </c>
    </row>
    <row r="763" spans="1:4" x14ac:dyDescent="0.2">
      <c r="A763">
        <v>2020</v>
      </c>
      <c r="B763">
        <v>40137</v>
      </c>
      <c r="C763" t="s">
        <v>68</v>
      </c>
      <c r="D763">
        <v>2471825</v>
      </c>
    </row>
    <row r="764" spans="1:4" x14ac:dyDescent="0.2">
      <c r="A764">
        <v>2020</v>
      </c>
      <c r="B764">
        <v>40138</v>
      </c>
      <c r="C764" t="s">
        <v>69</v>
      </c>
      <c r="D764">
        <v>1438534</v>
      </c>
    </row>
    <row r="765" spans="1:4" x14ac:dyDescent="0.2">
      <c r="A765">
        <v>2020</v>
      </c>
      <c r="B765">
        <v>40139</v>
      </c>
      <c r="C765" t="s">
        <v>70</v>
      </c>
      <c r="D765">
        <v>2696332</v>
      </c>
    </row>
    <row r="766" spans="1:4" x14ac:dyDescent="0.2">
      <c r="A766">
        <v>2020</v>
      </c>
      <c r="B766">
        <v>40140</v>
      </c>
      <c r="C766" t="s">
        <v>71</v>
      </c>
      <c r="D766">
        <v>2066682</v>
      </c>
    </row>
    <row r="767" spans="1:4" x14ac:dyDescent="0.2">
      <c r="A767">
        <v>2020</v>
      </c>
      <c r="B767">
        <v>40141</v>
      </c>
      <c r="C767" t="s">
        <v>72</v>
      </c>
      <c r="D767">
        <v>4260898</v>
      </c>
    </row>
    <row r="768" spans="1:4" x14ac:dyDescent="0.2">
      <c r="A768">
        <v>2020</v>
      </c>
      <c r="B768">
        <v>40142</v>
      </c>
      <c r="C768" t="s">
        <v>73</v>
      </c>
      <c r="D768">
        <v>16260682</v>
      </c>
    </row>
    <row r="769" spans="1:4" x14ac:dyDescent="0.2">
      <c r="A769">
        <v>2020</v>
      </c>
      <c r="B769">
        <v>40143</v>
      </c>
      <c r="C769" t="s">
        <v>74</v>
      </c>
      <c r="D769">
        <v>44318177</v>
      </c>
    </row>
    <row r="770" spans="1:4" x14ac:dyDescent="0.2">
      <c r="A770">
        <v>2020</v>
      </c>
      <c r="B770">
        <v>40144</v>
      </c>
      <c r="C770" t="s">
        <v>75</v>
      </c>
      <c r="D770">
        <v>5940124</v>
      </c>
    </row>
    <row r="771" spans="1:4" x14ac:dyDescent="0.2">
      <c r="A771">
        <v>2020</v>
      </c>
      <c r="B771">
        <v>40145</v>
      </c>
      <c r="C771" t="s">
        <v>76</v>
      </c>
      <c r="D771">
        <v>283796</v>
      </c>
    </row>
    <row r="772" spans="1:4" x14ac:dyDescent="0.2">
      <c r="A772">
        <v>2020</v>
      </c>
      <c r="B772">
        <v>40146</v>
      </c>
      <c r="C772" t="s">
        <v>77</v>
      </c>
      <c r="D772">
        <v>4961648</v>
      </c>
    </row>
    <row r="773" spans="1:4" x14ac:dyDescent="0.2">
      <c r="A773">
        <v>2020</v>
      </c>
      <c r="B773">
        <v>40148</v>
      </c>
      <c r="C773" t="s">
        <v>78</v>
      </c>
      <c r="D773">
        <v>3753673</v>
      </c>
    </row>
    <row r="774" spans="1:4" x14ac:dyDescent="0.2">
      <c r="A774">
        <v>2020</v>
      </c>
      <c r="B774">
        <v>40149</v>
      </c>
      <c r="C774" t="s">
        <v>79</v>
      </c>
      <c r="D774">
        <v>726655</v>
      </c>
    </row>
    <row r="775" spans="1:4" x14ac:dyDescent="0.2">
      <c r="A775">
        <v>2020</v>
      </c>
      <c r="B775">
        <v>40150</v>
      </c>
      <c r="C775" t="s">
        <v>80</v>
      </c>
      <c r="D775">
        <v>1901973</v>
      </c>
    </row>
    <row r="776" spans="1:4" x14ac:dyDescent="0.2">
      <c r="A776">
        <v>2020</v>
      </c>
      <c r="B776">
        <v>40151</v>
      </c>
      <c r="C776" t="s">
        <v>81</v>
      </c>
      <c r="D776">
        <v>1104482</v>
      </c>
    </row>
    <row r="777" spans="1:4" x14ac:dyDescent="0.2">
      <c r="A777">
        <v>2020</v>
      </c>
      <c r="B777">
        <v>40152</v>
      </c>
      <c r="C777" t="s">
        <v>82</v>
      </c>
      <c r="D777">
        <v>3026059</v>
      </c>
    </row>
    <row r="778" spans="1:4" x14ac:dyDescent="0.2">
      <c r="A778">
        <v>2020</v>
      </c>
      <c r="B778">
        <v>40153</v>
      </c>
      <c r="C778" t="s">
        <v>83</v>
      </c>
      <c r="D778">
        <v>105864382</v>
      </c>
    </row>
    <row r="779" spans="1:4" x14ac:dyDescent="0.2">
      <c r="A779">
        <v>2020</v>
      </c>
      <c r="B779">
        <v>40154</v>
      </c>
      <c r="C779" t="s">
        <v>84</v>
      </c>
      <c r="D779">
        <v>4683607</v>
      </c>
    </row>
    <row r="780" spans="1:4" x14ac:dyDescent="0.2">
      <c r="A780">
        <v>2020</v>
      </c>
      <c r="B780">
        <v>40155</v>
      </c>
      <c r="C780" t="s">
        <v>85</v>
      </c>
      <c r="D780">
        <v>1376948</v>
      </c>
    </row>
    <row r="781" spans="1:4" x14ac:dyDescent="0.2">
      <c r="A781">
        <v>2020</v>
      </c>
      <c r="B781">
        <v>40156</v>
      </c>
      <c r="C781" t="s">
        <v>86</v>
      </c>
      <c r="D781">
        <v>1539369</v>
      </c>
    </row>
    <row r="782" spans="1:4" x14ac:dyDescent="0.2">
      <c r="A782">
        <v>2020</v>
      </c>
      <c r="B782">
        <v>40157</v>
      </c>
      <c r="C782" t="s">
        <v>87</v>
      </c>
      <c r="D782">
        <v>1178080</v>
      </c>
    </row>
    <row r="783" spans="1:4" x14ac:dyDescent="0.2">
      <c r="A783">
        <v>2020</v>
      </c>
      <c r="B783">
        <v>40158</v>
      </c>
      <c r="C783" t="s">
        <v>88</v>
      </c>
      <c r="D783">
        <v>3814229</v>
      </c>
    </row>
    <row r="784" spans="1:4" x14ac:dyDescent="0.2">
      <c r="A784">
        <v>2020</v>
      </c>
      <c r="B784">
        <v>40159</v>
      </c>
      <c r="C784" t="s">
        <v>89</v>
      </c>
      <c r="D784">
        <v>1386732</v>
      </c>
    </row>
    <row r="785" spans="1:4" x14ac:dyDescent="0.2">
      <c r="A785">
        <v>2020</v>
      </c>
      <c r="B785">
        <v>40160</v>
      </c>
      <c r="C785" t="s">
        <v>90</v>
      </c>
      <c r="D785">
        <v>8783764</v>
      </c>
    </row>
    <row r="786" spans="1:4" x14ac:dyDescent="0.2">
      <c r="A786">
        <v>2020</v>
      </c>
      <c r="B786">
        <v>40162</v>
      </c>
      <c r="C786" t="s">
        <v>91</v>
      </c>
      <c r="D786">
        <v>1791194</v>
      </c>
    </row>
    <row r="787" spans="1:4" x14ac:dyDescent="0.2">
      <c r="A787">
        <v>2020</v>
      </c>
      <c r="B787">
        <v>40163</v>
      </c>
      <c r="C787" t="s">
        <v>92</v>
      </c>
      <c r="D787">
        <v>2735731</v>
      </c>
    </row>
    <row r="788" spans="1:4" x14ac:dyDescent="0.2">
      <c r="A788">
        <v>2020</v>
      </c>
      <c r="B788">
        <v>40165</v>
      </c>
      <c r="C788" t="s">
        <v>93</v>
      </c>
      <c r="D788">
        <v>1450509</v>
      </c>
    </row>
    <row r="789" spans="1:4" x14ac:dyDescent="0.2">
      <c r="A789">
        <v>2020</v>
      </c>
      <c r="B789">
        <v>40166</v>
      </c>
      <c r="C789" t="s">
        <v>94</v>
      </c>
      <c r="D789">
        <v>1287931</v>
      </c>
    </row>
    <row r="790" spans="1:4" x14ac:dyDescent="0.2">
      <c r="A790">
        <v>2020</v>
      </c>
      <c r="B790">
        <v>40167</v>
      </c>
      <c r="C790" t="s">
        <v>95</v>
      </c>
      <c r="D790">
        <v>1731912</v>
      </c>
    </row>
    <row r="791" spans="1:4" x14ac:dyDescent="0.2">
      <c r="A791">
        <v>2020</v>
      </c>
      <c r="B791">
        <v>40168</v>
      </c>
      <c r="C791" t="s">
        <v>96</v>
      </c>
      <c r="D791">
        <v>4206309</v>
      </c>
    </row>
    <row r="792" spans="1:4" x14ac:dyDescent="0.2">
      <c r="A792">
        <v>2020</v>
      </c>
      <c r="B792">
        <v>40169</v>
      </c>
      <c r="C792" t="s">
        <v>130</v>
      </c>
      <c r="D792">
        <v>2816115</v>
      </c>
    </row>
    <row r="793" spans="1:4" x14ac:dyDescent="0.2">
      <c r="A793">
        <v>2020</v>
      </c>
      <c r="B793">
        <v>40170</v>
      </c>
      <c r="C793" t="s">
        <v>131</v>
      </c>
      <c r="D793">
        <v>1964649</v>
      </c>
    </row>
    <row r="794" spans="1:4" x14ac:dyDescent="0.2">
      <c r="A794">
        <v>2020</v>
      </c>
      <c r="B794">
        <v>40171</v>
      </c>
      <c r="C794" t="s">
        <v>132</v>
      </c>
      <c r="D794">
        <v>7025629</v>
      </c>
    </row>
    <row r="795" spans="1:4" x14ac:dyDescent="0.2">
      <c r="A795">
        <v>2020</v>
      </c>
      <c r="B795">
        <v>40172</v>
      </c>
      <c r="C795" t="s">
        <v>133</v>
      </c>
      <c r="D795">
        <v>3855104</v>
      </c>
    </row>
    <row r="796" spans="1:4" x14ac:dyDescent="0.2">
      <c r="A796">
        <v>2020</v>
      </c>
      <c r="B796">
        <v>40173</v>
      </c>
      <c r="C796" t="s">
        <v>134</v>
      </c>
      <c r="D796">
        <v>1772572</v>
      </c>
    </row>
    <row r="797" spans="1:4" x14ac:dyDescent="0.2">
      <c r="A797">
        <v>2020</v>
      </c>
      <c r="B797">
        <v>40174</v>
      </c>
      <c r="C797" t="s">
        <v>135</v>
      </c>
      <c r="D797">
        <v>5253823</v>
      </c>
    </row>
    <row r="798" spans="1:4" x14ac:dyDescent="0.2">
      <c r="A798">
        <v>2020</v>
      </c>
      <c r="B798">
        <v>40176</v>
      </c>
      <c r="C798" t="s">
        <v>136</v>
      </c>
      <c r="D798">
        <v>89834273</v>
      </c>
    </row>
    <row r="799" spans="1:4" x14ac:dyDescent="0.2">
      <c r="A799">
        <v>2020</v>
      </c>
      <c r="B799">
        <v>40177</v>
      </c>
      <c r="C799" t="s">
        <v>137</v>
      </c>
      <c r="D799">
        <v>3296192</v>
      </c>
    </row>
    <row r="800" spans="1:4" x14ac:dyDescent="0.2">
      <c r="A800">
        <v>2020</v>
      </c>
      <c r="B800">
        <v>40178</v>
      </c>
      <c r="C800" t="s">
        <v>138</v>
      </c>
      <c r="D800">
        <v>909878</v>
      </c>
    </row>
    <row r="801" spans="1:4" x14ac:dyDescent="0.2">
      <c r="A801">
        <v>2020</v>
      </c>
      <c r="B801">
        <v>40179</v>
      </c>
      <c r="C801" t="s">
        <v>139</v>
      </c>
      <c r="D801">
        <v>1108639</v>
      </c>
    </row>
    <row r="802" spans="1:4" x14ac:dyDescent="0.2">
      <c r="A802">
        <v>2020</v>
      </c>
      <c r="B802">
        <v>40180</v>
      </c>
      <c r="C802" t="s">
        <v>140</v>
      </c>
      <c r="D802">
        <v>12301330</v>
      </c>
    </row>
    <row r="803" spans="1:4" x14ac:dyDescent="0.2">
      <c r="A803">
        <v>2020</v>
      </c>
      <c r="B803">
        <v>40181</v>
      </c>
      <c r="C803" t="s">
        <v>141</v>
      </c>
      <c r="D803">
        <v>2722770</v>
      </c>
    </row>
    <row r="804" spans="1:4" x14ac:dyDescent="0.2">
      <c r="A804">
        <v>2020</v>
      </c>
      <c r="B804">
        <v>40182</v>
      </c>
      <c r="C804" t="s">
        <v>142</v>
      </c>
      <c r="D804">
        <v>10619237</v>
      </c>
    </row>
    <row r="805" spans="1:4" x14ac:dyDescent="0.2">
      <c r="A805">
        <v>2020</v>
      </c>
      <c r="B805">
        <v>40183</v>
      </c>
      <c r="C805" t="s">
        <v>143</v>
      </c>
      <c r="D805">
        <v>3005168</v>
      </c>
    </row>
    <row r="806" spans="1:4" x14ac:dyDescent="0.2">
      <c r="A806">
        <v>2020</v>
      </c>
      <c r="B806">
        <v>40184</v>
      </c>
      <c r="C806" t="s">
        <v>144</v>
      </c>
      <c r="D806">
        <v>3281436</v>
      </c>
    </row>
    <row r="807" spans="1:4" x14ac:dyDescent="0.2">
      <c r="A807">
        <v>2020</v>
      </c>
      <c r="B807">
        <v>40185</v>
      </c>
      <c r="C807" t="s">
        <v>145</v>
      </c>
      <c r="D807">
        <v>5847536</v>
      </c>
    </row>
    <row r="808" spans="1:4" x14ac:dyDescent="0.2">
      <c r="A808">
        <v>2020</v>
      </c>
      <c r="B808">
        <v>40186</v>
      </c>
      <c r="C808" t="s">
        <v>146</v>
      </c>
      <c r="D808">
        <v>3541736</v>
      </c>
    </row>
    <row r="809" spans="1:4" x14ac:dyDescent="0.2">
      <c r="A809">
        <v>2020</v>
      </c>
      <c r="B809">
        <v>40187</v>
      </c>
      <c r="C809" t="s">
        <v>147</v>
      </c>
      <c r="D809">
        <v>2111743</v>
      </c>
    </row>
    <row r="810" spans="1:4" x14ac:dyDescent="0.2">
      <c r="A810">
        <v>2020</v>
      </c>
      <c r="B810">
        <v>40188</v>
      </c>
      <c r="C810" t="s">
        <v>148</v>
      </c>
      <c r="D810">
        <v>20904800</v>
      </c>
    </row>
    <row r="811" spans="1:4" x14ac:dyDescent="0.2">
      <c r="A811">
        <v>2020</v>
      </c>
      <c r="B811">
        <v>40189</v>
      </c>
      <c r="C811" t="s">
        <v>149</v>
      </c>
      <c r="D811">
        <v>25677715</v>
      </c>
    </row>
    <row r="812" spans="1:4" x14ac:dyDescent="0.2">
      <c r="A812">
        <v>2020</v>
      </c>
      <c r="B812">
        <v>40190</v>
      </c>
      <c r="C812" t="s">
        <v>150</v>
      </c>
      <c r="D812">
        <v>1130433</v>
      </c>
    </row>
    <row r="813" spans="1:4" x14ac:dyDescent="0.2">
      <c r="A813">
        <v>2020</v>
      </c>
      <c r="B813">
        <v>40191</v>
      </c>
      <c r="C813" t="s">
        <v>151</v>
      </c>
      <c r="D813">
        <v>1265000</v>
      </c>
    </row>
    <row r="814" spans="1:4" x14ac:dyDescent="0.2">
      <c r="A814">
        <v>2020</v>
      </c>
      <c r="B814">
        <v>40192</v>
      </c>
      <c r="C814" t="s">
        <v>152</v>
      </c>
      <c r="D814">
        <v>3861355</v>
      </c>
    </row>
    <row r="815" spans="1:4" x14ac:dyDescent="0.2">
      <c r="A815">
        <v>2020</v>
      </c>
      <c r="B815">
        <v>40193</v>
      </c>
      <c r="C815" t="s">
        <v>153</v>
      </c>
      <c r="D815">
        <v>4770146</v>
      </c>
    </row>
    <row r="816" spans="1:4" x14ac:dyDescent="0.2">
      <c r="A816">
        <v>2020</v>
      </c>
      <c r="B816">
        <v>40195</v>
      </c>
      <c r="C816" t="s">
        <v>154</v>
      </c>
      <c r="D816">
        <v>5591377</v>
      </c>
    </row>
    <row r="817" spans="1:4" x14ac:dyDescent="0.2">
      <c r="A817">
        <v>2020</v>
      </c>
      <c r="B817">
        <v>40196</v>
      </c>
      <c r="C817" t="s">
        <v>155</v>
      </c>
      <c r="D817">
        <v>1541868</v>
      </c>
    </row>
    <row r="818" spans="1:4" x14ac:dyDescent="0.2">
      <c r="A818">
        <v>2020</v>
      </c>
      <c r="B818">
        <v>40197</v>
      </c>
      <c r="C818" t="s">
        <v>156</v>
      </c>
      <c r="D818">
        <v>4423007</v>
      </c>
    </row>
    <row r="819" spans="1:4" x14ac:dyDescent="0.2">
      <c r="A819">
        <v>2020</v>
      </c>
      <c r="B819">
        <v>40198</v>
      </c>
      <c r="C819" t="s">
        <v>157</v>
      </c>
      <c r="D819">
        <v>3301431</v>
      </c>
    </row>
    <row r="820" spans="1:4" x14ac:dyDescent="0.2">
      <c r="A820">
        <v>2020</v>
      </c>
      <c r="B820">
        <v>40199</v>
      </c>
      <c r="C820" t="s">
        <v>158</v>
      </c>
      <c r="D820">
        <v>11391016</v>
      </c>
    </row>
    <row r="821" spans="1:4" x14ac:dyDescent="0.2">
      <c r="A821">
        <v>2020</v>
      </c>
      <c r="B821">
        <v>40200</v>
      </c>
      <c r="C821" t="s">
        <v>159</v>
      </c>
      <c r="D821">
        <v>24495489</v>
      </c>
    </row>
    <row r="822" spans="1:4" x14ac:dyDescent="0.2">
      <c r="A822">
        <v>2020</v>
      </c>
      <c r="B822">
        <v>40201</v>
      </c>
      <c r="C822" t="s">
        <v>160</v>
      </c>
      <c r="D822">
        <v>2011765</v>
      </c>
    </row>
    <row r="823" spans="1:4" x14ac:dyDescent="0.2">
      <c r="A823">
        <v>2020</v>
      </c>
      <c r="B823">
        <v>40202</v>
      </c>
      <c r="C823" t="s">
        <v>161</v>
      </c>
      <c r="D823">
        <v>810411</v>
      </c>
    </row>
    <row r="824" spans="1:4" x14ac:dyDescent="0.2">
      <c r="A824">
        <v>2020</v>
      </c>
      <c r="B824">
        <v>40203</v>
      </c>
      <c r="C824" t="s">
        <v>162</v>
      </c>
      <c r="D824">
        <v>6374602</v>
      </c>
    </row>
    <row r="825" spans="1:4" x14ac:dyDescent="0.2">
      <c r="A825">
        <v>2020</v>
      </c>
      <c r="B825">
        <v>40205</v>
      </c>
      <c r="C825" t="s">
        <v>196</v>
      </c>
      <c r="D825">
        <v>5608511</v>
      </c>
    </row>
    <row r="826" spans="1:4" x14ac:dyDescent="0.2">
      <c r="A826">
        <v>2020</v>
      </c>
      <c r="B826">
        <v>40206</v>
      </c>
      <c r="C826" t="s">
        <v>197</v>
      </c>
      <c r="D826">
        <v>3713243</v>
      </c>
    </row>
    <row r="827" spans="1:4" x14ac:dyDescent="0.2">
      <c r="A827">
        <v>2020</v>
      </c>
      <c r="B827">
        <v>40207</v>
      </c>
      <c r="C827" t="s">
        <v>198</v>
      </c>
      <c r="D827">
        <v>17180999</v>
      </c>
    </row>
    <row r="828" spans="1:4" x14ac:dyDescent="0.2">
      <c r="A828">
        <v>2020</v>
      </c>
      <c r="B828">
        <v>40208</v>
      </c>
      <c r="C828" t="s">
        <v>199</v>
      </c>
      <c r="D828">
        <v>6629088</v>
      </c>
    </row>
    <row r="829" spans="1:4" x14ac:dyDescent="0.2">
      <c r="A829">
        <v>2020</v>
      </c>
      <c r="B829">
        <v>40209</v>
      </c>
      <c r="C829" t="s">
        <v>200</v>
      </c>
      <c r="D829">
        <v>4097008</v>
      </c>
    </row>
    <row r="830" spans="1:4" x14ac:dyDescent="0.2">
      <c r="A830">
        <v>2020</v>
      </c>
      <c r="B830">
        <v>40210</v>
      </c>
      <c r="C830" t="s">
        <v>201</v>
      </c>
      <c r="D830">
        <v>8486555</v>
      </c>
    </row>
    <row r="831" spans="1:4" x14ac:dyDescent="0.2">
      <c r="A831">
        <v>2020</v>
      </c>
      <c r="B831">
        <v>40211</v>
      </c>
      <c r="C831" t="s">
        <v>202</v>
      </c>
      <c r="D831">
        <v>25379823</v>
      </c>
    </row>
    <row r="832" spans="1:4" x14ac:dyDescent="0.2">
      <c r="A832">
        <v>2020</v>
      </c>
      <c r="B832">
        <v>40212</v>
      </c>
      <c r="C832" t="s">
        <v>203</v>
      </c>
      <c r="D832">
        <v>32572517</v>
      </c>
    </row>
    <row r="833" spans="1:4" x14ac:dyDescent="0.2">
      <c r="A833">
        <v>2020</v>
      </c>
      <c r="B833">
        <v>40213</v>
      </c>
      <c r="C833" t="s">
        <v>204</v>
      </c>
      <c r="D833">
        <v>3816873</v>
      </c>
    </row>
    <row r="834" spans="1:4" x14ac:dyDescent="0.2">
      <c r="A834">
        <v>2020</v>
      </c>
      <c r="B834">
        <v>40214</v>
      </c>
      <c r="C834" t="s">
        <v>205</v>
      </c>
      <c r="D834">
        <v>13052269</v>
      </c>
    </row>
    <row r="835" spans="1:4" x14ac:dyDescent="0.2">
      <c r="A835">
        <v>2020</v>
      </c>
      <c r="B835">
        <v>40215</v>
      </c>
      <c r="C835" t="s">
        <v>206</v>
      </c>
      <c r="D835">
        <v>1397608</v>
      </c>
    </row>
    <row r="836" spans="1:4" x14ac:dyDescent="0.2">
      <c r="A836">
        <v>2020</v>
      </c>
      <c r="B836">
        <v>40216</v>
      </c>
      <c r="C836" t="s">
        <v>207</v>
      </c>
      <c r="D836">
        <v>24869281</v>
      </c>
    </row>
    <row r="837" spans="1:4" x14ac:dyDescent="0.2">
      <c r="A837">
        <v>2020</v>
      </c>
      <c r="B837">
        <v>40217</v>
      </c>
      <c r="C837" t="s">
        <v>208</v>
      </c>
      <c r="D837">
        <v>12905042</v>
      </c>
    </row>
    <row r="838" spans="1:4" x14ac:dyDescent="0.2">
      <c r="A838">
        <v>2020</v>
      </c>
      <c r="B838">
        <v>40219</v>
      </c>
      <c r="C838" t="s">
        <v>209</v>
      </c>
      <c r="D838">
        <v>2729652</v>
      </c>
    </row>
    <row r="839" spans="1:4" x14ac:dyDescent="0.2">
      <c r="A839">
        <v>2020</v>
      </c>
      <c r="B839">
        <v>40220</v>
      </c>
      <c r="C839" t="s">
        <v>210</v>
      </c>
      <c r="D839">
        <v>12596173</v>
      </c>
    </row>
    <row r="840" spans="1:4" x14ac:dyDescent="0.2">
      <c r="A840">
        <v>2020</v>
      </c>
      <c r="B840">
        <v>40222</v>
      </c>
      <c r="C840" t="s">
        <v>211</v>
      </c>
      <c r="D840">
        <v>4707596</v>
      </c>
    </row>
    <row r="841" spans="1:4" x14ac:dyDescent="0.2">
      <c r="A841">
        <v>2020</v>
      </c>
      <c r="B841">
        <v>40223</v>
      </c>
      <c r="C841" t="s">
        <v>212</v>
      </c>
      <c r="D841">
        <v>1767607</v>
      </c>
    </row>
    <row r="842" spans="1:4" x14ac:dyDescent="0.2">
      <c r="A842">
        <v>2020</v>
      </c>
      <c r="B842">
        <v>40224</v>
      </c>
      <c r="C842" t="s">
        <v>213</v>
      </c>
      <c r="D842">
        <v>4324280</v>
      </c>
    </row>
    <row r="843" spans="1:4" x14ac:dyDescent="0.2">
      <c r="A843">
        <v>2020</v>
      </c>
      <c r="B843">
        <v>40225</v>
      </c>
      <c r="C843" t="s">
        <v>214</v>
      </c>
      <c r="D843">
        <v>3043014</v>
      </c>
    </row>
    <row r="844" spans="1:4" x14ac:dyDescent="0.2">
      <c r="A844">
        <v>2020</v>
      </c>
      <c r="B844">
        <v>40230</v>
      </c>
      <c r="C844" t="s">
        <v>215</v>
      </c>
      <c r="D844">
        <v>866676</v>
      </c>
    </row>
    <row r="845" spans="1:4" x14ac:dyDescent="0.2">
      <c r="A845">
        <v>2020</v>
      </c>
      <c r="B845">
        <v>40231</v>
      </c>
      <c r="C845" t="s">
        <v>216</v>
      </c>
      <c r="D845">
        <v>15306</v>
      </c>
    </row>
    <row r="846" spans="1:4" x14ac:dyDescent="0.2">
      <c r="A846">
        <v>2020</v>
      </c>
      <c r="B846">
        <v>40232</v>
      </c>
      <c r="C846" t="s">
        <v>217</v>
      </c>
      <c r="D846">
        <v>956731</v>
      </c>
    </row>
    <row r="847" spans="1:4" x14ac:dyDescent="0.2">
      <c r="A847">
        <v>2020</v>
      </c>
      <c r="B847">
        <v>40233</v>
      </c>
      <c r="C847" t="s">
        <v>218</v>
      </c>
      <c r="D847">
        <v>38740321</v>
      </c>
    </row>
    <row r="848" spans="1:4" x14ac:dyDescent="0.2">
      <c r="A848">
        <v>2020</v>
      </c>
      <c r="B848">
        <v>40234</v>
      </c>
      <c r="C848" t="s">
        <v>219</v>
      </c>
      <c r="D848">
        <v>65262712</v>
      </c>
    </row>
    <row r="849" spans="1:4" x14ac:dyDescent="0.2">
      <c r="A849">
        <v>2020</v>
      </c>
      <c r="B849">
        <v>40236</v>
      </c>
      <c r="C849" t="s">
        <v>220</v>
      </c>
      <c r="D849">
        <v>3474004</v>
      </c>
    </row>
    <row r="850" spans="1:4" x14ac:dyDescent="0.2">
      <c r="A850">
        <v>2020</v>
      </c>
      <c r="B850">
        <v>40306</v>
      </c>
      <c r="C850" t="s">
        <v>221</v>
      </c>
      <c r="D850">
        <v>885254</v>
      </c>
    </row>
    <row r="851" spans="1:4" x14ac:dyDescent="0.2">
      <c r="A851">
        <v>2020</v>
      </c>
      <c r="B851">
        <v>40307</v>
      </c>
      <c r="C851" t="s">
        <v>222</v>
      </c>
      <c r="D851">
        <v>499983</v>
      </c>
    </row>
    <row r="852" spans="1:4" x14ac:dyDescent="0.2">
      <c r="A852">
        <v>2020</v>
      </c>
      <c r="B852">
        <v>40308</v>
      </c>
      <c r="C852" t="s">
        <v>223</v>
      </c>
      <c r="D852">
        <v>2776384</v>
      </c>
    </row>
    <row r="853" spans="1:4" x14ac:dyDescent="0.2">
      <c r="A853">
        <v>2020</v>
      </c>
      <c r="B853">
        <v>40309</v>
      </c>
      <c r="C853" t="s">
        <v>224</v>
      </c>
      <c r="D853">
        <v>570347</v>
      </c>
    </row>
    <row r="854" spans="1:4" x14ac:dyDescent="0.2">
      <c r="A854">
        <v>2020</v>
      </c>
      <c r="B854">
        <v>40313</v>
      </c>
      <c r="C854" t="s">
        <v>225</v>
      </c>
      <c r="D854">
        <v>1136356</v>
      </c>
    </row>
    <row r="855" spans="1:4" x14ac:dyDescent="0.2">
      <c r="A855">
        <v>2020</v>
      </c>
      <c r="B855">
        <v>40314</v>
      </c>
      <c r="C855" t="s">
        <v>226</v>
      </c>
      <c r="D855">
        <v>564006</v>
      </c>
    </row>
    <row r="856" spans="1:4" x14ac:dyDescent="0.2">
      <c r="A856">
        <v>2020</v>
      </c>
      <c r="B856">
        <v>40332</v>
      </c>
      <c r="C856" t="s">
        <v>227</v>
      </c>
      <c r="D856">
        <v>8734182</v>
      </c>
    </row>
    <row r="857" spans="1:4" x14ac:dyDescent="0.2">
      <c r="A857">
        <v>2020</v>
      </c>
      <c r="B857">
        <v>40335</v>
      </c>
      <c r="C857" t="s">
        <v>228</v>
      </c>
      <c r="D857">
        <v>3630503</v>
      </c>
    </row>
    <row r="858" spans="1:4" x14ac:dyDescent="0.2">
      <c r="A858">
        <v>2020</v>
      </c>
      <c r="B858">
        <v>40402</v>
      </c>
      <c r="C858" t="s">
        <v>294</v>
      </c>
      <c r="D858">
        <v>11398500</v>
      </c>
    </row>
    <row r="859" spans="1:4" x14ac:dyDescent="0.2">
      <c r="A859">
        <v>2020</v>
      </c>
      <c r="B859">
        <v>40403</v>
      </c>
      <c r="C859" t="s">
        <v>263</v>
      </c>
      <c r="D859">
        <v>1865884</v>
      </c>
    </row>
    <row r="860" spans="1:4" x14ac:dyDescent="0.2">
      <c r="A860">
        <v>2020</v>
      </c>
      <c r="B860">
        <v>40410</v>
      </c>
      <c r="C860" t="s">
        <v>264</v>
      </c>
      <c r="D860">
        <v>314648</v>
      </c>
    </row>
    <row r="861" spans="1:4" x14ac:dyDescent="0.2">
      <c r="A861">
        <v>2020</v>
      </c>
      <c r="B861">
        <v>40412</v>
      </c>
      <c r="C861" t="s">
        <v>295</v>
      </c>
      <c r="D861">
        <v>188995</v>
      </c>
    </row>
    <row r="862" spans="1:4" x14ac:dyDescent="0.2">
      <c r="A862">
        <v>2020</v>
      </c>
      <c r="B862">
        <v>40414</v>
      </c>
      <c r="C862" t="s">
        <v>267</v>
      </c>
      <c r="D862">
        <v>88269</v>
      </c>
    </row>
    <row r="863" spans="1:4" x14ac:dyDescent="0.2">
      <c r="A863">
        <v>2020</v>
      </c>
      <c r="B863">
        <v>40415</v>
      </c>
      <c r="C863" t="s">
        <v>268</v>
      </c>
      <c r="D863">
        <v>1374234</v>
      </c>
    </row>
    <row r="864" spans="1:4" x14ac:dyDescent="0.2">
      <c r="A864">
        <v>2020</v>
      </c>
      <c r="B864">
        <v>40416</v>
      </c>
      <c r="C864" t="s">
        <v>269</v>
      </c>
      <c r="D864">
        <v>190435</v>
      </c>
    </row>
    <row r="865" spans="1:4" x14ac:dyDescent="0.2">
      <c r="A865">
        <v>2020</v>
      </c>
      <c r="B865">
        <v>40417</v>
      </c>
      <c r="C865" t="s">
        <v>270</v>
      </c>
      <c r="D865">
        <v>131434</v>
      </c>
    </row>
    <row r="866" spans="1:4" x14ac:dyDescent="0.2">
      <c r="A866">
        <v>2020</v>
      </c>
      <c r="B866">
        <v>40418</v>
      </c>
      <c r="C866" t="s">
        <v>296</v>
      </c>
      <c r="D866">
        <v>38189</v>
      </c>
    </row>
    <row r="867" spans="1:4" x14ac:dyDescent="0.2">
      <c r="A867">
        <v>2020</v>
      </c>
      <c r="B867">
        <v>40421</v>
      </c>
      <c r="C867" t="s">
        <v>272</v>
      </c>
      <c r="D867">
        <v>131025</v>
      </c>
    </row>
    <row r="868" spans="1:4" x14ac:dyDescent="0.2">
      <c r="A868">
        <v>2020</v>
      </c>
      <c r="B868">
        <v>40423</v>
      </c>
      <c r="C868" t="s">
        <v>273</v>
      </c>
      <c r="D868">
        <v>678951</v>
      </c>
    </row>
    <row r="869" spans="1:4" x14ac:dyDescent="0.2">
      <c r="A869">
        <v>2020</v>
      </c>
      <c r="B869">
        <v>40424</v>
      </c>
      <c r="C869" t="s">
        <v>274</v>
      </c>
      <c r="D869">
        <v>313505</v>
      </c>
    </row>
    <row r="870" spans="1:4" x14ac:dyDescent="0.2">
      <c r="A870">
        <v>2020</v>
      </c>
      <c r="B870">
        <v>40425</v>
      </c>
      <c r="C870" t="s">
        <v>275</v>
      </c>
      <c r="D870">
        <v>76632</v>
      </c>
    </row>
    <row r="871" spans="1:4" x14ac:dyDescent="0.2">
      <c r="A871">
        <v>2021</v>
      </c>
      <c r="B871" t="s">
        <v>32</v>
      </c>
      <c r="C871" t="s">
        <v>0</v>
      </c>
      <c r="D871">
        <v>4404335</v>
      </c>
    </row>
    <row r="872" spans="1:4" x14ac:dyDescent="0.2">
      <c r="A872">
        <v>2021</v>
      </c>
      <c r="B872" t="s">
        <v>33</v>
      </c>
      <c r="C872" t="s">
        <v>1</v>
      </c>
      <c r="D872">
        <v>16033889</v>
      </c>
    </row>
    <row r="873" spans="1:4" x14ac:dyDescent="0.2">
      <c r="A873">
        <v>2021</v>
      </c>
      <c r="B873" t="s">
        <v>34</v>
      </c>
      <c r="C873" t="s">
        <v>2</v>
      </c>
      <c r="D873">
        <v>1792185</v>
      </c>
    </row>
    <row r="874" spans="1:4" x14ac:dyDescent="0.2">
      <c r="A874">
        <v>2021</v>
      </c>
      <c r="B874" t="s">
        <v>35</v>
      </c>
      <c r="C874" t="s">
        <v>3</v>
      </c>
      <c r="D874">
        <v>1445168</v>
      </c>
    </row>
    <row r="875" spans="1:4" x14ac:dyDescent="0.2">
      <c r="A875">
        <v>2021</v>
      </c>
      <c r="B875" t="s">
        <v>36</v>
      </c>
      <c r="C875" t="s">
        <v>4</v>
      </c>
      <c r="D875">
        <v>4090894</v>
      </c>
    </row>
    <row r="876" spans="1:4" x14ac:dyDescent="0.2">
      <c r="A876">
        <v>2021</v>
      </c>
      <c r="B876" t="s">
        <v>37</v>
      </c>
      <c r="C876" t="s">
        <v>5</v>
      </c>
      <c r="D876">
        <v>1887412</v>
      </c>
    </row>
    <row r="877" spans="1:4" x14ac:dyDescent="0.2">
      <c r="A877">
        <v>2021</v>
      </c>
      <c r="B877" t="s">
        <v>38</v>
      </c>
      <c r="C877" t="s">
        <v>6</v>
      </c>
      <c r="D877">
        <v>50932896</v>
      </c>
    </row>
    <row r="878" spans="1:4" x14ac:dyDescent="0.2">
      <c r="A878">
        <v>2021</v>
      </c>
      <c r="B878" t="s">
        <v>39</v>
      </c>
      <c r="C878" t="s">
        <v>7</v>
      </c>
      <c r="D878">
        <v>9741603</v>
      </c>
    </row>
    <row r="879" spans="1:4" x14ac:dyDescent="0.2">
      <c r="A879">
        <v>2021</v>
      </c>
      <c r="B879" t="s">
        <v>40</v>
      </c>
      <c r="C879" t="s">
        <v>8</v>
      </c>
      <c r="D879">
        <v>727755</v>
      </c>
    </row>
    <row r="880" spans="1:4" x14ac:dyDescent="0.2">
      <c r="A880">
        <v>2021</v>
      </c>
      <c r="B880" t="s">
        <v>41</v>
      </c>
      <c r="C880" t="s">
        <v>9</v>
      </c>
      <c r="D880">
        <v>8610986</v>
      </c>
    </row>
    <row r="881" spans="1:4" x14ac:dyDescent="0.2">
      <c r="A881">
        <v>2021</v>
      </c>
      <c r="B881" t="s">
        <v>42</v>
      </c>
      <c r="C881" t="s">
        <v>10</v>
      </c>
      <c r="D881">
        <v>605008</v>
      </c>
    </row>
    <row r="882" spans="1:4" x14ac:dyDescent="0.2">
      <c r="A882">
        <v>2021</v>
      </c>
      <c r="B882" t="s">
        <v>43</v>
      </c>
      <c r="C882" t="s">
        <v>11</v>
      </c>
      <c r="D882">
        <v>4540818</v>
      </c>
    </row>
    <row r="883" spans="1:4" x14ac:dyDescent="0.2">
      <c r="A883">
        <v>2021</v>
      </c>
      <c r="B883" t="s">
        <v>44</v>
      </c>
      <c r="C883" t="s">
        <v>12</v>
      </c>
      <c r="D883">
        <v>1414941</v>
      </c>
    </row>
    <row r="884" spans="1:4" x14ac:dyDescent="0.2">
      <c r="A884">
        <v>2021</v>
      </c>
      <c r="B884" t="s">
        <v>45</v>
      </c>
      <c r="C884" t="s">
        <v>13</v>
      </c>
      <c r="D884">
        <v>2198370</v>
      </c>
    </row>
    <row r="885" spans="1:4" x14ac:dyDescent="0.2">
      <c r="A885">
        <v>2021</v>
      </c>
      <c r="B885" t="s">
        <v>46</v>
      </c>
      <c r="C885" t="s">
        <v>14</v>
      </c>
      <c r="D885">
        <v>1866299</v>
      </c>
    </row>
    <row r="886" spans="1:4" x14ac:dyDescent="0.2">
      <c r="A886">
        <v>2021</v>
      </c>
      <c r="B886" t="s">
        <v>47</v>
      </c>
      <c r="C886" t="s">
        <v>15</v>
      </c>
      <c r="D886">
        <v>6773781</v>
      </c>
    </row>
    <row r="887" spans="1:4" x14ac:dyDescent="0.2">
      <c r="A887">
        <v>2021</v>
      </c>
      <c r="B887" t="s">
        <v>48</v>
      </c>
      <c r="C887" t="s">
        <v>16</v>
      </c>
      <c r="D887">
        <v>3627908</v>
      </c>
    </row>
    <row r="888" spans="1:4" x14ac:dyDescent="0.2">
      <c r="A888">
        <v>2021</v>
      </c>
      <c r="B888" t="s">
        <v>49</v>
      </c>
      <c r="C888" t="s">
        <v>17</v>
      </c>
      <c r="D888">
        <v>3477251</v>
      </c>
    </row>
    <row r="889" spans="1:4" x14ac:dyDescent="0.2">
      <c r="A889">
        <v>2021</v>
      </c>
      <c r="B889" t="s">
        <v>50</v>
      </c>
      <c r="C889" t="s">
        <v>18</v>
      </c>
      <c r="D889">
        <v>668543</v>
      </c>
    </row>
    <row r="890" spans="1:4" x14ac:dyDescent="0.2">
      <c r="A890">
        <v>2021</v>
      </c>
      <c r="B890" t="s">
        <v>51</v>
      </c>
      <c r="C890" t="s">
        <v>19</v>
      </c>
      <c r="D890">
        <v>1912342</v>
      </c>
    </row>
    <row r="891" spans="1:4" x14ac:dyDescent="0.2">
      <c r="A891">
        <v>2021</v>
      </c>
      <c r="B891" t="s">
        <v>52</v>
      </c>
      <c r="C891" t="s">
        <v>20</v>
      </c>
      <c r="D891">
        <v>53794182</v>
      </c>
    </row>
    <row r="892" spans="1:4" x14ac:dyDescent="0.2">
      <c r="A892">
        <v>2021</v>
      </c>
      <c r="B892" t="s">
        <v>53</v>
      </c>
      <c r="C892" t="s">
        <v>21</v>
      </c>
      <c r="D892">
        <v>1950641</v>
      </c>
    </row>
    <row r="893" spans="1:4" x14ac:dyDescent="0.2">
      <c r="A893">
        <v>2021</v>
      </c>
      <c r="B893" t="s">
        <v>54</v>
      </c>
      <c r="C893" t="s">
        <v>22</v>
      </c>
      <c r="D893">
        <v>589467</v>
      </c>
    </row>
    <row r="894" spans="1:4" x14ac:dyDescent="0.2">
      <c r="A894">
        <v>2021</v>
      </c>
      <c r="B894" t="s">
        <v>55</v>
      </c>
      <c r="C894" t="s">
        <v>23</v>
      </c>
      <c r="D894">
        <v>7411664</v>
      </c>
    </row>
    <row r="895" spans="1:4" x14ac:dyDescent="0.2">
      <c r="A895">
        <v>2021</v>
      </c>
      <c r="B895" t="s">
        <v>56</v>
      </c>
      <c r="C895" t="s">
        <v>24</v>
      </c>
      <c r="D895">
        <v>1368944</v>
      </c>
    </row>
    <row r="896" spans="1:4" x14ac:dyDescent="0.2">
      <c r="A896">
        <v>2021</v>
      </c>
      <c r="B896" t="s">
        <v>57</v>
      </c>
      <c r="C896" t="s">
        <v>25</v>
      </c>
      <c r="D896">
        <v>1600764</v>
      </c>
    </row>
    <row r="897" spans="1:4" x14ac:dyDescent="0.2">
      <c r="A897">
        <v>2021</v>
      </c>
      <c r="B897" t="s">
        <v>58</v>
      </c>
      <c r="C897" t="s">
        <v>26</v>
      </c>
      <c r="D897">
        <v>3894285</v>
      </c>
    </row>
    <row r="898" spans="1:4" x14ac:dyDescent="0.2">
      <c r="A898">
        <v>2021</v>
      </c>
      <c r="B898" t="s">
        <v>59</v>
      </c>
      <c r="C898" t="s">
        <v>27</v>
      </c>
      <c r="D898">
        <v>1281054</v>
      </c>
    </row>
    <row r="899" spans="1:4" x14ac:dyDescent="0.2">
      <c r="A899">
        <v>2021</v>
      </c>
      <c r="B899" t="s">
        <v>60</v>
      </c>
      <c r="C899" t="s">
        <v>28</v>
      </c>
      <c r="D899">
        <v>260266066</v>
      </c>
    </row>
    <row r="900" spans="1:4" x14ac:dyDescent="0.2">
      <c r="A900">
        <v>2021</v>
      </c>
      <c r="B900" t="s">
        <v>61</v>
      </c>
      <c r="C900" t="s">
        <v>29</v>
      </c>
      <c r="D900">
        <v>12296392</v>
      </c>
    </row>
    <row r="901" spans="1:4" x14ac:dyDescent="0.2">
      <c r="A901">
        <v>2021</v>
      </c>
      <c r="B901" t="s">
        <v>62</v>
      </c>
      <c r="C901" t="s">
        <v>30</v>
      </c>
      <c r="D901">
        <v>1796669</v>
      </c>
    </row>
    <row r="902" spans="1:4" x14ac:dyDescent="0.2">
      <c r="A902">
        <v>2021</v>
      </c>
      <c r="B902" t="s">
        <v>63</v>
      </c>
      <c r="C902" t="s">
        <v>31</v>
      </c>
      <c r="D902">
        <v>3981938</v>
      </c>
    </row>
    <row r="903" spans="1:4" x14ac:dyDescent="0.2">
      <c r="A903">
        <v>2021</v>
      </c>
      <c r="B903" t="s">
        <v>97</v>
      </c>
      <c r="C903" t="s">
        <v>64</v>
      </c>
      <c r="D903">
        <v>6734000</v>
      </c>
    </row>
    <row r="904" spans="1:4" x14ac:dyDescent="0.2">
      <c r="A904">
        <v>2021</v>
      </c>
      <c r="B904" t="s">
        <v>98</v>
      </c>
      <c r="C904" t="s">
        <v>65</v>
      </c>
      <c r="D904">
        <v>15464228</v>
      </c>
    </row>
    <row r="905" spans="1:4" x14ac:dyDescent="0.2">
      <c r="A905">
        <v>2021</v>
      </c>
      <c r="B905" t="s">
        <v>99</v>
      </c>
      <c r="C905" t="s">
        <v>66</v>
      </c>
      <c r="D905">
        <v>2077175</v>
      </c>
    </row>
    <row r="906" spans="1:4" x14ac:dyDescent="0.2">
      <c r="A906">
        <v>2021</v>
      </c>
      <c r="B906" t="s">
        <v>100</v>
      </c>
      <c r="C906" t="s">
        <v>67</v>
      </c>
      <c r="D906">
        <v>5012876</v>
      </c>
    </row>
    <row r="907" spans="1:4" x14ac:dyDescent="0.2">
      <c r="A907">
        <v>2021</v>
      </c>
      <c r="B907" t="s">
        <v>101</v>
      </c>
      <c r="C907" t="s">
        <v>68</v>
      </c>
      <c r="D907">
        <v>2579373</v>
      </c>
    </row>
    <row r="908" spans="1:4" x14ac:dyDescent="0.2">
      <c r="A908">
        <v>2021</v>
      </c>
      <c r="B908" t="s">
        <v>102</v>
      </c>
      <c r="C908" t="s">
        <v>69</v>
      </c>
      <c r="D908">
        <v>1556314</v>
      </c>
    </row>
    <row r="909" spans="1:4" x14ac:dyDescent="0.2">
      <c r="A909">
        <v>2021</v>
      </c>
      <c r="B909" t="s">
        <v>103</v>
      </c>
      <c r="C909" t="s">
        <v>70</v>
      </c>
      <c r="D909">
        <v>2774168</v>
      </c>
    </row>
    <row r="910" spans="1:4" x14ac:dyDescent="0.2">
      <c r="A910">
        <v>2021</v>
      </c>
      <c r="B910" t="s">
        <v>104</v>
      </c>
      <c r="C910" t="s">
        <v>71</v>
      </c>
      <c r="D910">
        <v>2164345</v>
      </c>
    </row>
    <row r="911" spans="1:4" x14ac:dyDescent="0.2">
      <c r="A911">
        <v>2021</v>
      </c>
      <c r="B911" t="s">
        <v>105</v>
      </c>
      <c r="C911" t="s">
        <v>72</v>
      </c>
      <c r="D911">
        <v>4471486</v>
      </c>
    </row>
    <row r="912" spans="1:4" x14ac:dyDescent="0.2">
      <c r="A912">
        <v>2021</v>
      </c>
      <c r="B912" t="s">
        <v>106</v>
      </c>
      <c r="C912" t="s">
        <v>73</v>
      </c>
      <c r="D912">
        <v>16898709</v>
      </c>
    </row>
    <row r="913" spans="1:4" x14ac:dyDescent="0.2">
      <c r="A913">
        <v>2021</v>
      </c>
      <c r="B913" t="s">
        <v>107</v>
      </c>
      <c r="C913" t="s">
        <v>74</v>
      </c>
      <c r="D913">
        <v>46941987</v>
      </c>
    </row>
    <row r="914" spans="1:4" x14ac:dyDescent="0.2">
      <c r="A914">
        <v>2021</v>
      </c>
      <c r="B914" t="s">
        <v>108</v>
      </c>
      <c r="C914" t="s">
        <v>75</v>
      </c>
      <c r="D914">
        <v>6280112</v>
      </c>
    </row>
    <row r="915" spans="1:4" x14ac:dyDescent="0.2">
      <c r="A915">
        <v>2021</v>
      </c>
      <c r="B915" t="s">
        <v>109</v>
      </c>
      <c r="C915" t="s">
        <v>76</v>
      </c>
      <c r="D915">
        <v>304153</v>
      </c>
    </row>
    <row r="916" spans="1:4" x14ac:dyDescent="0.2">
      <c r="A916">
        <v>2021</v>
      </c>
      <c r="B916" t="s">
        <v>110</v>
      </c>
      <c r="C916" t="s">
        <v>77</v>
      </c>
      <c r="D916">
        <v>5135443</v>
      </c>
    </row>
    <row r="917" spans="1:4" x14ac:dyDescent="0.2">
      <c r="A917">
        <v>2021</v>
      </c>
      <c r="B917" t="s">
        <v>111</v>
      </c>
      <c r="C917" t="s">
        <v>78</v>
      </c>
      <c r="D917">
        <v>3900160</v>
      </c>
    </row>
    <row r="918" spans="1:4" x14ac:dyDescent="0.2">
      <c r="A918">
        <v>2021</v>
      </c>
      <c r="B918" t="s">
        <v>112</v>
      </c>
      <c r="C918" t="s">
        <v>79</v>
      </c>
      <c r="D918">
        <v>783067</v>
      </c>
    </row>
    <row r="919" spans="1:4" x14ac:dyDescent="0.2">
      <c r="A919">
        <v>2021</v>
      </c>
      <c r="B919" t="s">
        <v>113</v>
      </c>
      <c r="C919" t="s">
        <v>80</v>
      </c>
      <c r="D919">
        <v>1967188</v>
      </c>
    </row>
    <row r="920" spans="1:4" x14ac:dyDescent="0.2">
      <c r="A920">
        <v>2021</v>
      </c>
      <c r="B920" t="s">
        <v>114</v>
      </c>
      <c r="C920" t="s">
        <v>81</v>
      </c>
      <c r="D920">
        <v>1097148</v>
      </c>
    </row>
    <row r="921" spans="1:4" x14ac:dyDescent="0.2">
      <c r="A921">
        <v>2021</v>
      </c>
      <c r="B921" t="s">
        <v>115</v>
      </c>
      <c r="C921" t="s">
        <v>82</v>
      </c>
      <c r="D921">
        <v>3023744</v>
      </c>
    </row>
    <row r="922" spans="1:4" x14ac:dyDescent="0.2">
      <c r="A922">
        <v>2021</v>
      </c>
      <c r="B922" t="s">
        <v>116</v>
      </c>
      <c r="C922" t="s">
        <v>83</v>
      </c>
      <c r="D922">
        <v>115569628</v>
      </c>
    </row>
    <row r="923" spans="1:4" x14ac:dyDescent="0.2">
      <c r="A923">
        <v>2021</v>
      </c>
      <c r="B923" t="s">
        <v>117</v>
      </c>
      <c r="C923" t="s">
        <v>84</v>
      </c>
      <c r="D923">
        <v>5200642</v>
      </c>
    </row>
    <row r="924" spans="1:4" x14ac:dyDescent="0.2">
      <c r="A924">
        <v>2021</v>
      </c>
      <c r="B924" t="s">
        <v>118</v>
      </c>
      <c r="C924" t="s">
        <v>85</v>
      </c>
      <c r="D924">
        <v>1425309</v>
      </c>
    </row>
    <row r="925" spans="1:4" x14ac:dyDescent="0.2">
      <c r="A925">
        <v>2021</v>
      </c>
      <c r="B925" t="s">
        <v>119</v>
      </c>
      <c r="C925" t="s">
        <v>86</v>
      </c>
      <c r="D925">
        <v>1609602</v>
      </c>
    </row>
    <row r="926" spans="1:4" x14ac:dyDescent="0.2">
      <c r="A926">
        <v>2021</v>
      </c>
      <c r="B926" t="s">
        <v>120</v>
      </c>
      <c r="C926" t="s">
        <v>87</v>
      </c>
      <c r="D926">
        <v>1224543</v>
      </c>
    </row>
    <row r="927" spans="1:4" x14ac:dyDescent="0.2">
      <c r="A927">
        <v>2021</v>
      </c>
      <c r="B927" t="s">
        <v>121</v>
      </c>
      <c r="C927" t="s">
        <v>88</v>
      </c>
      <c r="D927">
        <v>3906195</v>
      </c>
    </row>
    <row r="928" spans="1:4" x14ac:dyDescent="0.2">
      <c r="A928">
        <v>2021</v>
      </c>
      <c r="B928" t="s">
        <v>122</v>
      </c>
      <c r="C928" t="s">
        <v>89</v>
      </c>
      <c r="D928">
        <v>1454393</v>
      </c>
    </row>
    <row r="929" spans="1:4" x14ac:dyDescent="0.2">
      <c r="A929">
        <v>2021</v>
      </c>
      <c r="B929" t="s">
        <v>123</v>
      </c>
      <c r="C929" t="s">
        <v>90</v>
      </c>
      <c r="D929">
        <v>9472951</v>
      </c>
    </row>
    <row r="930" spans="1:4" x14ac:dyDescent="0.2">
      <c r="A930">
        <v>2021</v>
      </c>
      <c r="B930" t="s">
        <v>124</v>
      </c>
      <c r="C930" t="s">
        <v>91</v>
      </c>
      <c r="D930">
        <v>1838757</v>
      </c>
    </row>
    <row r="931" spans="1:4" x14ac:dyDescent="0.2">
      <c r="A931">
        <v>2021</v>
      </c>
      <c r="B931" t="s">
        <v>125</v>
      </c>
      <c r="C931" t="s">
        <v>92</v>
      </c>
      <c r="D931">
        <v>2889402</v>
      </c>
    </row>
    <row r="932" spans="1:4" x14ac:dyDescent="0.2">
      <c r="A932">
        <v>2021</v>
      </c>
      <c r="B932" t="s">
        <v>126</v>
      </c>
      <c r="C932" t="s">
        <v>93</v>
      </c>
      <c r="D932">
        <v>1475811</v>
      </c>
    </row>
    <row r="933" spans="1:4" x14ac:dyDescent="0.2">
      <c r="A933">
        <v>2021</v>
      </c>
      <c r="B933" t="s">
        <v>127</v>
      </c>
      <c r="C933" t="s">
        <v>94</v>
      </c>
      <c r="D933">
        <v>1374710</v>
      </c>
    </row>
    <row r="934" spans="1:4" x14ac:dyDescent="0.2">
      <c r="A934">
        <v>2021</v>
      </c>
      <c r="B934" t="s">
        <v>128</v>
      </c>
      <c r="C934" t="s">
        <v>95</v>
      </c>
      <c r="D934">
        <v>1793025</v>
      </c>
    </row>
    <row r="935" spans="1:4" x14ac:dyDescent="0.2">
      <c r="A935">
        <v>2021</v>
      </c>
      <c r="B935" t="s">
        <v>129</v>
      </c>
      <c r="C935" t="s">
        <v>96</v>
      </c>
      <c r="D935">
        <v>4365757</v>
      </c>
    </row>
    <row r="936" spans="1:4" x14ac:dyDescent="0.2">
      <c r="A936">
        <v>2021</v>
      </c>
      <c r="B936" t="s">
        <v>163</v>
      </c>
      <c r="C936" t="s">
        <v>130</v>
      </c>
      <c r="D936">
        <v>3008385</v>
      </c>
    </row>
    <row r="937" spans="1:4" x14ac:dyDescent="0.2">
      <c r="A937">
        <v>2021</v>
      </c>
      <c r="B937" t="s">
        <v>164</v>
      </c>
      <c r="C937" t="s">
        <v>131</v>
      </c>
      <c r="D937">
        <v>2045844</v>
      </c>
    </row>
    <row r="938" spans="1:4" x14ac:dyDescent="0.2">
      <c r="A938">
        <v>2021</v>
      </c>
      <c r="B938" t="s">
        <v>165</v>
      </c>
      <c r="C938" t="s">
        <v>132</v>
      </c>
      <c r="D938">
        <v>7309383</v>
      </c>
    </row>
    <row r="939" spans="1:4" x14ac:dyDescent="0.2">
      <c r="A939">
        <v>2021</v>
      </c>
      <c r="B939" t="s">
        <v>166</v>
      </c>
      <c r="C939" t="s">
        <v>133</v>
      </c>
      <c r="D939">
        <v>4056476</v>
      </c>
    </row>
    <row r="940" spans="1:4" x14ac:dyDescent="0.2">
      <c r="A940">
        <v>2021</v>
      </c>
      <c r="B940" t="s">
        <v>167</v>
      </c>
      <c r="C940" t="s">
        <v>134</v>
      </c>
      <c r="D940">
        <v>1817171</v>
      </c>
    </row>
    <row r="941" spans="1:4" x14ac:dyDescent="0.2">
      <c r="A941">
        <v>2021</v>
      </c>
      <c r="B941" t="s">
        <v>168</v>
      </c>
      <c r="C941" t="s">
        <v>135</v>
      </c>
      <c r="D941">
        <v>5485844</v>
      </c>
    </row>
    <row r="942" spans="1:4" x14ac:dyDescent="0.2">
      <c r="A942">
        <v>2021</v>
      </c>
      <c r="B942" t="s">
        <v>169</v>
      </c>
      <c r="C942" t="s">
        <v>136</v>
      </c>
      <c r="D942">
        <v>97250676</v>
      </c>
    </row>
    <row r="943" spans="1:4" x14ac:dyDescent="0.2">
      <c r="A943">
        <v>2021</v>
      </c>
      <c r="B943" t="s">
        <v>170</v>
      </c>
      <c r="C943" t="s">
        <v>137</v>
      </c>
      <c r="D943">
        <v>3509334</v>
      </c>
    </row>
    <row r="944" spans="1:4" x14ac:dyDescent="0.2">
      <c r="A944">
        <v>2021</v>
      </c>
      <c r="B944" t="s">
        <v>171</v>
      </c>
      <c r="C944" t="s">
        <v>138</v>
      </c>
      <c r="D944">
        <v>992623</v>
      </c>
    </row>
    <row r="945" spans="1:4" x14ac:dyDescent="0.2">
      <c r="A945">
        <v>2021</v>
      </c>
      <c r="B945" t="s">
        <v>172</v>
      </c>
      <c r="C945" t="s">
        <v>139</v>
      </c>
      <c r="D945">
        <v>1186096</v>
      </c>
    </row>
    <row r="946" spans="1:4" x14ac:dyDescent="0.2">
      <c r="A946">
        <v>2021</v>
      </c>
      <c r="B946" t="s">
        <v>173</v>
      </c>
      <c r="C946" t="s">
        <v>140</v>
      </c>
      <c r="D946">
        <v>13227782</v>
      </c>
    </row>
    <row r="947" spans="1:4" x14ac:dyDescent="0.2">
      <c r="A947">
        <v>2021</v>
      </c>
      <c r="B947" t="s">
        <v>174</v>
      </c>
      <c r="C947" t="s">
        <v>141</v>
      </c>
      <c r="D947">
        <v>2838183</v>
      </c>
    </row>
    <row r="948" spans="1:4" x14ac:dyDescent="0.2">
      <c r="A948">
        <v>2021</v>
      </c>
      <c r="B948" t="s">
        <v>175</v>
      </c>
      <c r="C948" t="s">
        <v>142</v>
      </c>
      <c r="D948">
        <v>11438353</v>
      </c>
    </row>
    <row r="949" spans="1:4" x14ac:dyDescent="0.2">
      <c r="A949">
        <v>2021</v>
      </c>
      <c r="B949" t="s">
        <v>176</v>
      </c>
      <c r="C949" t="s">
        <v>143</v>
      </c>
      <c r="D949">
        <v>3135782</v>
      </c>
    </row>
    <row r="950" spans="1:4" x14ac:dyDescent="0.2">
      <c r="A950">
        <v>2021</v>
      </c>
      <c r="B950" t="s">
        <v>177</v>
      </c>
      <c r="C950" t="s">
        <v>144</v>
      </c>
      <c r="D950">
        <v>3514267</v>
      </c>
    </row>
    <row r="951" spans="1:4" x14ac:dyDescent="0.2">
      <c r="A951">
        <v>2021</v>
      </c>
      <c r="B951" t="s">
        <v>178</v>
      </c>
      <c r="C951" t="s">
        <v>145</v>
      </c>
      <c r="D951">
        <v>6134530</v>
      </c>
    </row>
    <row r="952" spans="1:4" x14ac:dyDescent="0.2">
      <c r="A952">
        <v>2021</v>
      </c>
      <c r="B952" t="s">
        <v>179</v>
      </c>
      <c r="C952" t="s">
        <v>146</v>
      </c>
      <c r="D952">
        <v>3744737</v>
      </c>
    </row>
    <row r="953" spans="1:4" x14ac:dyDescent="0.2">
      <c r="A953">
        <v>2021</v>
      </c>
      <c r="B953" t="s">
        <v>180</v>
      </c>
      <c r="C953" t="s">
        <v>147</v>
      </c>
      <c r="D953">
        <v>2135850</v>
      </c>
    </row>
    <row r="954" spans="1:4" x14ac:dyDescent="0.2">
      <c r="A954">
        <v>2021</v>
      </c>
      <c r="B954" t="s">
        <v>181</v>
      </c>
      <c r="C954" t="s">
        <v>148</v>
      </c>
      <c r="D954">
        <v>21844058</v>
      </c>
    </row>
    <row r="955" spans="1:4" x14ac:dyDescent="0.2">
      <c r="A955">
        <v>2021</v>
      </c>
      <c r="B955" t="s">
        <v>182</v>
      </c>
      <c r="C955" t="s">
        <v>149</v>
      </c>
      <c r="D955">
        <v>27646944</v>
      </c>
    </row>
    <row r="956" spans="1:4" x14ac:dyDescent="0.2">
      <c r="A956">
        <v>2021</v>
      </c>
      <c r="B956" t="s">
        <v>183</v>
      </c>
      <c r="C956" t="s">
        <v>150</v>
      </c>
      <c r="D956">
        <v>1169580</v>
      </c>
    </row>
    <row r="957" spans="1:4" x14ac:dyDescent="0.2">
      <c r="A957">
        <v>2021</v>
      </c>
      <c r="B957" t="s">
        <v>184</v>
      </c>
      <c r="C957" t="s">
        <v>151</v>
      </c>
      <c r="D957">
        <v>1306045</v>
      </c>
    </row>
    <row r="958" spans="1:4" x14ac:dyDescent="0.2">
      <c r="A958">
        <v>2021</v>
      </c>
      <c r="B958" t="s">
        <v>185</v>
      </c>
      <c r="C958" t="s">
        <v>152</v>
      </c>
      <c r="D958">
        <v>4067699</v>
      </c>
    </row>
    <row r="959" spans="1:4" x14ac:dyDescent="0.2">
      <c r="A959">
        <v>2021</v>
      </c>
      <c r="B959" t="s">
        <v>186</v>
      </c>
      <c r="C959" t="s">
        <v>153</v>
      </c>
      <c r="D959">
        <v>5130430</v>
      </c>
    </row>
    <row r="960" spans="1:4" x14ac:dyDescent="0.2">
      <c r="A960">
        <v>2021</v>
      </c>
      <c r="B960" t="s">
        <v>187</v>
      </c>
      <c r="C960" t="s">
        <v>154</v>
      </c>
      <c r="D960">
        <v>5931256</v>
      </c>
    </row>
    <row r="961" spans="1:4" x14ac:dyDescent="0.2">
      <c r="A961">
        <v>2021</v>
      </c>
      <c r="B961" t="s">
        <v>188</v>
      </c>
      <c r="C961" t="s">
        <v>155</v>
      </c>
      <c r="D961">
        <v>1613270</v>
      </c>
    </row>
    <row r="962" spans="1:4" x14ac:dyDescent="0.2">
      <c r="A962">
        <v>2021</v>
      </c>
      <c r="B962" t="s">
        <v>189</v>
      </c>
      <c r="C962" t="s">
        <v>156</v>
      </c>
      <c r="D962">
        <v>4984281</v>
      </c>
    </row>
    <row r="963" spans="1:4" x14ac:dyDescent="0.2">
      <c r="A963">
        <v>2021</v>
      </c>
      <c r="B963" t="s">
        <v>190</v>
      </c>
      <c r="C963" t="s">
        <v>157</v>
      </c>
      <c r="D963">
        <v>3474217</v>
      </c>
    </row>
    <row r="964" spans="1:4" x14ac:dyDescent="0.2">
      <c r="A964">
        <v>2021</v>
      </c>
      <c r="B964" t="s">
        <v>191</v>
      </c>
      <c r="C964" t="s">
        <v>158</v>
      </c>
      <c r="D964">
        <v>11887231</v>
      </c>
    </row>
    <row r="965" spans="1:4" x14ac:dyDescent="0.2">
      <c r="A965">
        <v>2021</v>
      </c>
      <c r="B965" t="s">
        <v>192</v>
      </c>
      <c r="C965" t="s">
        <v>159</v>
      </c>
      <c r="D965">
        <v>25926505</v>
      </c>
    </row>
    <row r="966" spans="1:4" x14ac:dyDescent="0.2">
      <c r="A966">
        <v>2021</v>
      </c>
      <c r="B966" t="s">
        <v>193</v>
      </c>
      <c r="C966" t="s">
        <v>160</v>
      </c>
      <c r="D966">
        <v>2221019</v>
      </c>
    </row>
    <row r="967" spans="1:4" x14ac:dyDescent="0.2">
      <c r="A967">
        <v>2021</v>
      </c>
      <c r="B967" t="s">
        <v>194</v>
      </c>
      <c r="C967" t="s">
        <v>161</v>
      </c>
      <c r="D967">
        <v>765207</v>
      </c>
    </row>
    <row r="968" spans="1:4" x14ac:dyDescent="0.2">
      <c r="A968">
        <v>2021</v>
      </c>
      <c r="B968" t="s">
        <v>195</v>
      </c>
      <c r="C968" t="s">
        <v>162</v>
      </c>
      <c r="D968">
        <v>6565579</v>
      </c>
    </row>
    <row r="969" spans="1:4" x14ac:dyDescent="0.2">
      <c r="A969">
        <v>2021</v>
      </c>
      <c r="B969" t="s">
        <v>229</v>
      </c>
      <c r="C969" t="s">
        <v>196</v>
      </c>
      <c r="D969">
        <v>5851440</v>
      </c>
    </row>
    <row r="970" spans="1:4" x14ac:dyDescent="0.2">
      <c r="A970">
        <v>2021</v>
      </c>
      <c r="B970" t="s">
        <v>230</v>
      </c>
      <c r="C970" t="s">
        <v>197</v>
      </c>
      <c r="D970">
        <v>3858174</v>
      </c>
    </row>
    <row r="971" spans="1:4" x14ac:dyDescent="0.2">
      <c r="A971">
        <v>2021</v>
      </c>
      <c r="B971" t="s">
        <v>231</v>
      </c>
      <c r="C971" t="s">
        <v>198</v>
      </c>
      <c r="D971">
        <v>18419428</v>
      </c>
    </row>
    <row r="972" spans="1:4" x14ac:dyDescent="0.2">
      <c r="A972">
        <v>2021</v>
      </c>
      <c r="B972" t="s">
        <v>232</v>
      </c>
      <c r="C972" t="s">
        <v>199</v>
      </c>
      <c r="D972">
        <v>7118376</v>
      </c>
    </row>
    <row r="973" spans="1:4" x14ac:dyDescent="0.2">
      <c r="A973">
        <v>2021</v>
      </c>
      <c r="B973" t="s">
        <v>233</v>
      </c>
      <c r="C973" t="s">
        <v>200</v>
      </c>
      <c r="D973">
        <v>4183345</v>
      </c>
    </row>
    <row r="974" spans="1:4" x14ac:dyDescent="0.2">
      <c r="A974">
        <v>2021</v>
      </c>
      <c r="B974" t="s">
        <v>234</v>
      </c>
      <c r="C974" t="s">
        <v>201</v>
      </c>
      <c r="D974">
        <v>8638880</v>
      </c>
    </row>
    <row r="975" spans="1:4" x14ac:dyDescent="0.2">
      <c r="A975">
        <v>2021</v>
      </c>
      <c r="B975" t="s">
        <v>235</v>
      </c>
      <c r="C975" t="s">
        <v>202</v>
      </c>
      <c r="D975">
        <v>26976920</v>
      </c>
    </row>
    <row r="976" spans="1:4" x14ac:dyDescent="0.2">
      <c r="A976">
        <v>2021</v>
      </c>
      <c r="B976" t="s">
        <v>236</v>
      </c>
      <c r="C976" t="s">
        <v>203</v>
      </c>
      <c r="D976">
        <v>34474548</v>
      </c>
    </row>
    <row r="977" spans="1:4" x14ac:dyDescent="0.2">
      <c r="A977">
        <v>2021</v>
      </c>
      <c r="B977" t="s">
        <v>237</v>
      </c>
      <c r="C977" t="s">
        <v>204</v>
      </c>
      <c r="D977">
        <v>4067302</v>
      </c>
    </row>
    <row r="978" spans="1:4" x14ac:dyDescent="0.2">
      <c r="A978">
        <v>2021</v>
      </c>
      <c r="B978" t="s">
        <v>238</v>
      </c>
      <c r="C978" t="s">
        <v>205</v>
      </c>
      <c r="D978">
        <v>13973262</v>
      </c>
    </row>
    <row r="979" spans="1:4" x14ac:dyDescent="0.2">
      <c r="A979">
        <v>2021</v>
      </c>
      <c r="B979" t="s">
        <v>239</v>
      </c>
      <c r="C979" t="s">
        <v>206</v>
      </c>
      <c r="D979">
        <v>1437015</v>
      </c>
    </row>
    <row r="980" spans="1:4" x14ac:dyDescent="0.2">
      <c r="A980">
        <v>2021</v>
      </c>
      <c r="B980" t="s">
        <v>240</v>
      </c>
      <c r="C980" t="s">
        <v>207</v>
      </c>
      <c r="D980">
        <v>30707573</v>
      </c>
    </row>
    <row r="981" spans="1:4" x14ac:dyDescent="0.2">
      <c r="A981">
        <v>2021</v>
      </c>
      <c r="B981" t="s">
        <v>241</v>
      </c>
      <c r="C981" t="s">
        <v>208</v>
      </c>
      <c r="D981">
        <v>13896958</v>
      </c>
    </row>
    <row r="982" spans="1:4" x14ac:dyDescent="0.2">
      <c r="A982">
        <v>2021</v>
      </c>
      <c r="B982" t="s">
        <v>242</v>
      </c>
      <c r="C982" t="s">
        <v>209</v>
      </c>
      <c r="D982">
        <v>2867841</v>
      </c>
    </row>
    <row r="983" spans="1:4" x14ac:dyDescent="0.2">
      <c r="A983">
        <v>2021</v>
      </c>
      <c r="B983" t="s">
        <v>243</v>
      </c>
      <c r="C983" t="s">
        <v>210</v>
      </c>
      <c r="D983">
        <v>13456527</v>
      </c>
    </row>
    <row r="984" spans="1:4" x14ac:dyDescent="0.2">
      <c r="A984">
        <v>2021</v>
      </c>
      <c r="B984" t="s">
        <v>244</v>
      </c>
      <c r="C984" t="s">
        <v>211</v>
      </c>
      <c r="D984">
        <v>4945479</v>
      </c>
    </row>
    <row r="985" spans="1:4" x14ac:dyDescent="0.2">
      <c r="A985">
        <v>2021</v>
      </c>
      <c r="B985">
        <v>40223</v>
      </c>
      <c r="C985" t="s">
        <v>212</v>
      </c>
      <c r="D985">
        <v>1871355</v>
      </c>
    </row>
    <row r="986" spans="1:4" x14ac:dyDescent="0.2">
      <c r="A986">
        <v>2021</v>
      </c>
      <c r="B986">
        <v>40224</v>
      </c>
      <c r="C986" t="s">
        <v>213</v>
      </c>
      <c r="D986">
        <v>4412244</v>
      </c>
    </row>
    <row r="987" spans="1:4" x14ac:dyDescent="0.2">
      <c r="A987">
        <v>2021</v>
      </c>
      <c r="B987">
        <v>40225</v>
      </c>
      <c r="C987" t="s">
        <v>214</v>
      </c>
      <c r="D987">
        <v>3229607</v>
      </c>
    </row>
    <row r="988" spans="1:4" x14ac:dyDescent="0.2">
      <c r="A988">
        <v>2021</v>
      </c>
      <c r="B988">
        <v>40230</v>
      </c>
      <c r="C988" t="s">
        <v>215</v>
      </c>
      <c r="D988">
        <v>868920</v>
      </c>
    </row>
    <row r="989" spans="1:4" x14ac:dyDescent="0.2">
      <c r="A989">
        <v>2021</v>
      </c>
      <c r="B989">
        <v>40231</v>
      </c>
      <c r="C989" t="s">
        <v>216</v>
      </c>
      <c r="D989">
        <v>16224</v>
      </c>
    </row>
    <row r="990" spans="1:4" x14ac:dyDescent="0.2">
      <c r="A990">
        <v>2021</v>
      </c>
      <c r="B990">
        <v>40232</v>
      </c>
      <c r="C990" t="s">
        <v>217</v>
      </c>
      <c r="D990">
        <v>1086028</v>
      </c>
    </row>
    <row r="991" spans="1:4" x14ac:dyDescent="0.2">
      <c r="A991">
        <v>2021</v>
      </c>
      <c r="B991">
        <v>40233</v>
      </c>
      <c r="C991" t="s">
        <v>218</v>
      </c>
      <c r="D991">
        <v>41109001</v>
      </c>
    </row>
    <row r="992" spans="1:4" x14ac:dyDescent="0.2">
      <c r="A992">
        <v>2021</v>
      </c>
      <c r="B992">
        <v>40234</v>
      </c>
      <c r="C992" t="s">
        <v>219</v>
      </c>
      <c r="D992">
        <v>68331757</v>
      </c>
    </row>
    <row r="993" spans="1:4" x14ac:dyDescent="0.2">
      <c r="A993">
        <v>2021</v>
      </c>
      <c r="B993">
        <v>40236</v>
      </c>
      <c r="C993" t="s">
        <v>220</v>
      </c>
      <c r="D993">
        <v>3738778</v>
      </c>
    </row>
    <row r="994" spans="1:4" x14ac:dyDescent="0.2">
      <c r="A994">
        <v>2021</v>
      </c>
      <c r="B994">
        <v>40306</v>
      </c>
      <c r="C994" t="s">
        <v>221</v>
      </c>
      <c r="D994">
        <v>909537</v>
      </c>
    </row>
    <row r="995" spans="1:4" x14ac:dyDescent="0.2">
      <c r="A995">
        <v>2021</v>
      </c>
      <c r="B995">
        <v>40307</v>
      </c>
      <c r="C995" t="s">
        <v>222</v>
      </c>
      <c r="D995">
        <v>542378</v>
      </c>
    </row>
    <row r="996" spans="1:4" x14ac:dyDescent="0.2">
      <c r="A996">
        <v>2021</v>
      </c>
      <c r="B996">
        <v>40308</v>
      </c>
      <c r="C996" t="s">
        <v>223</v>
      </c>
      <c r="D996">
        <v>2989586</v>
      </c>
    </row>
    <row r="997" spans="1:4" x14ac:dyDescent="0.2">
      <c r="A997">
        <v>2021</v>
      </c>
      <c r="B997">
        <v>40309</v>
      </c>
      <c r="C997" t="s">
        <v>224</v>
      </c>
      <c r="D997">
        <v>612385</v>
      </c>
    </row>
    <row r="998" spans="1:4" x14ac:dyDescent="0.2">
      <c r="A998">
        <v>2021</v>
      </c>
      <c r="B998">
        <v>40313</v>
      </c>
      <c r="C998" t="s">
        <v>225</v>
      </c>
      <c r="D998">
        <v>1206423</v>
      </c>
    </row>
    <row r="999" spans="1:4" x14ac:dyDescent="0.2">
      <c r="A999">
        <v>2021</v>
      </c>
      <c r="B999">
        <v>40314</v>
      </c>
      <c r="C999" t="s">
        <v>226</v>
      </c>
      <c r="D999">
        <v>632702</v>
      </c>
    </row>
    <row r="1000" spans="1:4" x14ac:dyDescent="0.2">
      <c r="A1000">
        <v>2021</v>
      </c>
      <c r="B1000">
        <v>40332</v>
      </c>
      <c r="C1000" t="s">
        <v>227</v>
      </c>
      <c r="D1000">
        <v>9865309</v>
      </c>
    </row>
    <row r="1001" spans="1:4" x14ac:dyDescent="0.2">
      <c r="A1001">
        <v>2021</v>
      </c>
      <c r="B1001">
        <v>40335</v>
      </c>
      <c r="C1001" t="s">
        <v>228</v>
      </c>
      <c r="D1001">
        <v>3838285</v>
      </c>
    </row>
    <row r="1002" spans="1:4" x14ac:dyDescent="0.2">
      <c r="A1002">
        <v>2021</v>
      </c>
      <c r="B1002">
        <v>40402</v>
      </c>
      <c r="C1002" t="s">
        <v>294</v>
      </c>
      <c r="D1002">
        <v>11795631</v>
      </c>
    </row>
    <row r="1003" spans="1:4" x14ac:dyDescent="0.2">
      <c r="A1003">
        <v>2021</v>
      </c>
      <c r="B1003">
        <v>40403</v>
      </c>
      <c r="C1003" t="s">
        <v>263</v>
      </c>
      <c r="D1003">
        <v>1952024</v>
      </c>
    </row>
    <row r="1004" spans="1:4" x14ac:dyDescent="0.2">
      <c r="A1004">
        <v>2021</v>
      </c>
      <c r="B1004">
        <v>40410</v>
      </c>
      <c r="C1004" t="s">
        <v>264</v>
      </c>
      <c r="D1004">
        <v>318175</v>
      </c>
    </row>
    <row r="1005" spans="1:4" x14ac:dyDescent="0.2">
      <c r="A1005">
        <v>2021</v>
      </c>
      <c r="B1005">
        <v>40412</v>
      </c>
      <c r="C1005" t="s">
        <v>295</v>
      </c>
      <c r="D1005">
        <v>199862</v>
      </c>
    </row>
    <row r="1006" spans="1:4" x14ac:dyDescent="0.2">
      <c r="A1006">
        <v>2021</v>
      </c>
      <c r="B1006">
        <v>40414</v>
      </c>
      <c r="C1006" t="s">
        <v>267</v>
      </c>
      <c r="D1006">
        <v>93741</v>
      </c>
    </row>
    <row r="1007" spans="1:4" x14ac:dyDescent="0.2">
      <c r="A1007">
        <v>2021</v>
      </c>
      <c r="B1007">
        <v>40415</v>
      </c>
      <c r="C1007" t="s">
        <v>268</v>
      </c>
      <c r="D1007">
        <v>1479512</v>
      </c>
    </row>
    <row r="1008" spans="1:4" x14ac:dyDescent="0.2">
      <c r="A1008">
        <v>2021</v>
      </c>
      <c r="B1008">
        <v>40416</v>
      </c>
      <c r="C1008" t="s">
        <v>269</v>
      </c>
      <c r="D1008">
        <v>196907</v>
      </c>
    </row>
    <row r="1009" spans="1:4" x14ac:dyDescent="0.2">
      <c r="A1009">
        <v>2021</v>
      </c>
      <c r="B1009">
        <v>40417</v>
      </c>
      <c r="C1009" t="s">
        <v>270</v>
      </c>
      <c r="D1009">
        <v>137888</v>
      </c>
    </row>
    <row r="1010" spans="1:4" x14ac:dyDescent="0.2">
      <c r="A1010">
        <v>2021</v>
      </c>
      <c r="B1010">
        <v>40418</v>
      </c>
      <c r="C1010" t="s">
        <v>296</v>
      </c>
      <c r="D1010">
        <v>33446</v>
      </c>
    </row>
    <row r="1011" spans="1:4" x14ac:dyDescent="0.2">
      <c r="A1011">
        <v>2021</v>
      </c>
      <c r="B1011">
        <v>40421</v>
      </c>
      <c r="C1011" t="s">
        <v>272</v>
      </c>
      <c r="D1011">
        <v>98107</v>
      </c>
    </row>
    <row r="1012" spans="1:4" x14ac:dyDescent="0.2">
      <c r="A1012">
        <v>2021</v>
      </c>
      <c r="B1012">
        <v>40423</v>
      </c>
      <c r="C1012" t="s">
        <v>273</v>
      </c>
      <c r="D1012">
        <v>751532</v>
      </c>
    </row>
    <row r="1013" spans="1:4" x14ac:dyDescent="0.2">
      <c r="A1013">
        <v>2021</v>
      </c>
      <c r="B1013">
        <v>40424</v>
      </c>
      <c r="C1013" t="s">
        <v>274</v>
      </c>
      <c r="D1013">
        <v>348130</v>
      </c>
    </row>
    <row r="1014" spans="1:4" x14ac:dyDescent="0.2">
      <c r="A1014">
        <v>2021</v>
      </c>
      <c r="B1014">
        <v>40425</v>
      </c>
      <c r="C1014" t="s">
        <v>275</v>
      </c>
      <c r="D1014">
        <v>72911</v>
      </c>
    </row>
    <row r="1015" spans="1:4" x14ac:dyDescent="0.2">
      <c r="A1015">
        <v>2022</v>
      </c>
      <c r="B1015" t="s">
        <v>32</v>
      </c>
      <c r="C1015" t="s">
        <v>0</v>
      </c>
      <c r="D1015">
        <v>4780667</v>
      </c>
    </row>
    <row r="1016" spans="1:4" x14ac:dyDescent="0.2">
      <c r="A1016">
        <v>2022</v>
      </c>
      <c r="B1016" t="s">
        <v>33</v>
      </c>
      <c r="C1016" t="s">
        <v>1</v>
      </c>
      <c r="D1016">
        <v>17910347</v>
      </c>
    </row>
    <row r="1017" spans="1:4" x14ac:dyDescent="0.2">
      <c r="A1017">
        <v>2022</v>
      </c>
      <c r="B1017" t="s">
        <v>34</v>
      </c>
      <c r="C1017" t="s">
        <v>2</v>
      </c>
      <c r="D1017">
        <v>2844927</v>
      </c>
    </row>
    <row r="1018" spans="1:4" x14ac:dyDescent="0.2">
      <c r="A1018">
        <v>2022</v>
      </c>
      <c r="B1018" t="s">
        <v>35</v>
      </c>
      <c r="C1018" t="s">
        <v>3</v>
      </c>
      <c r="D1018">
        <v>1519581</v>
      </c>
    </row>
    <row r="1019" spans="1:4" x14ac:dyDescent="0.2">
      <c r="A1019">
        <v>2022</v>
      </c>
      <c r="B1019" t="s">
        <v>36</v>
      </c>
      <c r="C1019" t="s">
        <v>4</v>
      </c>
      <c r="D1019">
        <v>4297566</v>
      </c>
    </row>
    <row r="1020" spans="1:4" x14ac:dyDescent="0.2">
      <c r="A1020">
        <v>2022</v>
      </c>
      <c r="B1020" t="s">
        <v>37</v>
      </c>
      <c r="C1020" t="s">
        <v>5</v>
      </c>
      <c r="D1020">
        <v>2094416</v>
      </c>
    </row>
    <row r="1021" spans="1:4" x14ac:dyDescent="0.2">
      <c r="A1021">
        <v>2022</v>
      </c>
      <c r="B1021" t="s">
        <v>38</v>
      </c>
      <c r="C1021" t="s">
        <v>6</v>
      </c>
      <c r="D1021">
        <v>51959377</v>
      </c>
    </row>
    <row r="1022" spans="1:4" x14ac:dyDescent="0.2">
      <c r="A1022">
        <v>2022</v>
      </c>
      <c r="B1022" t="s">
        <v>39</v>
      </c>
      <c r="C1022" t="s">
        <v>7</v>
      </c>
      <c r="D1022">
        <v>10194064</v>
      </c>
    </row>
    <row r="1023" spans="1:4" x14ac:dyDescent="0.2">
      <c r="A1023">
        <v>2022</v>
      </c>
      <c r="B1023" t="s">
        <v>40</v>
      </c>
      <c r="C1023" t="s">
        <v>8</v>
      </c>
      <c r="D1023">
        <v>734928</v>
      </c>
    </row>
    <row r="1024" spans="1:4" x14ac:dyDescent="0.2">
      <c r="A1024">
        <v>2022</v>
      </c>
      <c r="B1024" t="s">
        <v>41</v>
      </c>
      <c r="C1024" t="s">
        <v>9</v>
      </c>
      <c r="D1024">
        <v>8905168</v>
      </c>
    </row>
    <row r="1025" spans="1:4" x14ac:dyDescent="0.2">
      <c r="A1025">
        <v>2022</v>
      </c>
      <c r="B1025" t="s">
        <v>42</v>
      </c>
      <c r="C1025" t="s">
        <v>10</v>
      </c>
      <c r="D1025">
        <v>644159</v>
      </c>
    </row>
    <row r="1026" spans="1:4" x14ac:dyDescent="0.2">
      <c r="A1026">
        <v>2022</v>
      </c>
      <c r="B1026" t="s">
        <v>43</v>
      </c>
      <c r="C1026" t="s">
        <v>11</v>
      </c>
      <c r="D1026">
        <v>4715240</v>
      </c>
    </row>
    <row r="1027" spans="1:4" x14ac:dyDescent="0.2">
      <c r="A1027">
        <v>2022</v>
      </c>
      <c r="B1027" t="s">
        <v>44</v>
      </c>
      <c r="C1027" t="s">
        <v>12</v>
      </c>
      <c r="D1027">
        <v>1378988</v>
      </c>
    </row>
    <row r="1028" spans="1:4" x14ac:dyDescent="0.2">
      <c r="A1028">
        <v>2022</v>
      </c>
      <c r="B1028" t="s">
        <v>45</v>
      </c>
      <c r="C1028" t="s">
        <v>13</v>
      </c>
      <c r="D1028">
        <v>2164477</v>
      </c>
    </row>
    <row r="1029" spans="1:4" x14ac:dyDescent="0.2">
      <c r="A1029">
        <v>2022</v>
      </c>
      <c r="B1029" t="s">
        <v>46</v>
      </c>
      <c r="C1029" t="s">
        <v>14</v>
      </c>
      <c r="D1029">
        <v>1980149</v>
      </c>
    </row>
    <row r="1030" spans="1:4" x14ac:dyDescent="0.2">
      <c r="A1030">
        <v>2022</v>
      </c>
      <c r="B1030" t="s">
        <v>47</v>
      </c>
      <c r="C1030" t="s">
        <v>15</v>
      </c>
      <c r="D1030">
        <v>7203526</v>
      </c>
    </row>
    <row r="1031" spans="1:4" x14ac:dyDescent="0.2">
      <c r="A1031">
        <v>2022</v>
      </c>
      <c r="B1031" t="s">
        <v>48</v>
      </c>
      <c r="C1031" t="s">
        <v>16</v>
      </c>
      <c r="D1031">
        <v>3754091</v>
      </c>
    </row>
    <row r="1032" spans="1:4" x14ac:dyDescent="0.2">
      <c r="A1032">
        <v>2022</v>
      </c>
      <c r="B1032" t="s">
        <v>49</v>
      </c>
      <c r="C1032" t="s">
        <v>17</v>
      </c>
      <c r="D1032">
        <v>3672227</v>
      </c>
    </row>
    <row r="1033" spans="1:4" x14ac:dyDescent="0.2">
      <c r="A1033">
        <v>2022</v>
      </c>
      <c r="B1033" t="s">
        <v>50</v>
      </c>
      <c r="C1033" t="s">
        <v>18</v>
      </c>
      <c r="D1033">
        <v>638003</v>
      </c>
    </row>
    <row r="1034" spans="1:4" x14ac:dyDescent="0.2">
      <c r="A1034">
        <v>2022</v>
      </c>
      <c r="B1034" t="s">
        <v>51</v>
      </c>
      <c r="C1034" t="s">
        <v>19</v>
      </c>
      <c r="D1034">
        <v>4969482</v>
      </c>
    </row>
    <row r="1035" spans="1:4" x14ac:dyDescent="0.2">
      <c r="A1035">
        <v>2022</v>
      </c>
      <c r="B1035" t="s">
        <v>52</v>
      </c>
      <c r="C1035" t="s">
        <v>20</v>
      </c>
      <c r="D1035">
        <v>58376847</v>
      </c>
    </row>
    <row r="1036" spans="1:4" x14ac:dyDescent="0.2">
      <c r="A1036">
        <v>2022</v>
      </c>
      <c r="B1036" t="s">
        <v>53</v>
      </c>
      <c r="C1036" t="s">
        <v>21</v>
      </c>
      <c r="D1036">
        <v>2122390</v>
      </c>
    </row>
    <row r="1037" spans="1:4" x14ac:dyDescent="0.2">
      <c r="A1037">
        <v>2022</v>
      </c>
      <c r="B1037" t="s">
        <v>54</v>
      </c>
      <c r="C1037" t="s">
        <v>22</v>
      </c>
      <c r="D1037">
        <v>602627</v>
      </c>
    </row>
    <row r="1038" spans="1:4" x14ac:dyDescent="0.2">
      <c r="A1038">
        <v>2022</v>
      </c>
      <c r="B1038" t="s">
        <v>55</v>
      </c>
      <c r="C1038" t="s">
        <v>23</v>
      </c>
      <c r="D1038">
        <v>7801554</v>
      </c>
    </row>
    <row r="1039" spans="1:4" x14ac:dyDescent="0.2">
      <c r="A1039">
        <v>2022</v>
      </c>
      <c r="B1039" t="s">
        <v>56</v>
      </c>
      <c r="C1039" t="s">
        <v>24</v>
      </c>
      <c r="D1039">
        <v>1460444</v>
      </c>
    </row>
    <row r="1040" spans="1:4" x14ac:dyDescent="0.2">
      <c r="A1040">
        <v>2022</v>
      </c>
      <c r="B1040" t="s">
        <v>57</v>
      </c>
      <c r="C1040" t="s">
        <v>25</v>
      </c>
      <c r="D1040">
        <v>1693034</v>
      </c>
    </row>
    <row r="1041" spans="1:4" x14ac:dyDescent="0.2">
      <c r="A1041">
        <v>2022</v>
      </c>
      <c r="B1041" t="s">
        <v>58</v>
      </c>
      <c r="C1041" t="s">
        <v>26</v>
      </c>
      <c r="D1041">
        <v>4282970</v>
      </c>
    </row>
    <row r="1042" spans="1:4" x14ac:dyDescent="0.2">
      <c r="A1042">
        <v>2022</v>
      </c>
      <c r="B1042" t="s">
        <v>59</v>
      </c>
      <c r="C1042" t="s">
        <v>27</v>
      </c>
      <c r="D1042">
        <v>1335118</v>
      </c>
    </row>
    <row r="1043" spans="1:4" x14ac:dyDescent="0.2">
      <c r="A1043">
        <v>2022</v>
      </c>
      <c r="B1043" t="s">
        <v>60</v>
      </c>
      <c r="C1043" t="s">
        <v>28</v>
      </c>
      <c r="D1043">
        <v>264335384</v>
      </c>
    </row>
    <row r="1044" spans="1:4" x14ac:dyDescent="0.2">
      <c r="A1044">
        <v>2022</v>
      </c>
      <c r="B1044" t="s">
        <v>61</v>
      </c>
      <c r="C1044" t="s">
        <v>29</v>
      </c>
      <c r="D1044">
        <v>12605268</v>
      </c>
    </row>
    <row r="1045" spans="1:4" x14ac:dyDescent="0.2">
      <c r="A1045">
        <v>2022</v>
      </c>
      <c r="B1045" t="s">
        <v>62</v>
      </c>
      <c r="C1045" t="s">
        <v>30</v>
      </c>
      <c r="D1045">
        <v>1854198</v>
      </c>
    </row>
    <row r="1046" spans="1:4" x14ac:dyDescent="0.2">
      <c r="A1046">
        <v>2022</v>
      </c>
      <c r="B1046" t="s">
        <v>63</v>
      </c>
      <c r="C1046" t="s">
        <v>31</v>
      </c>
      <c r="D1046">
        <v>4073557</v>
      </c>
    </row>
    <row r="1047" spans="1:4" x14ac:dyDescent="0.2">
      <c r="A1047">
        <v>2022</v>
      </c>
      <c r="B1047" t="s">
        <v>97</v>
      </c>
      <c r="C1047" t="s">
        <v>64</v>
      </c>
      <c r="D1047">
        <v>7022934</v>
      </c>
    </row>
    <row r="1048" spans="1:4" x14ac:dyDescent="0.2">
      <c r="A1048">
        <v>2022</v>
      </c>
      <c r="B1048" t="s">
        <v>98</v>
      </c>
      <c r="C1048" t="s">
        <v>65</v>
      </c>
      <c r="D1048">
        <v>16245878</v>
      </c>
    </row>
    <row r="1049" spans="1:4" x14ac:dyDescent="0.2">
      <c r="A1049">
        <v>2022</v>
      </c>
      <c r="B1049" t="s">
        <v>99</v>
      </c>
      <c r="C1049" t="s">
        <v>66</v>
      </c>
      <c r="D1049">
        <v>2152212</v>
      </c>
    </row>
    <row r="1050" spans="1:4" x14ac:dyDescent="0.2">
      <c r="A1050">
        <v>2022</v>
      </c>
      <c r="B1050" t="s">
        <v>100</v>
      </c>
      <c r="C1050" t="s">
        <v>67</v>
      </c>
      <c r="D1050">
        <v>5586102</v>
      </c>
    </row>
    <row r="1051" spans="1:4" x14ac:dyDescent="0.2">
      <c r="A1051">
        <v>2022</v>
      </c>
      <c r="B1051" t="s">
        <v>101</v>
      </c>
      <c r="C1051" t="s">
        <v>68</v>
      </c>
      <c r="D1051">
        <v>2771234</v>
      </c>
    </row>
    <row r="1052" spans="1:4" x14ac:dyDescent="0.2">
      <c r="A1052">
        <v>2022</v>
      </c>
      <c r="B1052" t="s">
        <v>102</v>
      </c>
      <c r="C1052" t="s">
        <v>69</v>
      </c>
      <c r="D1052">
        <v>1646490</v>
      </c>
    </row>
    <row r="1053" spans="1:4" x14ac:dyDescent="0.2">
      <c r="A1053">
        <v>2022</v>
      </c>
      <c r="B1053" t="s">
        <v>103</v>
      </c>
      <c r="C1053" t="s">
        <v>70</v>
      </c>
      <c r="D1053">
        <v>3040946</v>
      </c>
    </row>
    <row r="1054" spans="1:4" x14ac:dyDescent="0.2">
      <c r="A1054">
        <v>2022</v>
      </c>
      <c r="B1054" t="s">
        <v>104</v>
      </c>
      <c r="C1054" t="s">
        <v>71</v>
      </c>
      <c r="D1054">
        <v>2195925</v>
      </c>
    </row>
    <row r="1055" spans="1:4" x14ac:dyDescent="0.2">
      <c r="A1055">
        <v>2022</v>
      </c>
      <c r="B1055" t="s">
        <v>105</v>
      </c>
      <c r="C1055" t="s">
        <v>72</v>
      </c>
      <c r="D1055">
        <v>4919371</v>
      </c>
    </row>
    <row r="1056" spans="1:4" x14ac:dyDescent="0.2">
      <c r="A1056">
        <v>2022</v>
      </c>
      <c r="B1056" t="s">
        <v>106</v>
      </c>
      <c r="C1056" t="s">
        <v>73</v>
      </c>
      <c r="D1056">
        <v>18116183</v>
      </c>
    </row>
    <row r="1057" spans="1:4" x14ac:dyDescent="0.2">
      <c r="A1057">
        <v>2022</v>
      </c>
      <c r="B1057" t="s">
        <v>107</v>
      </c>
      <c r="C1057" t="s">
        <v>74</v>
      </c>
      <c r="D1057">
        <v>49915832</v>
      </c>
    </row>
    <row r="1058" spans="1:4" x14ac:dyDescent="0.2">
      <c r="A1058">
        <v>2022</v>
      </c>
      <c r="B1058" t="s">
        <v>108</v>
      </c>
      <c r="C1058" t="s">
        <v>75</v>
      </c>
      <c r="D1058">
        <v>6563139</v>
      </c>
    </row>
    <row r="1059" spans="1:4" x14ac:dyDescent="0.2">
      <c r="A1059">
        <v>2022</v>
      </c>
      <c r="B1059" t="s">
        <v>109</v>
      </c>
      <c r="C1059" t="s">
        <v>76</v>
      </c>
      <c r="D1059">
        <v>314581</v>
      </c>
    </row>
    <row r="1060" spans="1:4" x14ac:dyDescent="0.2">
      <c r="A1060">
        <v>2022</v>
      </c>
      <c r="B1060" t="s">
        <v>110</v>
      </c>
      <c r="C1060" t="s">
        <v>77</v>
      </c>
      <c r="D1060">
        <v>5570195</v>
      </c>
    </row>
    <row r="1061" spans="1:4" x14ac:dyDescent="0.2">
      <c r="A1061">
        <v>2022</v>
      </c>
      <c r="B1061" t="s">
        <v>111</v>
      </c>
      <c r="C1061" t="s">
        <v>78</v>
      </c>
      <c r="D1061">
        <v>4104125</v>
      </c>
    </row>
    <row r="1062" spans="1:4" x14ac:dyDescent="0.2">
      <c r="A1062">
        <v>2022</v>
      </c>
      <c r="B1062" t="s">
        <v>112</v>
      </c>
      <c r="C1062" t="s">
        <v>79</v>
      </c>
      <c r="D1062">
        <v>865720</v>
      </c>
    </row>
    <row r="1063" spans="1:4" x14ac:dyDescent="0.2">
      <c r="A1063">
        <v>2022</v>
      </c>
      <c r="B1063" t="s">
        <v>113</v>
      </c>
      <c r="C1063" t="s">
        <v>80</v>
      </c>
      <c r="D1063">
        <v>2073166</v>
      </c>
    </row>
    <row r="1064" spans="1:4" x14ac:dyDescent="0.2">
      <c r="A1064">
        <v>2022</v>
      </c>
      <c r="B1064" t="s">
        <v>114</v>
      </c>
      <c r="C1064" t="s">
        <v>81</v>
      </c>
      <c r="D1064">
        <v>1146164</v>
      </c>
    </row>
    <row r="1065" spans="1:4" x14ac:dyDescent="0.2">
      <c r="A1065">
        <v>2022</v>
      </c>
      <c r="B1065" t="s">
        <v>115</v>
      </c>
      <c r="C1065" t="s">
        <v>82</v>
      </c>
      <c r="D1065">
        <v>3184036</v>
      </c>
    </row>
    <row r="1066" spans="1:4" x14ac:dyDescent="0.2">
      <c r="A1066">
        <v>2022</v>
      </c>
      <c r="B1066" t="s">
        <v>116</v>
      </c>
      <c r="C1066" t="s">
        <v>83</v>
      </c>
      <c r="D1066">
        <v>125912501</v>
      </c>
    </row>
    <row r="1067" spans="1:4" x14ac:dyDescent="0.2">
      <c r="A1067">
        <v>2022</v>
      </c>
      <c r="B1067" t="s">
        <v>117</v>
      </c>
      <c r="C1067" t="s">
        <v>84</v>
      </c>
      <c r="D1067">
        <v>5622815</v>
      </c>
    </row>
    <row r="1068" spans="1:4" x14ac:dyDescent="0.2">
      <c r="A1068">
        <v>2022</v>
      </c>
      <c r="B1068" t="s">
        <v>118</v>
      </c>
      <c r="C1068" t="s">
        <v>85</v>
      </c>
      <c r="D1068">
        <v>1535748</v>
      </c>
    </row>
    <row r="1069" spans="1:4" x14ac:dyDescent="0.2">
      <c r="A1069">
        <v>2022</v>
      </c>
      <c r="B1069" t="s">
        <v>119</v>
      </c>
      <c r="C1069" t="s">
        <v>86</v>
      </c>
      <c r="D1069">
        <v>1721935</v>
      </c>
    </row>
    <row r="1070" spans="1:4" x14ac:dyDescent="0.2">
      <c r="A1070">
        <v>2022</v>
      </c>
      <c r="B1070" t="s">
        <v>120</v>
      </c>
      <c r="C1070" t="s">
        <v>87</v>
      </c>
      <c r="D1070">
        <v>1280523</v>
      </c>
    </row>
    <row r="1071" spans="1:4" x14ac:dyDescent="0.2">
      <c r="A1071">
        <v>2022</v>
      </c>
      <c r="B1071" t="s">
        <v>121</v>
      </c>
      <c r="C1071" t="s">
        <v>88</v>
      </c>
      <c r="D1071">
        <v>4141823</v>
      </c>
    </row>
    <row r="1072" spans="1:4" x14ac:dyDescent="0.2">
      <c r="A1072">
        <v>2022</v>
      </c>
      <c r="B1072" t="s">
        <v>122</v>
      </c>
      <c r="C1072" t="s">
        <v>89</v>
      </c>
      <c r="D1072">
        <v>1508888</v>
      </c>
    </row>
    <row r="1073" spans="1:4" x14ac:dyDescent="0.2">
      <c r="A1073">
        <v>2022</v>
      </c>
      <c r="B1073" t="s">
        <v>123</v>
      </c>
      <c r="C1073" t="s">
        <v>90</v>
      </c>
      <c r="D1073">
        <v>10413441</v>
      </c>
    </row>
    <row r="1074" spans="1:4" x14ac:dyDescent="0.2">
      <c r="A1074">
        <v>2022</v>
      </c>
      <c r="B1074" t="s">
        <v>124</v>
      </c>
      <c r="C1074" t="s">
        <v>91</v>
      </c>
      <c r="D1074">
        <v>1912870</v>
      </c>
    </row>
    <row r="1075" spans="1:4" x14ac:dyDescent="0.2">
      <c r="A1075">
        <v>2022</v>
      </c>
      <c r="B1075" t="s">
        <v>125</v>
      </c>
      <c r="C1075" t="s">
        <v>92</v>
      </c>
      <c r="D1075">
        <v>3107718</v>
      </c>
    </row>
    <row r="1076" spans="1:4" x14ac:dyDescent="0.2">
      <c r="A1076">
        <v>2022</v>
      </c>
      <c r="B1076" t="s">
        <v>126</v>
      </c>
      <c r="C1076" t="s">
        <v>93</v>
      </c>
      <c r="D1076">
        <v>1523107</v>
      </c>
    </row>
    <row r="1077" spans="1:4" x14ac:dyDescent="0.2">
      <c r="A1077">
        <v>2022</v>
      </c>
      <c r="B1077" t="s">
        <v>127</v>
      </c>
      <c r="C1077" t="s">
        <v>94</v>
      </c>
      <c r="D1077">
        <v>1493839</v>
      </c>
    </row>
    <row r="1078" spans="1:4" x14ac:dyDescent="0.2">
      <c r="A1078">
        <v>2022</v>
      </c>
      <c r="B1078" t="s">
        <v>128</v>
      </c>
      <c r="C1078" t="s">
        <v>95</v>
      </c>
      <c r="D1078">
        <v>1782149</v>
      </c>
    </row>
    <row r="1079" spans="1:4" x14ac:dyDescent="0.2">
      <c r="A1079">
        <v>2022</v>
      </c>
      <c r="B1079" t="s">
        <v>129</v>
      </c>
      <c r="C1079" t="s">
        <v>96</v>
      </c>
      <c r="D1079">
        <v>4695352</v>
      </c>
    </row>
    <row r="1080" spans="1:4" x14ac:dyDescent="0.2">
      <c r="A1080">
        <v>2022</v>
      </c>
      <c r="B1080" t="s">
        <v>163</v>
      </c>
      <c r="C1080" t="s">
        <v>130</v>
      </c>
      <c r="D1080">
        <v>3137693</v>
      </c>
    </row>
    <row r="1081" spans="1:4" x14ac:dyDescent="0.2">
      <c r="A1081">
        <v>2022</v>
      </c>
      <c r="B1081" t="s">
        <v>164</v>
      </c>
      <c r="C1081" t="s">
        <v>131</v>
      </c>
      <c r="D1081">
        <v>2148948</v>
      </c>
    </row>
    <row r="1082" spans="1:4" x14ac:dyDescent="0.2">
      <c r="A1082">
        <v>2022</v>
      </c>
      <c r="B1082" t="s">
        <v>165</v>
      </c>
      <c r="C1082" t="s">
        <v>132</v>
      </c>
      <c r="D1082">
        <v>7625948</v>
      </c>
    </row>
    <row r="1083" spans="1:4" x14ac:dyDescent="0.2">
      <c r="A1083">
        <v>2022</v>
      </c>
      <c r="B1083" t="s">
        <v>166</v>
      </c>
      <c r="C1083" t="s">
        <v>133</v>
      </c>
      <c r="D1083">
        <v>4317715</v>
      </c>
    </row>
    <row r="1084" spans="1:4" x14ac:dyDescent="0.2">
      <c r="A1084">
        <v>2022</v>
      </c>
      <c r="B1084" t="s">
        <v>167</v>
      </c>
      <c r="C1084" t="s">
        <v>134</v>
      </c>
      <c r="D1084">
        <v>1811417</v>
      </c>
    </row>
    <row r="1085" spans="1:4" x14ac:dyDescent="0.2">
      <c r="A1085">
        <v>2022</v>
      </c>
      <c r="B1085" t="s">
        <v>168</v>
      </c>
      <c r="C1085" t="s">
        <v>135</v>
      </c>
      <c r="D1085">
        <v>5657203</v>
      </c>
    </row>
    <row r="1086" spans="1:4" x14ac:dyDescent="0.2">
      <c r="A1086">
        <v>2022</v>
      </c>
      <c r="B1086" t="s">
        <v>169</v>
      </c>
      <c r="C1086" t="s">
        <v>136</v>
      </c>
      <c r="D1086">
        <v>101869868</v>
      </c>
    </row>
    <row r="1087" spans="1:4" x14ac:dyDescent="0.2">
      <c r="A1087">
        <v>2022</v>
      </c>
      <c r="B1087" t="s">
        <v>170</v>
      </c>
      <c r="C1087" t="s">
        <v>137</v>
      </c>
      <c r="D1087">
        <v>3742309</v>
      </c>
    </row>
    <row r="1088" spans="1:4" x14ac:dyDescent="0.2">
      <c r="A1088">
        <v>2022</v>
      </c>
      <c r="B1088" t="s">
        <v>171</v>
      </c>
      <c r="C1088" t="s">
        <v>138</v>
      </c>
      <c r="D1088">
        <v>1041212</v>
      </c>
    </row>
    <row r="1089" spans="1:4" x14ac:dyDescent="0.2">
      <c r="A1089">
        <v>2022</v>
      </c>
      <c r="B1089" t="s">
        <v>172</v>
      </c>
      <c r="C1089" t="s">
        <v>139</v>
      </c>
      <c r="D1089">
        <v>1289462</v>
      </c>
    </row>
    <row r="1090" spans="1:4" x14ac:dyDescent="0.2">
      <c r="A1090">
        <v>2022</v>
      </c>
      <c r="B1090" t="s">
        <v>173</v>
      </c>
      <c r="C1090" t="s">
        <v>140</v>
      </c>
      <c r="D1090">
        <v>13987831</v>
      </c>
    </row>
    <row r="1091" spans="1:4" x14ac:dyDescent="0.2">
      <c r="A1091">
        <v>2022</v>
      </c>
      <c r="B1091" t="s">
        <v>174</v>
      </c>
      <c r="C1091" t="s">
        <v>141</v>
      </c>
      <c r="D1091">
        <v>2900587</v>
      </c>
    </row>
    <row r="1092" spans="1:4" x14ac:dyDescent="0.2">
      <c r="A1092">
        <v>2022</v>
      </c>
      <c r="B1092" t="s">
        <v>175</v>
      </c>
      <c r="C1092" t="s">
        <v>142</v>
      </c>
      <c r="D1092">
        <v>12245179</v>
      </c>
    </row>
    <row r="1093" spans="1:4" x14ac:dyDescent="0.2">
      <c r="A1093">
        <v>2022</v>
      </c>
      <c r="B1093" t="s">
        <v>176</v>
      </c>
      <c r="C1093" t="s">
        <v>143</v>
      </c>
      <c r="D1093">
        <v>3179016</v>
      </c>
    </row>
    <row r="1094" spans="1:4" x14ac:dyDescent="0.2">
      <c r="A1094">
        <v>2022</v>
      </c>
      <c r="B1094" t="s">
        <v>177</v>
      </c>
      <c r="C1094" t="s">
        <v>144</v>
      </c>
      <c r="D1094">
        <v>3625467</v>
      </c>
    </row>
    <row r="1095" spans="1:4" x14ac:dyDescent="0.2">
      <c r="A1095">
        <v>2022</v>
      </c>
      <c r="B1095" t="s">
        <v>178</v>
      </c>
      <c r="C1095" t="s">
        <v>145</v>
      </c>
      <c r="D1095">
        <v>6362718</v>
      </c>
    </row>
    <row r="1096" spans="1:4" x14ac:dyDescent="0.2">
      <c r="A1096">
        <v>2022</v>
      </c>
      <c r="B1096" t="s">
        <v>179</v>
      </c>
      <c r="C1096" t="s">
        <v>146</v>
      </c>
      <c r="D1096">
        <v>4042258</v>
      </c>
    </row>
    <row r="1097" spans="1:4" x14ac:dyDescent="0.2">
      <c r="A1097">
        <v>2022</v>
      </c>
      <c r="B1097" t="s">
        <v>180</v>
      </c>
      <c r="C1097" t="s">
        <v>147</v>
      </c>
      <c r="D1097">
        <v>2196711</v>
      </c>
    </row>
    <row r="1098" spans="1:4" x14ac:dyDescent="0.2">
      <c r="A1098">
        <v>2022</v>
      </c>
      <c r="B1098" t="s">
        <v>181</v>
      </c>
      <c r="C1098" t="s">
        <v>148</v>
      </c>
      <c r="D1098">
        <v>22929172</v>
      </c>
    </row>
    <row r="1099" spans="1:4" x14ac:dyDescent="0.2">
      <c r="A1099">
        <v>2022</v>
      </c>
      <c r="B1099" t="s">
        <v>182</v>
      </c>
      <c r="C1099" t="s">
        <v>149</v>
      </c>
      <c r="D1099">
        <v>30145381</v>
      </c>
    </row>
    <row r="1100" spans="1:4" x14ac:dyDescent="0.2">
      <c r="A1100">
        <v>2022</v>
      </c>
      <c r="B1100" t="s">
        <v>183</v>
      </c>
      <c r="C1100" t="s">
        <v>150</v>
      </c>
      <c r="D1100">
        <v>1223384</v>
      </c>
    </row>
    <row r="1101" spans="1:4" x14ac:dyDescent="0.2">
      <c r="A1101">
        <v>2022</v>
      </c>
      <c r="B1101" t="s">
        <v>184</v>
      </c>
      <c r="C1101" t="s">
        <v>151</v>
      </c>
      <c r="D1101">
        <v>1333885</v>
      </c>
    </row>
    <row r="1102" spans="1:4" x14ac:dyDescent="0.2">
      <c r="A1102">
        <v>2022</v>
      </c>
      <c r="B1102" t="s">
        <v>185</v>
      </c>
      <c r="C1102" t="s">
        <v>152</v>
      </c>
      <c r="D1102">
        <v>4259688</v>
      </c>
    </row>
    <row r="1103" spans="1:4" x14ac:dyDescent="0.2">
      <c r="A1103">
        <v>2022</v>
      </c>
      <c r="B1103" t="s">
        <v>186</v>
      </c>
      <c r="C1103" t="s">
        <v>153</v>
      </c>
      <c r="D1103">
        <v>5610796</v>
      </c>
    </row>
    <row r="1104" spans="1:4" x14ac:dyDescent="0.2">
      <c r="A1104">
        <v>2022</v>
      </c>
      <c r="B1104" t="s">
        <v>187</v>
      </c>
      <c r="C1104" t="s">
        <v>154</v>
      </c>
      <c r="D1104">
        <v>6187637</v>
      </c>
    </row>
    <row r="1105" spans="1:4" x14ac:dyDescent="0.2">
      <c r="A1105">
        <v>2022</v>
      </c>
      <c r="B1105" t="s">
        <v>188</v>
      </c>
      <c r="C1105" t="s">
        <v>155</v>
      </c>
      <c r="D1105">
        <v>1635619</v>
      </c>
    </row>
    <row r="1106" spans="1:4" x14ac:dyDescent="0.2">
      <c r="A1106">
        <v>2022</v>
      </c>
      <c r="B1106" t="s">
        <v>189</v>
      </c>
      <c r="C1106" t="s">
        <v>156</v>
      </c>
      <c r="D1106">
        <v>5363099</v>
      </c>
    </row>
    <row r="1107" spans="1:4" x14ac:dyDescent="0.2">
      <c r="A1107">
        <v>2022</v>
      </c>
      <c r="B1107" t="s">
        <v>190</v>
      </c>
      <c r="C1107" t="s">
        <v>157</v>
      </c>
      <c r="D1107">
        <v>3649243</v>
      </c>
    </row>
    <row r="1108" spans="1:4" x14ac:dyDescent="0.2">
      <c r="A1108">
        <v>2022</v>
      </c>
      <c r="B1108" t="s">
        <v>191</v>
      </c>
      <c r="C1108" t="s">
        <v>158</v>
      </c>
      <c r="D1108">
        <v>12164958</v>
      </c>
    </row>
    <row r="1109" spans="1:4" x14ac:dyDescent="0.2">
      <c r="A1109">
        <v>2022</v>
      </c>
      <c r="B1109" t="s">
        <v>192</v>
      </c>
      <c r="C1109" t="s">
        <v>159</v>
      </c>
      <c r="D1109">
        <v>26639889</v>
      </c>
    </row>
    <row r="1110" spans="1:4" x14ac:dyDescent="0.2">
      <c r="A1110">
        <v>2022</v>
      </c>
      <c r="B1110" t="s">
        <v>193</v>
      </c>
      <c r="C1110" t="s">
        <v>160</v>
      </c>
      <c r="D1110">
        <v>2233963</v>
      </c>
    </row>
    <row r="1111" spans="1:4" x14ac:dyDescent="0.2">
      <c r="A1111">
        <v>2022</v>
      </c>
      <c r="B1111" t="s">
        <v>194</v>
      </c>
      <c r="C1111" t="s">
        <v>161</v>
      </c>
      <c r="D1111">
        <v>835504</v>
      </c>
    </row>
    <row r="1112" spans="1:4" x14ac:dyDescent="0.2">
      <c r="A1112">
        <v>2022</v>
      </c>
      <c r="B1112" t="s">
        <v>195</v>
      </c>
      <c r="C1112" t="s">
        <v>162</v>
      </c>
      <c r="D1112">
        <v>6855768</v>
      </c>
    </row>
    <row r="1113" spans="1:4" x14ac:dyDescent="0.2">
      <c r="A1113">
        <v>2022</v>
      </c>
      <c r="B1113" t="s">
        <v>229</v>
      </c>
      <c r="C1113" t="s">
        <v>196</v>
      </c>
      <c r="D1113">
        <v>6268189</v>
      </c>
    </row>
    <row r="1114" spans="1:4" x14ac:dyDescent="0.2">
      <c r="A1114">
        <v>2022</v>
      </c>
      <c r="B1114" t="s">
        <v>230</v>
      </c>
      <c r="C1114" t="s">
        <v>197</v>
      </c>
      <c r="D1114">
        <v>4238212</v>
      </c>
    </row>
    <row r="1115" spans="1:4" x14ac:dyDescent="0.2">
      <c r="A1115">
        <v>2022</v>
      </c>
      <c r="B1115" t="s">
        <v>231</v>
      </c>
      <c r="C1115" t="s">
        <v>198</v>
      </c>
      <c r="D1115">
        <v>19594134</v>
      </c>
    </row>
    <row r="1116" spans="1:4" x14ac:dyDescent="0.2">
      <c r="A1116">
        <v>2022</v>
      </c>
      <c r="B1116" t="s">
        <v>232</v>
      </c>
      <c r="C1116" t="s">
        <v>199</v>
      </c>
      <c r="D1116">
        <v>7738631</v>
      </c>
    </row>
    <row r="1117" spans="1:4" x14ac:dyDescent="0.2">
      <c r="A1117">
        <v>2022</v>
      </c>
      <c r="B1117" t="s">
        <v>233</v>
      </c>
      <c r="C1117" t="s">
        <v>200</v>
      </c>
      <c r="D1117">
        <v>4604173</v>
      </c>
    </row>
    <row r="1118" spans="1:4" x14ac:dyDescent="0.2">
      <c r="A1118">
        <v>2022</v>
      </c>
      <c r="B1118" t="s">
        <v>234</v>
      </c>
      <c r="C1118" t="s">
        <v>201</v>
      </c>
      <c r="D1118">
        <v>9185686</v>
      </c>
    </row>
    <row r="1119" spans="1:4" x14ac:dyDescent="0.2">
      <c r="A1119">
        <v>2022</v>
      </c>
      <c r="B1119" t="s">
        <v>235</v>
      </c>
      <c r="C1119" t="s">
        <v>202</v>
      </c>
      <c r="D1119">
        <v>27883305</v>
      </c>
    </row>
    <row r="1120" spans="1:4" x14ac:dyDescent="0.2">
      <c r="A1120">
        <v>2022</v>
      </c>
      <c r="B1120" t="s">
        <v>236</v>
      </c>
      <c r="C1120" t="s">
        <v>203</v>
      </c>
      <c r="D1120">
        <v>34848981</v>
      </c>
    </row>
    <row r="1121" spans="1:4" x14ac:dyDescent="0.2">
      <c r="A1121">
        <v>2022</v>
      </c>
      <c r="B1121" t="s">
        <v>237</v>
      </c>
      <c r="C1121" t="s">
        <v>204</v>
      </c>
      <c r="D1121">
        <v>4455740</v>
      </c>
    </row>
    <row r="1122" spans="1:4" x14ac:dyDescent="0.2">
      <c r="A1122">
        <v>2022</v>
      </c>
      <c r="B1122" t="s">
        <v>238</v>
      </c>
      <c r="C1122" t="s">
        <v>205</v>
      </c>
      <c r="D1122">
        <v>13877556</v>
      </c>
    </row>
    <row r="1123" spans="1:4" x14ac:dyDescent="0.2">
      <c r="A1123">
        <v>2022</v>
      </c>
      <c r="B1123" t="s">
        <v>239</v>
      </c>
      <c r="C1123" t="s">
        <v>206</v>
      </c>
      <c r="D1123">
        <v>1603386</v>
      </c>
    </row>
    <row r="1124" spans="1:4" x14ac:dyDescent="0.2">
      <c r="A1124">
        <v>2022</v>
      </c>
      <c r="B1124" t="s">
        <v>240</v>
      </c>
      <c r="C1124" t="s">
        <v>207</v>
      </c>
      <c r="D1124">
        <v>32283395</v>
      </c>
    </row>
    <row r="1125" spans="1:4" x14ac:dyDescent="0.2">
      <c r="A1125">
        <v>2022</v>
      </c>
      <c r="B1125" t="s">
        <v>241</v>
      </c>
      <c r="C1125" t="s">
        <v>208</v>
      </c>
      <c r="D1125">
        <v>14503366</v>
      </c>
    </row>
    <row r="1126" spans="1:4" x14ac:dyDescent="0.2">
      <c r="A1126">
        <v>2022</v>
      </c>
      <c r="B1126" t="s">
        <v>242</v>
      </c>
      <c r="C1126" t="s">
        <v>209</v>
      </c>
      <c r="D1126">
        <v>3130429</v>
      </c>
    </row>
    <row r="1127" spans="1:4" x14ac:dyDescent="0.2">
      <c r="A1127">
        <v>2022</v>
      </c>
      <c r="B1127" t="s">
        <v>243</v>
      </c>
      <c r="C1127" t="s">
        <v>210</v>
      </c>
      <c r="D1127">
        <v>13589839</v>
      </c>
    </row>
    <row r="1128" spans="1:4" x14ac:dyDescent="0.2">
      <c r="A1128">
        <v>2022</v>
      </c>
      <c r="B1128" t="s">
        <v>244</v>
      </c>
      <c r="C1128" t="s">
        <v>211</v>
      </c>
      <c r="D1128">
        <v>5263254</v>
      </c>
    </row>
    <row r="1129" spans="1:4" x14ac:dyDescent="0.2">
      <c r="A1129">
        <v>2022</v>
      </c>
      <c r="B1129" t="s">
        <v>245</v>
      </c>
      <c r="C1129" t="s">
        <v>212</v>
      </c>
      <c r="D1129">
        <v>1909414</v>
      </c>
    </row>
    <row r="1130" spans="1:4" x14ac:dyDescent="0.2">
      <c r="A1130">
        <v>2022</v>
      </c>
      <c r="B1130" t="s">
        <v>246</v>
      </c>
      <c r="C1130" t="s">
        <v>213</v>
      </c>
      <c r="D1130">
        <v>4594823</v>
      </c>
    </row>
    <row r="1131" spans="1:4" x14ac:dyDescent="0.2">
      <c r="A1131">
        <v>2022</v>
      </c>
      <c r="B1131" t="s">
        <v>247</v>
      </c>
      <c r="C1131" t="s">
        <v>214</v>
      </c>
      <c r="D1131">
        <v>3343552</v>
      </c>
    </row>
    <row r="1132" spans="1:4" x14ac:dyDescent="0.2">
      <c r="A1132">
        <v>2022</v>
      </c>
      <c r="B1132" t="s">
        <v>248</v>
      </c>
      <c r="C1132" t="s">
        <v>215</v>
      </c>
      <c r="D1132" t="s">
        <v>297</v>
      </c>
    </row>
    <row r="1133" spans="1:4" x14ac:dyDescent="0.2">
      <c r="A1133">
        <v>2022</v>
      </c>
      <c r="B1133" t="s">
        <v>249</v>
      </c>
      <c r="C1133" t="s">
        <v>216</v>
      </c>
      <c r="D1133">
        <v>16224</v>
      </c>
    </row>
    <row r="1134" spans="1:4" x14ac:dyDescent="0.2">
      <c r="A1134">
        <v>2022</v>
      </c>
      <c r="B1134" t="s">
        <v>250</v>
      </c>
      <c r="C1134" t="s">
        <v>217</v>
      </c>
      <c r="D1134">
        <v>1097787</v>
      </c>
    </row>
    <row r="1135" spans="1:4" x14ac:dyDescent="0.2">
      <c r="A1135">
        <v>2022</v>
      </c>
      <c r="B1135" t="s">
        <v>251</v>
      </c>
      <c r="C1135" t="s">
        <v>218</v>
      </c>
      <c r="D1135">
        <v>43464705</v>
      </c>
    </row>
    <row r="1136" spans="1:4" x14ac:dyDescent="0.2">
      <c r="A1136">
        <v>2022</v>
      </c>
      <c r="B1136" t="s">
        <v>252</v>
      </c>
      <c r="C1136" t="s">
        <v>219</v>
      </c>
      <c r="D1136">
        <v>70643230</v>
      </c>
    </row>
    <row r="1137" spans="1:4" x14ac:dyDescent="0.2">
      <c r="A1137">
        <v>2022</v>
      </c>
      <c r="B1137" t="s">
        <v>253</v>
      </c>
      <c r="C1137" t="s">
        <v>220</v>
      </c>
      <c r="D1137">
        <v>3811150</v>
      </c>
    </row>
    <row r="1138" spans="1:4" x14ac:dyDescent="0.2">
      <c r="A1138">
        <v>2022</v>
      </c>
      <c r="B1138" t="s">
        <v>254</v>
      </c>
      <c r="C1138" t="s">
        <v>221</v>
      </c>
      <c r="D1138">
        <v>899047</v>
      </c>
    </row>
    <row r="1139" spans="1:4" x14ac:dyDescent="0.2">
      <c r="A1139">
        <v>2022</v>
      </c>
      <c r="B1139" t="s">
        <v>255</v>
      </c>
      <c r="C1139" t="s">
        <v>222</v>
      </c>
      <c r="D1139">
        <v>579109</v>
      </c>
    </row>
    <row r="1140" spans="1:4" x14ac:dyDescent="0.2">
      <c r="A1140">
        <v>2022</v>
      </c>
      <c r="B1140" t="s">
        <v>256</v>
      </c>
      <c r="C1140" t="s">
        <v>223</v>
      </c>
      <c r="D1140">
        <v>3222747</v>
      </c>
    </row>
    <row r="1141" spans="1:4" x14ac:dyDescent="0.2">
      <c r="A1141">
        <v>2022</v>
      </c>
      <c r="B1141" t="s">
        <v>257</v>
      </c>
      <c r="C1141" t="s">
        <v>224</v>
      </c>
      <c r="D1141">
        <v>613396</v>
      </c>
    </row>
    <row r="1142" spans="1:4" x14ac:dyDescent="0.2">
      <c r="A1142">
        <v>2022</v>
      </c>
      <c r="B1142" t="s">
        <v>258</v>
      </c>
      <c r="C1142" t="s">
        <v>225</v>
      </c>
      <c r="D1142">
        <v>1340591</v>
      </c>
    </row>
    <row r="1143" spans="1:4" x14ac:dyDescent="0.2">
      <c r="A1143">
        <v>2022</v>
      </c>
      <c r="B1143" t="s">
        <v>259</v>
      </c>
      <c r="C1143" t="s">
        <v>226</v>
      </c>
      <c r="D1143">
        <v>731879</v>
      </c>
    </row>
    <row r="1144" spans="1:4" x14ac:dyDescent="0.2">
      <c r="A1144">
        <v>2022</v>
      </c>
      <c r="B1144" t="s">
        <v>260</v>
      </c>
      <c r="C1144" t="s">
        <v>227</v>
      </c>
      <c r="D1144">
        <v>10211141</v>
      </c>
    </row>
    <row r="1145" spans="1:4" x14ac:dyDescent="0.2">
      <c r="A1145">
        <v>2022</v>
      </c>
      <c r="B1145" t="s">
        <v>261</v>
      </c>
      <c r="C1145" t="s">
        <v>228</v>
      </c>
      <c r="D1145">
        <v>4214246</v>
      </c>
    </row>
    <row r="1146" spans="1:4" x14ac:dyDescent="0.2">
      <c r="A1146">
        <v>2022</v>
      </c>
      <c r="B1146" t="s">
        <v>276</v>
      </c>
      <c r="C1146" t="s">
        <v>294</v>
      </c>
      <c r="D1146">
        <v>12733640</v>
      </c>
    </row>
    <row r="1147" spans="1:4" x14ac:dyDescent="0.2">
      <c r="A1147">
        <v>2022</v>
      </c>
      <c r="B1147" t="s">
        <v>277</v>
      </c>
      <c r="C1147" t="s">
        <v>263</v>
      </c>
      <c r="D1147">
        <v>1991245</v>
      </c>
    </row>
    <row r="1148" spans="1:4" x14ac:dyDescent="0.2">
      <c r="A1148">
        <v>2022</v>
      </c>
      <c r="B1148" t="s">
        <v>278</v>
      </c>
      <c r="C1148" t="s">
        <v>264</v>
      </c>
      <c r="D1148">
        <v>324497</v>
      </c>
    </row>
    <row r="1149" spans="1:4" x14ac:dyDescent="0.2">
      <c r="A1149">
        <v>2022</v>
      </c>
      <c r="B1149" t="s">
        <v>279</v>
      </c>
      <c r="C1149" t="s">
        <v>295</v>
      </c>
      <c r="D1149">
        <v>240712</v>
      </c>
    </row>
    <row r="1150" spans="1:4" x14ac:dyDescent="0.2">
      <c r="A1150">
        <v>2022</v>
      </c>
      <c r="B1150" t="s">
        <v>281</v>
      </c>
      <c r="C1150" t="s">
        <v>267</v>
      </c>
      <c r="D1150" t="s">
        <v>297</v>
      </c>
    </row>
    <row r="1151" spans="1:4" x14ac:dyDescent="0.2">
      <c r="A1151">
        <v>2022</v>
      </c>
      <c r="B1151" t="s">
        <v>282</v>
      </c>
      <c r="C1151" t="s">
        <v>268</v>
      </c>
      <c r="D1151">
        <v>1535641</v>
      </c>
    </row>
    <row r="1152" spans="1:4" x14ac:dyDescent="0.2">
      <c r="A1152">
        <v>2022</v>
      </c>
      <c r="B1152" t="s">
        <v>283</v>
      </c>
      <c r="C1152" t="s">
        <v>269</v>
      </c>
      <c r="D1152">
        <v>200212</v>
      </c>
    </row>
    <row r="1153" spans="1:4" x14ac:dyDescent="0.2">
      <c r="A1153">
        <v>2022</v>
      </c>
      <c r="B1153" t="s">
        <v>284</v>
      </c>
      <c r="C1153" t="s">
        <v>270</v>
      </c>
      <c r="D1153">
        <v>152497</v>
      </c>
    </row>
    <row r="1154" spans="1:4" x14ac:dyDescent="0.2">
      <c r="A1154">
        <v>2022</v>
      </c>
      <c r="B1154" t="s">
        <v>285</v>
      </c>
      <c r="C1154" t="s">
        <v>296</v>
      </c>
      <c r="D1154">
        <v>52065</v>
      </c>
    </row>
    <row r="1155" spans="1:4" x14ac:dyDescent="0.2">
      <c r="A1155">
        <v>2022</v>
      </c>
      <c r="B1155" t="s">
        <v>286</v>
      </c>
      <c r="C1155" t="s">
        <v>272</v>
      </c>
      <c r="D1155">
        <v>96016</v>
      </c>
    </row>
    <row r="1156" spans="1:4" x14ac:dyDescent="0.2">
      <c r="A1156">
        <v>2022</v>
      </c>
      <c r="B1156" t="s">
        <v>287</v>
      </c>
      <c r="C1156" t="s">
        <v>273</v>
      </c>
      <c r="D1156">
        <v>780057</v>
      </c>
    </row>
    <row r="1157" spans="1:4" x14ac:dyDescent="0.2">
      <c r="A1157">
        <v>2022</v>
      </c>
      <c r="B1157" t="s">
        <v>288</v>
      </c>
      <c r="C1157" t="s">
        <v>274</v>
      </c>
      <c r="D1157">
        <v>365216</v>
      </c>
    </row>
    <row r="1158" spans="1:4" x14ac:dyDescent="0.2">
      <c r="A1158">
        <v>2022</v>
      </c>
      <c r="B1158" t="s">
        <v>289</v>
      </c>
      <c r="C1158" t="s">
        <v>275</v>
      </c>
      <c r="D1158">
        <v>94935</v>
      </c>
    </row>
    <row r="1159" spans="1:4" x14ac:dyDescent="0.2">
      <c r="A1159">
        <v>2023</v>
      </c>
      <c r="B1159">
        <v>40100</v>
      </c>
      <c r="C1159" t="s">
        <v>0</v>
      </c>
      <c r="D1159">
        <v>4873699</v>
      </c>
    </row>
    <row r="1160" spans="1:4" x14ac:dyDescent="0.2">
      <c r="A1160">
        <v>2023</v>
      </c>
      <c r="B1160">
        <v>40101</v>
      </c>
      <c r="C1160" t="s">
        <v>1</v>
      </c>
      <c r="D1160">
        <v>19353135</v>
      </c>
    </row>
    <row r="1161" spans="1:4" x14ac:dyDescent="0.2">
      <c r="A1161">
        <v>2023</v>
      </c>
      <c r="B1161">
        <v>40102</v>
      </c>
      <c r="C1161" t="s">
        <v>2</v>
      </c>
      <c r="D1161">
        <v>2893321</v>
      </c>
    </row>
    <row r="1162" spans="1:4" x14ac:dyDescent="0.2">
      <c r="A1162">
        <v>2023</v>
      </c>
      <c r="B1162">
        <v>40103</v>
      </c>
      <c r="C1162" t="s">
        <v>3</v>
      </c>
      <c r="D1162">
        <v>1595852</v>
      </c>
    </row>
    <row r="1163" spans="1:4" x14ac:dyDescent="0.2">
      <c r="A1163">
        <v>2023</v>
      </c>
      <c r="B1163">
        <v>40104</v>
      </c>
      <c r="C1163" t="s">
        <v>4</v>
      </c>
      <c r="D1163">
        <v>4515887</v>
      </c>
    </row>
    <row r="1164" spans="1:4" x14ac:dyDescent="0.2">
      <c r="A1164">
        <v>2023</v>
      </c>
      <c r="B1164">
        <v>40105</v>
      </c>
      <c r="C1164" t="s">
        <v>5</v>
      </c>
      <c r="D1164">
        <v>2208196</v>
      </c>
    </row>
    <row r="1165" spans="1:4" x14ac:dyDescent="0.2">
      <c r="A1165">
        <v>2023</v>
      </c>
      <c r="B1165">
        <v>40106</v>
      </c>
      <c r="C1165" t="s">
        <v>6</v>
      </c>
      <c r="D1165">
        <v>57699731</v>
      </c>
    </row>
    <row r="1166" spans="1:4" x14ac:dyDescent="0.2">
      <c r="A1166">
        <v>2023</v>
      </c>
      <c r="B1166">
        <v>40107</v>
      </c>
      <c r="C1166" t="s">
        <v>7</v>
      </c>
      <c r="D1166">
        <v>11118034</v>
      </c>
    </row>
    <row r="1167" spans="1:4" x14ac:dyDescent="0.2">
      <c r="A1167">
        <v>2023</v>
      </c>
      <c r="B1167">
        <v>40108</v>
      </c>
      <c r="C1167" t="s">
        <v>8</v>
      </c>
      <c r="D1167">
        <v>765925</v>
      </c>
    </row>
    <row r="1168" spans="1:4" x14ac:dyDescent="0.2">
      <c r="A1168">
        <v>2023</v>
      </c>
      <c r="B1168">
        <v>40109</v>
      </c>
      <c r="C1168" t="s">
        <v>9</v>
      </c>
      <c r="D1168">
        <v>9360508</v>
      </c>
    </row>
    <row r="1169" spans="1:4" x14ac:dyDescent="0.2">
      <c r="A1169">
        <v>2023</v>
      </c>
      <c r="B1169">
        <v>40110</v>
      </c>
      <c r="C1169" t="s">
        <v>10</v>
      </c>
      <c r="D1169">
        <v>657996</v>
      </c>
    </row>
    <row r="1170" spans="1:4" x14ac:dyDescent="0.2">
      <c r="A1170">
        <v>2023</v>
      </c>
      <c r="B1170">
        <v>40111</v>
      </c>
      <c r="C1170" t="s">
        <v>11</v>
      </c>
      <c r="D1170">
        <v>4963835</v>
      </c>
    </row>
    <row r="1171" spans="1:4" x14ac:dyDescent="0.2">
      <c r="A1171">
        <v>2023</v>
      </c>
      <c r="B1171">
        <v>40112</v>
      </c>
      <c r="C1171" t="s">
        <v>12</v>
      </c>
      <c r="D1171">
        <v>1397659</v>
      </c>
    </row>
    <row r="1172" spans="1:4" x14ac:dyDescent="0.2">
      <c r="A1172">
        <v>2023</v>
      </c>
      <c r="B1172">
        <v>40113</v>
      </c>
      <c r="C1172" t="s">
        <v>13</v>
      </c>
      <c r="D1172">
        <v>2289204</v>
      </c>
    </row>
    <row r="1173" spans="1:4" x14ac:dyDescent="0.2">
      <c r="A1173">
        <v>2023</v>
      </c>
      <c r="B1173">
        <v>40114</v>
      </c>
      <c r="C1173" t="s">
        <v>14</v>
      </c>
      <c r="D1173">
        <v>2128917</v>
      </c>
    </row>
    <row r="1174" spans="1:4" x14ac:dyDescent="0.2">
      <c r="A1174">
        <v>2023</v>
      </c>
      <c r="B1174">
        <v>40115</v>
      </c>
      <c r="C1174" t="s">
        <v>15</v>
      </c>
      <c r="D1174">
        <v>7682134</v>
      </c>
    </row>
    <row r="1175" spans="1:4" x14ac:dyDescent="0.2">
      <c r="A1175">
        <v>2023</v>
      </c>
      <c r="B1175">
        <v>40116</v>
      </c>
      <c r="C1175" t="s">
        <v>16</v>
      </c>
      <c r="D1175">
        <v>4085711</v>
      </c>
    </row>
    <row r="1176" spans="1:4" x14ac:dyDescent="0.2">
      <c r="A1176">
        <v>2023</v>
      </c>
      <c r="B1176">
        <v>40117</v>
      </c>
      <c r="C1176" t="s">
        <v>17</v>
      </c>
      <c r="D1176">
        <v>3857649</v>
      </c>
    </row>
    <row r="1177" spans="1:4" x14ac:dyDescent="0.2">
      <c r="A1177">
        <v>2023</v>
      </c>
      <c r="B1177">
        <v>40118</v>
      </c>
      <c r="C1177" t="s">
        <v>18</v>
      </c>
      <c r="D1177">
        <v>655491</v>
      </c>
    </row>
    <row r="1178" spans="1:4" x14ac:dyDescent="0.2">
      <c r="A1178">
        <v>2023</v>
      </c>
      <c r="B1178">
        <v>40119</v>
      </c>
      <c r="C1178" t="s">
        <v>19</v>
      </c>
      <c r="D1178">
        <v>3273957</v>
      </c>
    </row>
    <row r="1179" spans="1:4" x14ac:dyDescent="0.2">
      <c r="A1179">
        <v>2023</v>
      </c>
      <c r="B1179">
        <v>40120</v>
      </c>
      <c r="C1179" t="s">
        <v>20</v>
      </c>
      <c r="D1179">
        <v>64462267</v>
      </c>
    </row>
    <row r="1180" spans="1:4" x14ac:dyDescent="0.2">
      <c r="A1180">
        <v>2023</v>
      </c>
      <c r="B1180">
        <v>40121</v>
      </c>
      <c r="C1180" t="s">
        <v>21</v>
      </c>
      <c r="D1180">
        <v>2265906</v>
      </c>
    </row>
    <row r="1181" spans="1:4" x14ac:dyDescent="0.2">
      <c r="A1181">
        <v>2023</v>
      </c>
      <c r="B1181">
        <v>40122</v>
      </c>
      <c r="C1181" t="s">
        <v>22</v>
      </c>
      <c r="D1181">
        <v>632541</v>
      </c>
    </row>
    <row r="1182" spans="1:4" x14ac:dyDescent="0.2">
      <c r="A1182">
        <v>2023</v>
      </c>
      <c r="B1182">
        <v>40123</v>
      </c>
      <c r="C1182" t="s">
        <v>23</v>
      </c>
      <c r="D1182">
        <v>8300592</v>
      </c>
    </row>
    <row r="1183" spans="1:4" x14ac:dyDescent="0.2">
      <c r="A1183">
        <v>2023</v>
      </c>
      <c r="B1183">
        <v>40124</v>
      </c>
      <c r="C1183" t="s">
        <v>24</v>
      </c>
      <c r="D1183">
        <v>1541884</v>
      </c>
    </row>
    <row r="1184" spans="1:4" x14ac:dyDescent="0.2">
      <c r="A1184">
        <v>2023</v>
      </c>
      <c r="B1184">
        <v>40125</v>
      </c>
      <c r="C1184" t="s">
        <v>25</v>
      </c>
      <c r="D1184">
        <v>1831852</v>
      </c>
    </row>
    <row r="1185" spans="1:4" x14ac:dyDescent="0.2">
      <c r="A1185">
        <v>2023</v>
      </c>
      <c r="B1185">
        <v>40126</v>
      </c>
      <c r="C1185" t="s">
        <v>26</v>
      </c>
      <c r="D1185">
        <v>4540091</v>
      </c>
    </row>
    <row r="1186" spans="1:4" x14ac:dyDescent="0.2">
      <c r="A1186">
        <v>2023</v>
      </c>
      <c r="B1186">
        <v>40128</v>
      </c>
      <c r="C1186" t="s">
        <v>27</v>
      </c>
      <c r="D1186">
        <v>1406401</v>
      </c>
    </row>
    <row r="1187" spans="1:4" x14ac:dyDescent="0.2">
      <c r="A1187">
        <v>2023</v>
      </c>
      <c r="B1187">
        <v>40129</v>
      </c>
      <c r="C1187" t="s">
        <v>28</v>
      </c>
      <c r="D1187">
        <v>276879629</v>
      </c>
    </row>
    <row r="1188" spans="1:4" x14ac:dyDescent="0.2">
      <c r="A1188">
        <v>2023</v>
      </c>
      <c r="B1188">
        <v>40130</v>
      </c>
      <c r="C1188" t="s">
        <v>29</v>
      </c>
      <c r="D1188">
        <v>13781375</v>
      </c>
    </row>
    <row r="1189" spans="1:4" x14ac:dyDescent="0.2">
      <c r="A1189">
        <v>2023</v>
      </c>
      <c r="B1189">
        <v>40131</v>
      </c>
      <c r="C1189" t="s">
        <v>30</v>
      </c>
      <c r="D1189">
        <v>1893471</v>
      </c>
    </row>
    <row r="1190" spans="1:4" x14ac:dyDescent="0.2">
      <c r="A1190">
        <v>2023</v>
      </c>
      <c r="B1190">
        <v>40132</v>
      </c>
      <c r="C1190" t="s">
        <v>31</v>
      </c>
      <c r="D1190">
        <v>4300379</v>
      </c>
    </row>
    <row r="1191" spans="1:4" x14ac:dyDescent="0.2">
      <c r="A1191">
        <v>2023</v>
      </c>
      <c r="B1191">
        <v>40133</v>
      </c>
      <c r="C1191" t="s">
        <v>64</v>
      </c>
      <c r="D1191">
        <v>7164047</v>
      </c>
    </row>
    <row r="1192" spans="1:4" x14ac:dyDescent="0.2">
      <c r="A1192">
        <v>2023</v>
      </c>
      <c r="B1192">
        <v>40134</v>
      </c>
      <c r="C1192" t="s">
        <v>65</v>
      </c>
      <c r="D1192">
        <v>16883233</v>
      </c>
    </row>
    <row r="1193" spans="1:4" x14ac:dyDescent="0.2">
      <c r="A1193">
        <v>2023</v>
      </c>
      <c r="B1193">
        <v>40135</v>
      </c>
      <c r="C1193" t="s">
        <v>66</v>
      </c>
      <c r="D1193">
        <v>2449772</v>
      </c>
    </row>
    <row r="1194" spans="1:4" x14ac:dyDescent="0.2">
      <c r="A1194">
        <v>2023</v>
      </c>
      <c r="B1194">
        <v>40136</v>
      </c>
      <c r="C1194" t="s">
        <v>67</v>
      </c>
      <c r="D1194">
        <v>5887191</v>
      </c>
    </row>
    <row r="1195" spans="1:4" x14ac:dyDescent="0.2">
      <c r="A1195">
        <v>2023</v>
      </c>
      <c r="B1195">
        <v>40137</v>
      </c>
      <c r="C1195" t="s">
        <v>68</v>
      </c>
      <c r="D1195">
        <v>2985048</v>
      </c>
    </row>
    <row r="1196" spans="1:4" x14ac:dyDescent="0.2">
      <c r="A1196">
        <v>2023</v>
      </c>
      <c r="B1196">
        <v>40138</v>
      </c>
      <c r="C1196" t="s">
        <v>69</v>
      </c>
      <c r="D1196">
        <v>1783777</v>
      </c>
    </row>
    <row r="1197" spans="1:4" x14ac:dyDescent="0.2">
      <c r="A1197">
        <v>2023</v>
      </c>
      <c r="B1197">
        <v>40139</v>
      </c>
      <c r="C1197" t="s">
        <v>70</v>
      </c>
      <c r="D1197">
        <v>3256252</v>
      </c>
    </row>
    <row r="1198" spans="1:4" x14ac:dyDescent="0.2">
      <c r="A1198">
        <v>2023</v>
      </c>
      <c r="B1198">
        <v>40140</v>
      </c>
      <c r="C1198" t="s">
        <v>71</v>
      </c>
      <c r="D1198">
        <v>2389333</v>
      </c>
    </row>
    <row r="1199" spans="1:4" x14ac:dyDescent="0.2">
      <c r="A1199">
        <v>2023</v>
      </c>
      <c r="B1199">
        <v>40141</v>
      </c>
      <c r="C1199" t="s">
        <v>72</v>
      </c>
      <c r="D1199">
        <v>5205983</v>
      </c>
    </row>
    <row r="1200" spans="1:4" x14ac:dyDescent="0.2">
      <c r="A1200">
        <v>2023</v>
      </c>
      <c r="B1200">
        <v>40142</v>
      </c>
      <c r="C1200" t="s">
        <v>73</v>
      </c>
      <c r="D1200">
        <v>19237292</v>
      </c>
    </row>
    <row r="1201" spans="1:4" x14ac:dyDescent="0.2">
      <c r="A1201">
        <v>2023</v>
      </c>
      <c r="B1201">
        <v>40143</v>
      </c>
      <c r="C1201" t="s">
        <v>74</v>
      </c>
      <c r="D1201">
        <v>52190635</v>
      </c>
    </row>
    <row r="1202" spans="1:4" x14ac:dyDescent="0.2">
      <c r="A1202">
        <v>2023</v>
      </c>
      <c r="B1202">
        <v>40144</v>
      </c>
      <c r="C1202" t="s">
        <v>75</v>
      </c>
      <c r="D1202">
        <v>7149234</v>
      </c>
    </row>
    <row r="1203" spans="1:4" x14ac:dyDescent="0.2">
      <c r="A1203">
        <v>2023</v>
      </c>
      <c r="B1203">
        <v>40145</v>
      </c>
      <c r="C1203" t="s">
        <v>76</v>
      </c>
      <c r="D1203">
        <v>318617</v>
      </c>
    </row>
    <row r="1204" spans="1:4" x14ac:dyDescent="0.2">
      <c r="A1204">
        <v>2023</v>
      </c>
      <c r="B1204">
        <v>40146</v>
      </c>
      <c r="C1204" t="s">
        <v>77</v>
      </c>
      <c r="D1204">
        <v>5984651</v>
      </c>
    </row>
    <row r="1205" spans="1:4" x14ac:dyDescent="0.2">
      <c r="A1205">
        <v>2023</v>
      </c>
      <c r="B1205">
        <v>40148</v>
      </c>
      <c r="C1205" t="s">
        <v>78</v>
      </c>
      <c r="D1205">
        <v>4544689</v>
      </c>
    </row>
    <row r="1206" spans="1:4" x14ac:dyDescent="0.2">
      <c r="A1206">
        <v>2023</v>
      </c>
      <c r="B1206">
        <v>40149</v>
      </c>
      <c r="C1206" t="s">
        <v>79</v>
      </c>
      <c r="D1206">
        <v>924359</v>
      </c>
    </row>
    <row r="1207" spans="1:4" x14ac:dyDescent="0.2">
      <c r="A1207">
        <v>2023</v>
      </c>
      <c r="B1207">
        <v>40150</v>
      </c>
      <c r="C1207" t="s">
        <v>80</v>
      </c>
      <c r="D1207">
        <v>2017579</v>
      </c>
    </row>
    <row r="1208" spans="1:4" x14ac:dyDescent="0.2">
      <c r="A1208">
        <v>2023</v>
      </c>
      <c r="B1208">
        <v>40151</v>
      </c>
      <c r="C1208" t="s">
        <v>81</v>
      </c>
      <c r="D1208">
        <v>1087695</v>
      </c>
    </row>
    <row r="1209" spans="1:4" x14ac:dyDescent="0.2">
      <c r="A1209">
        <v>2023</v>
      </c>
      <c r="B1209">
        <v>40152</v>
      </c>
      <c r="C1209" t="s">
        <v>82</v>
      </c>
      <c r="D1209">
        <v>3290299</v>
      </c>
    </row>
    <row r="1210" spans="1:4" x14ac:dyDescent="0.2">
      <c r="A1210">
        <v>2023</v>
      </c>
      <c r="B1210">
        <v>40153</v>
      </c>
      <c r="C1210" t="s">
        <v>83</v>
      </c>
      <c r="D1210">
        <v>130822489</v>
      </c>
    </row>
    <row r="1211" spans="1:4" x14ac:dyDescent="0.2">
      <c r="A1211">
        <v>2023</v>
      </c>
      <c r="B1211">
        <v>40154</v>
      </c>
      <c r="C1211" t="s">
        <v>84</v>
      </c>
      <c r="D1211">
        <v>6071620</v>
      </c>
    </row>
    <row r="1212" spans="1:4" x14ac:dyDescent="0.2">
      <c r="A1212">
        <v>2023</v>
      </c>
      <c r="B1212">
        <v>40155</v>
      </c>
      <c r="C1212" t="s">
        <v>85</v>
      </c>
      <c r="D1212">
        <v>1695521</v>
      </c>
    </row>
    <row r="1213" spans="1:4" x14ac:dyDescent="0.2">
      <c r="A1213">
        <v>2023</v>
      </c>
      <c r="B1213">
        <v>40156</v>
      </c>
      <c r="C1213" t="s">
        <v>86</v>
      </c>
      <c r="D1213">
        <v>1862060</v>
      </c>
    </row>
    <row r="1214" spans="1:4" x14ac:dyDescent="0.2">
      <c r="A1214">
        <v>2023</v>
      </c>
      <c r="B1214">
        <v>40157</v>
      </c>
      <c r="C1214" t="s">
        <v>87</v>
      </c>
      <c r="D1214">
        <v>1284571</v>
      </c>
    </row>
    <row r="1215" spans="1:4" x14ac:dyDescent="0.2">
      <c r="A1215">
        <v>2023</v>
      </c>
      <c r="B1215">
        <v>40158</v>
      </c>
      <c r="C1215" t="s">
        <v>88</v>
      </c>
      <c r="D1215">
        <v>4299907</v>
      </c>
    </row>
    <row r="1216" spans="1:4" x14ac:dyDescent="0.2">
      <c r="A1216">
        <v>2023</v>
      </c>
      <c r="B1216">
        <v>40159</v>
      </c>
      <c r="C1216" t="s">
        <v>89</v>
      </c>
      <c r="D1216">
        <v>1650637</v>
      </c>
    </row>
    <row r="1217" spans="1:4" x14ac:dyDescent="0.2">
      <c r="A1217">
        <v>2023</v>
      </c>
      <c r="B1217">
        <v>40160</v>
      </c>
      <c r="C1217" t="s">
        <v>90</v>
      </c>
      <c r="D1217">
        <v>10741177</v>
      </c>
    </row>
    <row r="1218" spans="1:4" x14ac:dyDescent="0.2">
      <c r="A1218">
        <v>2023</v>
      </c>
      <c r="B1218">
        <v>40162</v>
      </c>
      <c r="C1218" t="s">
        <v>91</v>
      </c>
      <c r="D1218">
        <v>2027544</v>
      </c>
    </row>
    <row r="1219" spans="1:4" x14ac:dyDescent="0.2">
      <c r="A1219">
        <v>2023</v>
      </c>
      <c r="B1219">
        <v>40163</v>
      </c>
      <c r="C1219" t="s">
        <v>92</v>
      </c>
      <c r="D1219">
        <v>3452732</v>
      </c>
    </row>
    <row r="1220" spans="1:4" x14ac:dyDescent="0.2">
      <c r="A1220">
        <v>2023</v>
      </c>
      <c r="B1220">
        <v>40165</v>
      </c>
      <c r="C1220" t="s">
        <v>93</v>
      </c>
      <c r="D1220">
        <v>1550732</v>
      </c>
    </row>
    <row r="1221" spans="1:4" x14ac:dyDescent="0.2">
      <c r="A1221">
        <v>2023</v>
      </c>
      <c r="B1221">
        <v>40166</v>
      </c>
      <c r="C1221" t="s">
        <v>94</v>
      </c>
      <c r="D1221">
        <v>1624619</v>
      </c>
    </row>
    <row r="1222" spans="1:4" x14ac:dyDescent="0.2">
      <c r="A1222">
        <v>2023</v>
      </c>
      <c r="B1222">
        <v>40167</v>
      </c>
      <c r="C1222" t="s">
        <v>95</v>
      </c>
      <c r="D1222">
        <v>1882136</v>
      </c>
    </row>
    <row r="1223" spans="1:4" x14ac:dyDescent="0.2">
      <c r="A1223">
        <v>2023</v>
      </c>
      <c r="B1223">
        <v>40168</v>
      </c>
      <c r="C1223" t="s">
        <v>96</v>
      </c>
      <c r="D1223">
        <v>4964160</v>
      </c>
    </row>
    <row r="1224" spans="1:4" x14ac:dyDescent="0.2">
      <c r="A1224">
        <v>2023</v>
      </c>
      <c r="B1224">
        <v>40169</v>
      </c>
      <c r="C1224" t="s">
        <v>130</v>
      </c>
      <c r="D1224">
        <v>3447583</v>
      </c>
    </row>
    <row r="1225" spans="1:4" x14ac:dyDescent="0.2">
      <c r="A1225">
        <v>2023</v>
      </c>
      <c r="B1225">
        <v>40170</v>
      </c>
      <c r="C1225" t="s">
        <v>131</v>
      </c>
      <c r="D1225">
        <v>2341279</v>
      </c>
    </row>
    <row r="1226" spans="1:4" x14ac:dyDescent="0.2">
      <c r="A1226">
        <v>2023</v>
      </c>
      <c r="B1226">
        <v>40171</v>
      </c>
      <c r="C1226" t="s">
        <v>132</v>
      </c>
      <c r="D1226">
        <v>8242966</v>
      </c>
    </row>
    <row r="1227" spans="1:4" x14ac:dyDescent="0.2">
      <c r="A1227">
        <v>2023</v>
      </c>
      <c r="B1227">
        <v>40172</v>
      </c>
      <c r="C1227" t="s">
        <v>133</v>
      </c>
      <c r="D1227">
        <v>4456656</v>
      </c>
    </row>
    <row r="1228" spans="1:4" x14ac:dyDescent="0.2">
      <c r="A1228">
        <v>2023</v>
      </c>
      <c r="B1228">
        <v>40173</v>
      </c>
      <c r="C1228" t="s">
        <v>134</v>
      </c>
      <c r="D1228">
        <v>1790687</v>
      </c>
    </row>
    <row r="1229" spans="1:4" x14ac:dyDescent="0.2">
      <c r="A1229">
        <v>2023</v>
      </c>
      <c r="B1229">
        <v>40174</v>
      </c>
      <c r="C1229" t="s">
        <v>135</v>
      </c>
      <c r="D1229">
        <v>5958351</v>
      </c>
    </row>
    <row r="1230" spans="1:4" x14ac:dyDescent="0.2">
      <c r="A1230">
        <v>2023</v>
      </c>
      <c r="B1230">
        <v>40176</v>
      </c>
      <c r="C1230" t="s">
        <v>136</v>
      </c>
      <c r="D1230">
        <v>113259491</v>
      </c>
    </row>
    <row r="1231" spans="1:4" x14ac:dyDescent="0.2">
      <c r="A1231">
        <v>2023</v>
      </c>
      <c r="B1231">
        <v>40177</v>
      </c>
      <c r="C1231" t="s">
        <v>137</v>
      </c>
      <c r="D1231">
        <v>4191215</v>
      </c>
    </row>
    <row r="1232" spans="1:4" x14ac:dyDescent="0.2">
      <c r="A1232">
        <v>2023</v>
      </c>
      <c r="B1232">
        <v>40178</v>
      </c>
      <c r="C1232" t="s">
        <v>138</v>
      </c>
      <c r="D1232">
        <v>1125032</v>
      </c>
    </row>
    <row r="1233" spans="1:4" x14ac:dyDescent="0.2">
      <c r="A1233">
        <v>2023</v>
      </c>
      <c r="B1233">
        <v>40179</v>
      </c>
      <c r="C1233" t="s">
        <v>139</v>
      </c>
      <c r="D1233">
        <v>1370947</v>
      </c>
    </row>
    <row r="1234" spans="1:4" x14ac:dyDescent="0.2">
      <c r="A1234">
        <v>2023</v>
      </c>
      <c r="B1234">
        <v>40180</v>
      </c>
      <c r="C1234" t="s">
        <v>140</v>
      </c>
      <c r="D1234">
        <v>14839489</v>
      </c>
    </row>
    <row r="1235" spans="1:4" x14ac:dyDescent="0.2">
      <c r="A1235">
        <v>2023</v>
      </c>
      <c r="B1235">
        <v>40181</v>
      </c>
      <c r="C1235" t="s">
        <v>141</v>
      </c>
      <c r="D1235">
        <v>3031432</v>
      </c>
    </row>
    <row r="1236" spans="1:4" x14ac:dyDescent="0.2">
      <c r="A1236">
        <v>2023</v>
      </c>
      <c r="B1236">
        <v>40182</v>
      </c>
      <c r="C1236" t="s">
        <v>142</v>
      </c>
      <c r="D1236">
        <v>13177236</v>
      </c>
    </row>
    <row r="1237" spans="1:4" x14ac:dyDescent="0.2">
      <c r="A1237">
        <v>2023</v>
      </c>
      <c r="B1237">
        <v>40183</v>
      </c>
      <c r="C1237" t="s">
        <v>143</v>
      </c>
      <c r="D1237">
        <v>3221914</v>
      </c>
    </row>
    <row r="1238" spans="1:4" x14ac:dyDescent="0.2">
      <c r="A1238">
        <v>2023</v>
      </c>
      <c r="B1238">
        <v>40184</v>
      </c>
      <c r="C1238" t="s">
        <v>144</v>
      </c>
      <c r="D1238">
        <v>3871789</v>
      </c>
    </row>
    <row r="1239" spans="1:4" x14ac:dyDescent="0.2">
      <c r="A1239">
        <v>2023</v>
      </c>
      <c r="B1239">
        <v>40185</v>
      </c>
      <c r="C1239" t="s">
        <v>145</v>
      </c>
      <c r="D1239">
        <v>6610593</v>
      </c>
    </row>
    <row r="1240" spans="1:4" x14ac:dyDescent="0.2">
      <c r="A1240">
        <v>2023</v>
      </c>
      <c r="B1240">
        <v>40186</v>
      </c>
      <c r="C1240" t="s">
        <v>146</v>
      </c>
      <c r="D1240">
        <v>4206435</v>
      </c>
    </row>
    <row r="1241" spans="1:4" x14ac:dyDescent="0.2">
      <c r="A1241">
        <v>2023</v>
      </c>
      <c r="B1241">
        <v>40187</v>
      </c>
      <c r="C1241" t="s">
        <v>147</v>
      </c>
      <c r="D1241">
        <v>2356780</v>
      </c>
    </row>
    <row r="1242" spans="1:4" x14ac:dyDescent="0.2">
      <c r="A1242">
        <v>2023</v>
      </c>
      <c r="B1242">
        <v>40188</v>
      </c>
      <c r="C1242" t="s">
        <v>148</v>
      </c>
      <c r="D1242">
        <v>24286627</v>
      </c>
    </row>
    <row r="1243" spans="1:4" x14ac:dyDescent="0.2">
      <c r="A1243">
        <v>2023</v>
      </c>
      <c r="B1243">
        <v>40189</v>
      </c>
      <c r="C1243" t="s">
        <v>149</v>
      </c>
      <c r="D1243">
        <v>33455787</v>
      </c>
    </row>
    <row r="1244" spans="1:4" x14ac:dyDescent="0.2">
      <c r="A1244">
        <v>2023</v>
      </c>
      <c r="B1244">
        <v>40190</v>
      </c>
      <c r="C1244" t="s">
        <v>150</v>
      </c>
      <c r="D1244">
        <v>1266641</v>
      </c>
    </row>
    <row r="1245" spans="1:4" x14ac:dyDescent="0.2">
      <c r="A1245">
        <v>2023</v>
      </c>
      <c r="B1245">
        <v>40191</v>
      </c>
      <c r="C1245" t="s">
        <v>151</v>
      </c>
      <c r="D1245">
        <v>1402276</v>
      </c>
    </row>
    <row r="1246" spans="1:4" x14ac:dyDescent="0.2">
      <c r="A1246">
        <v>2023</v>
      </c>
      <c r="B1246">
        <v>40192</v>
      </c>
      <c r="C1246" t="s">
        <v>152</v>
      </c>
      <c r="D1246">
        <v>4630338</v>
      </c>
    </row>
    <row r="1247" spans="1:4" x14ac:dyDescent="0.2">
      <c r="A1247">
        <v>2023</v>
      </c>
      <c r="B1247">
        <v>40193</v>
      </c>
      <c r="C1247" t="s">
        <v>153</v>
      </c>
      <c r="D1247">
        <v>5827523</v>
      </c>
    </row>
    <row r="1248" spans="1:4" x14ac:dyDescent="0.2">
      <c r="A1248">
        <v>2023</v>
      </c>
      <c r="B1248">
        <v>40195</v>
      </c>
      <c r="C1248" t="s">
        <v>154</v>
      </c>
      <c r="D1248">
        <v>6399314</v>
      </c>
    </row>
    <row r="1249" spans="1:4" x14ac:dyDescent="0.2">
      <c r="A1249">
        <v>2023</v>
      </c>
      <c r="B1249">
        <v>40196</v>
      </c>
      <c r="C1249" t="s">
        <v>155</v>
      </c>
      <c r="D1249">
        <v>1731259</v>
      </c>
    </row>
    <row r="1250" spans="1:4" x14ac:dyDescent="0.2">
      <c r="A1250">
        <v>2023</v>
      </c>
      <c r="B1250">
        <v>40197</v>
      </c>
      <c r="C1250" t="s">
        <v>156</v>
      </c>
      <c r="D1250">
        <v>5602059</v>
      </c>
    </row>
    <row r="1251" spans="1:4" x14ac:dyDescent="0.2">
      <c r="A1251">
        <v>2023</v>
      </c>
      <c r="B1251">
        <v>40198</v>
      </c>
      <c r="C1251" t="s">
        <v>157</v>
      </c>
      <c r="D1251">
        <v>4007036</v>
      </c>
    </row>
    <row r="1252" spans="1:4" x14ac:dyDescent="0.2">
      <c r="A1252">
        <v>2023</v>
      </c>
      <c r="B1252">
        <v>40199</v>
      </c>
      <c r="C1252" t="s">
        <v>158</v>
      </c>
      <c r="D1252">
        <v>12958461</v>
      </c>
    </row>
    <row r="1253" spans="1:4" x14ac:dyDescent="0.2">
      <c r="A1253">
        <v>2023</v>
      </c>
      <c r="B1253">
        <v>40200</v>
      </c>
      <c r="C1253" t="s">
        <v>159</v>
      </c>
      <c r="D1253">
        <v>27610368</v>
      </c>
    </row>
    <row r="1254" spans="1:4" x14ac:dyDescent="0.2">
      <c r="A1254">
        <v>2023</v>
      </c>
      <c r="B1254">
        <v>40201</v>
      </c>
      <c r="C1254" t="s">
        <v>160</v>
      </c>
      <c r="D1254">
        <v>2413638</v>
      </c>
    </row>
    <row r="1255" spans="1:4" x14ac:dyDescent="0.2">
      <c r="A1255">
        <v>2023</v>
      </c>
      <c r="B1255">
        <v>40202</v>
      </c>
      <c r="C1255" t="s">
        <v>161</v>
      </c>
      <c r="D1255">
        <v>891818</v>
      </c>
    </row>
    <row r="1256" spans="1:4" x14ac:dyDescent="0.2">
      <c r="A1256">
        <v>2023</v>
      </c>
      <c r="B1256">
        <v>40203</v>
      </c>
      <c r="C1256" t="s">
        <v>162</v>
      </c>
      <c r="D1256">
        <v>6970463</v>
      </c>
    </row>
    <row r="1257" spans="1:4" x14ac:dyDescent="0.2">
      <c r="A1257">
        <v>2023</v>
      </c>
      <c r="B1257">
        <v>40205</v>
      </c>
      <c r="C1257" t="s">
        <v>196</v>
      </c>
      <c r="D1257">
        <v>6696809</v>
      </c>
    </row>
    <row r="1258" spans="1:4" x14ac:dyDescent="0.2">
      <c r="A1258">
        <v>2023</v>
      </c>
      <c r="B1258">
        <v>40206</v>
      </c>
      <c r="C1258" t="s">
        <v>197</v>
      </c>
      <c r="D1258">
        <v>4621451</v>
      </c>
    </row>
    <row r="1259" spans="1:4" x14ac:dyDescent="0.2">
      <c r="A1259">
        <v>2023</v>
      </c>
      <c r="B1259">
        <v>40207</v>
      </c>
      <c r="C1259" t="s">
        <v>198</v>
      </c>
      <c r="D1259">
        <v>20738477</v>
      </c>
    </row>
    <row r="1260" spans="1:4" x14ac:dyDescent="0.2">
      <c r="A1260">
        <v>2023</v>
      </c>
      <c r="B1260">
        <v>40208</v>
      </c>
      <c r="C1260" t="s">
        <v>199</v>
      </c>
      <c r="D1260">
        <v>8418095</v>
      </c>
    </row>
    <row r="1261" spans="1:4" x14ac:dyDescent="0.2">
      <c r="A1261">
        <v>2023</v>
      </c>
      <c r="B1261">
        <v>40209</v>
      </c>
      <c r="C1261" t="s">
        <v>200</v>
      </c>
      <c r="D1261">
        <v>5031445</v>
      </c>
    </row>
    <row r="1262" spans="1:4" x14ac:dyDescent="0.2">
      <c r="A1262">
        <v>2023</v>
      </c>
      <c r="B1262">
        <v>40210</v>
      </c>
      <c r="C1262" t="s">
        <v>201</v>
      </c>
      <c r="D1262">
        <v>9840281</v>
      </c>
    </row>
    <row r="1263" spans="1:4" x14ac:dyDescent="0.2">
      <c r="A1263">
        <v>2023</v>
      </c>
      <c r="B1263">
        <v>40211</v>
      </c>
      <c r="C1263" t="s">
        <v>202</v>
      </c>
      <c r="D1263">
        <v>29654303</v>
      </c>
    </row>
    <row r="1264" spans="1:4" x14ac:dyDescent="0.2">
      <c r="A1264">
        <v>2023</v>
      </c>
      <c r="B1264">
        <v>40212</v>
      </c>
      <c r="C1264" t="s">
        <v>203</v>
      </c>
      <c r="D1264">
        <v>35633497</v>
      </c>
    </row>
    <row r="1265" spans="1:4" x14ac:dyDescent="0.2">
      <c r="A1265">
        <v>2023</v>
      </c>
      <c r="B1265">
        <v>40213</v>
      </c>
      <c r="C1265" t="s">
        <v>204</v>
      </c>
      <c r="D1265">
        <v>4658921</v>
      </c>
    </row>
    <row r="1266" spans="1:4" x14ac:dyDescent="0.2">
      <c r="A1266">
        <v>2023</v>
      </c>
      <c r="B1266">
        <v>40214</v>
      </c>
      <c r="C1266" t="s">
        <v>205</v>
      </c>
      <c r="D1266">
        <v>13762367</v>
      </c>
    </row>
    <row r="1267" spans="1:4" x14ac:dyDescent="0.2">
      <c r="A1267">
        <v>2023</v>
      </c>
      <c r="B1267">
        <v>40215</v>
      </c>
      <c r="C1267" t="s">
        <v>206</v>
      </c>
      <c r="D1267">
        <v>1659471</v>
      </c>
    </row>
    <row r="1268" spans="1:4" x14ac:dyDescent="0.2">
      <c r="A1268">
        <v>2023</v>
      </c>
      <c r="B1268">
        <v>40216</v>
      </c>
      <c r="C1268" t="s">
        <v>207</v>
      </c>
      <c r="D1268">
        <v>32924146</v>
      </c>
    </row>
    <row r="1269" spans="1:4" x14ac:dyDescent="0.2">
      <c r="A1269">
        <v>2023</v>
      </c>
      <c r="B1269">
        <v>40217</v>
      </c>
      <c r="C1269" t="s">
        <v>208</v>
      </c>
      <c r="D1269">
        <v>17573361</v>
      </c>
    </row>
    <row r="1270" spans="1:4" x14ac:dyDescent="0.2">
      <c r="A1270">
        <v>2023</v>
      </c>
      <c r="B1270">
        <v>40219</v>
      </c>
      <c r="C1270" t="s">
        <v>209</v>
      </c>
      <c r="D1270">
        <v>3370347</v>
      </c>
    </row>
    <row r="1271" spans="1:4" x14ac:dyDescent="0.2">
      <c r="A1271">
        <v>2023</v>
      </c>
      <c r="B1271">
        <v>40220</v>
      </c>
      <c r="C1271" t="s">
        <v>210</v>
      </c>
      <c r="D1271">
        <v>14648776</v>
      </c>
    </row>
    <row r="1272" spans="1:4" x14ac:dyDescent="0.2">
      <c r="A1272">
        <v>2023</v>
      </c>
      <c r="B1272">
        <v>40222</v>
      </c>
      <c r="C1272" t="s">
        <v>211</v>
      </c>
      <c r="D1272">
        <v>5717792</v>
      </c>
    </row>
    <row r="1273" spans="1:4" x14ac:dyDescent="0.2">
      <c r="A1273">
        <v>2023</v>
      </c>
      <c r="B1273">
        <v>40223</v>
      </c>
      <c r="C1273" t="s">
        <v>212</v>
      </c>
      <c r="D1273">
        <v>1995492</v>
      </c>
    </row>
    <row r="1274" spans="1:4" x14ac:dyDescent="0.2">
      <c r="A1274">
        <v>2023</v>
      </c>
      <c r="B1274">
        <v>40224</v>
      </c>
      <c r="C1274" t="s">
        <v>213</v>
      </c>
      <c r="D1274">
        <v>5070158</v>
      </c>
    </row>
    <row r="1275" spans="1:4" x14ac:dyDescent="0.2">
      <c r="A1275">
        <v>2023</v>
      </c>
      <c r="B1275">
        <v>40225</v>
      </c>
      <c r="C1275" t="s">
        <v>214</v>
      </c>
      <c r="D1275">
        <v>3586603</v>
      </c>
    </row>
    <row r="1276" spans="1:4" x14ac:dyDescent="0.2">
      <c r="A1276">
        <v>2023</v>
      </c>
      <c r="B1276">
        <v>40231</v>
      </c>
      <c r="C1276" t="s">
        <v>216</v>
      </c>
      <c r="D1276">
        <v>16386</v>
      </c>
    </row>
    <row r="1277" spans="1:4" x14ac:dyDescent="0.2">
      <c r="A1277">
        <v>2023</v>
      </c>
      <c r="B1277">
        <v>40232</v>
      </c>
      <c r="C1277" t="s">
        <v>217</v>
      </c>
      <c r="D1277">
        <v>1275545</v>
      </c>
    </row>
    <row r="1278" spans="1:4" x14ac:dyDescent="0.2">
      <c r="A1278">
        <v>2023</v>
      </c>
      <c r="B1278">
        <v>40233</v>
      </c>
      <c r="C1278" t="s">
        <v>218</v>
      </c>
      <c r="D1278">
        <v>47899258</v>
      </c>
    </row>
    <row r="1279" spans="1:4" x14ac:dyDescent="0.2">
      <c r="A1279">
        <v>2023</v>
      </c>
      <c r="B1279">
        <v>40234</v>
      </c>
      <c r="C1279" t="s">
        <v>219</v>
      </c>
      <c r="D1279">
        <v>73628541</v>
      </c>
    </row>
    <row r="1280" spans="1:4" x14ac:dyDescent="0.2">
      <c r="A1280">
        <v>2023</v>
      </c>
      <c r="B1280">
        <v>40236</v>
      </c>
      <c r="C1280" t="s">
        <v>220</v>
      </c>
      <c r="D1280">
        <v>4164116</v>
      </c>
    </row>
    <row r="1281" spans="1:4" x14ac:dyDescent="0.2">
      <c r="A1281">
        <v>2023</v>
      </c>
      <c r="B1281">
        <v>40306</v>
      </c>
      <c r="C1281" t="s">
        <v>221</v>
      </c>
      <c r="D1281">
        <v>1003532</v>
      </c>
    </row>
    <row r="1282" spans="1:4" x14ac:dyDescent="0.2">
      <c r="A1282">
        <v>2023</v>
      </c>
      <c r="B1282">
        <v>40307</v>
      </c>
      <c r="C1282" t="s">
        <v>222</v>
      </c>
      <c r="D1282">
        <v>600323</v>
      </c>
    </row>
    <row r="1283" spans="1:4" x14ac:dyDescent="0.2">
      <c r="A1283">
        <v>2023</v>
      </c>
      <c r="B1283">
        <v>40308</v>
      </c>
      <c r="C1283" t="s">
        <v>223</v>
      </c>
      <c r="D1283">
        <v>3739394</v>
      </c>
    </row>
    <row r="1284" spans="1:4" x14ac:dyDescent="0.2">
      <c r="A1284">
        <v>2023</v>
      </c>
      <c r="B1284">
        <v>40309</v>
      </c>
      <c r="C1284" t="s">
        <v>224</v>
      </c>
      <c r="D1284">
        <v>756764</v>
      </c>
    </row>
    <row r="1285" spans="1:4" x14ac:dyDescent="0.2">
      <c r="A1285">
        <v>2023</v>
      </c>
      <c r="B1285">
        <v>40313</v>
      </c>
      <c r="C1285" t="s">
        <v>225</v>
      </c>
      <c r="D1285">
        <v>1450822</v>
      </c>
    </row>
    <row r="1286" spans="1:4" x14ac:dyDescent="0.2">
      <c r="A1286">
        <v>2023</v>
      </c>
      <c r="B1286">
        <v>40314</v>
      </c>
      <c r="C1286" t="s">
        <v>226</v>
      </c>
      <c r="D1286">
        <v>786321</v>
      </c>
    </row>
    <row r="1287" spans="1:4" x14ac:dyDescent="0.2">
      <c r="A1287">
        <v>2023</v>
      </c>
      <c r="B1287">
        <v>40332</v>
      </c>
      <c r="C1287" t="s">
        <v>227</v>
      </c>
      <c r="D1287">
        <v>10789175</v>
      </c>
    </row>
    <row r="1288" spans="1:4" x14ac:dyDescent="0.2">
      <c r="A1288">
        <v>2023</v>
      </c>
      <c r="B1288">
        <v>40335</v>
      </c>
      <c r="C1288" t="s">
        <v>228</v>
      </c>
      <c r="D1288">
        <v>4458974</v>
      </c>
    </row>
    <row r="1289" spans="1:4" x14ac:dyDescent="0.2">
      <c r="A1289">
        <v>2023</v>
      </c>
      <c r="B1289">
        <v>40402</v>
      </c>
      <c r="C1289" t="s">
        <v>294</v>
      </c>
      <c r="D1289">
        <v>13438534</v>
      </c>
    </row>
    <row r="1290" spans="1:4" x14ac:dyDescent="0.2">
      <c r="A1290">
        <v>2023</v>
      </c>
      <c r="B1290">
        <v>40403</v>
      </c>
      <c r="C1290" t="s">
        <v>263</v>
      </c>
      <c r="D1290">
        <v>2012018</v>
      </c>
    </row>
    <row r="1291" spans="1:4" x14ac:dyDescent="0.2">
      <c r="A1291">
        <v>2023</v>
      </c>
      <c r="B1291">
        <v>40410</v>
      </c>
      <c r="C1291" t="s">
        <v>264</v>
      </c>
      <c r="D1291">
        <v>369291</v>
      </c>
    </row>
    <row r="1292" spans="1:4" x14ac:dyDescent="0.2">
      <c r="A1292">
        <v>2023</v>
      </c>
      <c r="B1292">
        <v>40412</v>
      </c>
      <c r="C1292" t="s">
        <v>295</v>
      </c>
      <c r="D1292">
        <v>272576</v>
      </c>
    </row>
    <row r="1293" spans="1:4" x14ac:dyDescent="0.2">
      <c r="A1293">
        <v>2023</v>
      </c>
      <c r="B1293">
        <v>40415</v>
      </c>
      <c r="C1293" t="s">
        <v>268</v>
      </c>
      <c r="D1293">
        <v>1629031</v>
      </c>
    </row>
    <row r="1294" spans="1:4" x14ac:dyDescent="0.2">
      <c r="A1294">
        <v>2023</v>
      </c>
      <c r="B1294">
        <v>40416</v>
      </c>
      <c r="C1294" t="s">
        <v>269</v>
      </c>
      <c r="D1294">
        <v>164303</v>
      </c>
    </row>
    <row r="1295" spans="1:4" x14ac:dyDescent="0.2">
      <c r="A1295">
        <v>2023</v>
      </c>
      <c r="B1295">
        <v>40417</v>
      </c>
      <c r="C1295" t="s">
        <v>270</v>
      </c>
      <c r="D1295">
        <v>159018</v>
      </c>
    </row>
    <row r="1296" spans="1:4" x14ac:dyDescent="0.2">
      <c r="A1296">
        <v>2023</v>
      </c>
      <c r="B1296">
        <v>40418</v>
      </c>
      <c r="C1296" t="s">
        <v>296</v>
      </c>
      <c r="D1296">
        <v>60051</v>
      </c>
    </row>
    <row r="1297" spans="1:4" x14ac:dyDescent="0.2">
      <c r="A1297">
        <v>2023</v>
      </c>
      <c r="B1297">
        <v>40421</v>
      </c>
      <c r="C1297" t="s">
        <v>272</v>
      </c>
      <c r="D1297">
        <v>119228</v>
      </c>
    </row>
    <row r="1298" spans="1:4" x14ac:dyDescent="0.2">
      <c r="A1298">
        <v>2023</v>
      </c>
      <c r="B1298">
        <v>40423</v>
      </c>
      <c r="C1298" t="s">
        <v>273</v>
      </c>
      <c r="D1298">
        <v>817990</v>
      </c>
    </row>
    <row r="1299" spans="1:4" x14ac:dyDescent="0.2">
      <c r="A1299">
        <v>2023</v>
      </c>
      <c r="B1299">
        <v>40424</v>
      </c>
      <c r="C1299" t="s">
        <v>274</v>
      </c>
      <c r="D1299">
        <v>394158</v>
      </c>
    </row>
    <row r="1300" spans="1:4" x14ac:dyDescent="0.2">
      <c r="A1300">
        <v>2023</v>
      </c>
      <c r="B1300">
        <v>40425</v>
      </c>
      <c r="C1300" t="s">
        <v>275</v>
      </c>
      <c r="D1300">
        <v>104253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C5A99-2094-A54F-B2B1-348112C4F8A2}">
  <dimension ref="A1:P1299"/>
  <sheetViews>
    <sheetView workbookViewId="0">
      <selection activeCell="E24" sqref="E24"/>
    </sheetView>
  </sheetViews>
  <sheetFormatPr baseColWidth="10" defaultRowHeight="16" x14ac:dyDescent="0.2"/>
  <cols>
    <col min="2" max="2" width="46.6640625" bestFit="1" customWidth="1"/>
    <col min="10" max="10" width="14" bestFit="1" customWidth="1"/>
    <col min="12" max="12" width="28.5" bestFit="1" customWidth="1"/>
    <col min="14" max="14" width="13.5" bestFit="1" customWidth="1"/>
  </cols>
  <sheetData>
    <row r="1" spans="1:16" x14ac:dyDescent="0.2">
      <c r="A1" t="s">
        <v>301</v>
      </c>
      <c r="B1" s="5" t="s">
        <v>0</v>
      </c>
      <c r="C1" t="s">
        <v>301</v>
      </c>
      <c r="E1" s="4" t="s">
        <v>301</v>
      </c>
      <c r="F1" t="s">
        <v>32</v>
      </c>
      <c r="G1" t="s">
        <v>301</v>
      </c>
      <c r="I1" t="s">
        <v>298</v>
      </c>
      <c r="J1" t="s">
        <v>299</v>
      </c>
      <c r="K1" s="4" t="s">
        <v>304</v>
      </c>
      <c r="L1" t="str">
        <f>_xlfn.TEXTJOIN("",TRUE,A1:C1)</f>
        <v>"Accomack County School Board"</v>
      </c>
      <c r="M1" t="s">
        <v>302</v>
      </c>
      <c r="N1" t="s">
        <v>303</v>
      </c>
      <c r="O1" s="4" t="s">
        <v>300</v>
      </c>
      <c r="P1" t="str">
        <f>_xlfn.TEXTJOIN("",TRUE,E1:G1)</f>
        <v>"40100"</v>
      </c>
    </row>
    <row r="2" spans="1:16" x14ac:dyDescent="0.2">
      <c r="A2" t="s">
        <v>301</v>
      </c>
      <c r="B2" s="5" t="s">
        <v>1</v>
      </c>
      <c r="C2" t="s">
        <v>301</v>
      </c>
      <c r="E2" s="4" t="s">
        <v>301</v>
      </c>
      <c r="F2" t="s">
        <v>33</v>
      </c>
      <c r="G2" t="s">
        <v>301</v>
      </c>
      <c r="I2" t="s">
        <v>298</v>
      </c>
      <c r="J2" t="s">
        <v>299</v>
      </c>
      <c r="K2" s="4" t="s">
        <v>304</v>
      </c>
      <c r="L2" t="str">
        <f t="shared" ref="L2:L65" si="0">_xlfn.TEXTJOIN("",TRUE,A2:C2)</f>
        <v>"Albemarle County Schools"</v>
      </c>
      <c r="M2" t="s">
        <v>302</v>
      </c>
      <c r="N2" t="s">
        <v>303</v>
      </c>
      <c r="O2" s="4" t="s">
        <v>300</v>
      </c>
      <c r="P2" t="str">
        <f t="shared" ref="P2:P65" si="1">_xlfn.TEXTJOIN("",TRUE,E2:G2)</f>
        <v>"40101"</v>
      </c>
    </row>
    <row r="3" spans="1:16" x14ac:dyDescent="0.2">
      <c r="A3" t="s">
        <v>301</v>
      </c>
      <c r="B3" s="5" t="s">
        <v>2</v>
      </c>
      <c r="C3" t="s">
        <v>301</v>
      </c>
      <c r="E3" s="4" t="s">
        <v>301</v>
      </c>
      <c r="F3" t="s">
        <v>34</v>
      </c>
      <c r="G3" t="s">
        <v>301</v>
      </c>
      <c r="I3" t="s">
        <v>298</v>
      </c>
      <c r="J3" t="s">
        <v>299</v>
      </c>
      <c r="K3" s="4" t="s">
        <v>304</v>
      </c>
      <c r="L3" t="str">
        <f t="shared" si="0"/>
        <v>"Alleghany County School Board"</v>
      </c>
      <c r="M3" t="s">
        <v>302</v>
      </c>
      <c r="N3" t="s">
        <v>303</v>
      </c>
      <c r="O3" s="4" t="s">
        <v>300</v>
      </c>
      <c r="P3" t="str">
        <f t="shared" si="1"/>
        <v>"40102"</v>
      </c>
    </row>
    <row r="4" spans="1:16" x14ac:dyDescent="0.2">
      <c r="A4" t="s">
        <v>301</v>
      </c>
      <c r="B4" s="5" t="s">
        <v>3</v>
      </c>
      <c r="C4" t="s">
        <v>301</v>
      </c>
      <c r="E4" s="4" t="s">
        <v>301</v>
      </c>
      <c r="F4" t="s">
        <v>35</v>
      </c>
      <c r="G4" t="s">
        <v>301</v>
      </c>
      <c r="I4" t="s">
        <v>298</v>
      </c>
      <c r="J4" t="s">
        <v>299</v>
      </c>
      <c r="K4" s="4" t="s">
        <v>304</v>
      </c>
      <c r="L4" t="str">
        <f t="shared" si="0"/>
        <v>"Amelia County School Board"</v>
      </c>
      <c r="M4" t="s">
        <v>302</v>
      </c>
      <c r="N4" t="s">
        <v>303</v>
      </c>
      <c r="O4" s="4" t="s">
        <v>300</v>
      </c>
      <c r="P4" t="str">
        <f t="shared" si="1"/>
        <v>"40103"</v>
      </c>
    </row>
    <row r="5" spans="1:16" x14ac:dyDescent="0.2">
      <c r="A5" t="s">
        <v>301</v>
      </c>
      <c r="B5" s="5" t="s">
        <v>4</v>
      </c>
      <c r="C5" t="s">
        <v>301</v>
      </c>
      <c r="E5" s="4" t="s">
        <v>301</v>
      </c>
      <c r="F5" t="s">
        <v>36</v>
      </c>
      <c r="G5" t="s">
        <v>301</v>
      </c>
      <c r="I5" t="s">
        <v>298</v>
      </c>
      <c r="J5" t="s">
        <v>299</v>
      </c>
      <c r="K5" s="4" t="s">
        <v>304</v>
      </c>
      <c r="L5" t="str">
        <f t="shared" si="0"/>
        <v>"Amherst County School Board"</v>
      </c>
      <c r="M5" t="s">
        <v>302</v>
      </c>
      <c r="N5" t="s">
        <v>303</v>
      </c>
      <c r="O5" s="4" t="s">
        <v>300</v>
      </c>
      <c r="P5" t="str">
        <f t="shared" si="1"/>
        <v>"40104"</v>
      </c>
    </row>
    <row r="6" spans="1:16" x14ac:dyDescent="0.2">
      <c r="A6" t="s">
        <v>301</v>
      </c>
      <c r="B6" s="5" t="s">
        <v>5</v>
      </c>
      <c r="C6" t="s">
        <v>301</v>
      </c>
      <c r="E6" s="4" t="s">
        <v>301</v>
      </c>
      <c r="F6" t="s">
        <v>37</v>
      </c>
      <c r="G6" t="s">
        <v>301</v>
      </c>
      <c r="I6" t="s">
        <v>298</v>
      </c>
      <c r="J6" t="s">
        <v>299</v>
      </c>
      <c r="K6" s="4" t="s">
        <v>304</v>
      </c>
      <c r="L6" t="str">
        <f t="shared" si="0"/>
        <v>"Appomattox County School Board"</v>
      </c>
      <c r="M6" t="s">
        <v>302</v>
      </c>
      <c r="N6" t="s">
        <v>303</v>
      </c>
      <c r="O6" s="4" t="s">
        <v>300</v>
      </c>
      <c r="P6" t="str">
        <f t="shared" si="1"/>
        <v>"40105"</v>
      </c>
    </row>
    <row r="7" spans="1:16" x14ac:dyDescent="0.2">
      <c r="A7" t="s">
        <v>301</v>
      </c>
      <c r="B7" s="5" t="s">
        <v>6</v>
      </c>
      <c r="C7" t="s">
        <v>301</v>
      </c>
      <c r="E7" s="4" t="s">
        <v>301</v>
      </c>
      <c r="F7" t="s">
        <v>38</v>
      </c>
      <c r="G7" t="s">
        <v>301</v>
      </c>
      <c r="I7" t="s">
        <v>298</v>
      </c>
      <c r="J7" t="s">
        <v>299</v>
      </c>
      <c r="K7" s="4" t="s">
        <v>304</v>
      </c>
      <c r="L7" t="str">
        <f t="shared" si="0"/>
        <v>"Arlington Public Schools"</v>
      </c>
      <c r="M7" t="s">
        <v>302</v>
      </c>
      <c r="N7" t="s">
        <v>303</v>
      </c>
      <c r="O7" s="4" t="s">
        <v>300</v>
      </c>
      <c r="P7" t="str">
        <f t="shared" si="1"/>
        <v>"40106"</v>
      </c>
    </row>
    <row r="8" spans="1:16" x14ac:dyDescent="0.2">
      <c r="A8" t="s">
        <v>301</v>
      </c>
      <c r="B8" s="5" t="s">
        <v>7</v>
      </c>
      <c r="C8" t="s">
        <v>301</v>
      </c>
      <c r="E8" s="4" t="s">
        <v>301</v>
      </c>
      <c r="F8" t="s">
        <v>39</v>
      </c>
      <c r="G8" t="s">
        <v>301</v>
      </c>
      <c r="I8" t="s">
        <v>298</v>
      </c>
      <c r="J8" t="s">
        <v>299</v>
      </c>
      <c r="K8" s="4" t="s">
        <v>304</v>
      </c>
      <c r="L8" t="str">
        <f t="shared" si="0"/>
        <v>"Augusta County School Board"</v>
      </c>
      <c r="M8" t="s">
        <v>302</v>
      </c>
      <c r="N8" t="s">
        <v>303</v>
      </c>
      <c r="O8" s="4" t="s">
        <v>300</v>
      </c>
      <c r="P8" t="str">
        <f t="shared" si="1"/>
        <v>"40107"</v>
      </c>
    </row>
    <row r="9" spans="1:16" x14ac:dyDescent="0.2">
      <c r="A9" t="s">
        <v>301</v>
      </c>
      <c r="B9" s="5" t="s">
        <v>8</v>
      </c>
      <c r="C9" t="s">
        <v>301</v>
      </c>
      <c r="E9" s="4" t="s">
        <v>301</v>
      </c>
      <c r="F9" t="s">
        <v>40</v>
      </c>
      <c r="G9" t="s">
        <v>301</v>
      </c>
      <c r="I9" t="s">
        <v>298</v>
      </c>
      <c r="J9" t="s">
        <v>299</v>
      </c>
      <c r="K9" s="4" t="s">
        <v>304</v>
      </c>
      <c r="L9" t="str">
        <f t="shared" si="0"/>
        <v>"Bath County School Board"</v>
      </c>
      <c r="M9" t="s">
        <v>302</v>
      </c>
      <c r="N9" t="s">
        <v>303</v>
      </c>
      <c r="O9" s="4" t="s">
        <v>300</v>
      </c>
      <c r="P9" t="str">
        <f t="shared" si="1"/>
        <v>"40108"</v>
      </c>
    </row>
    <row r="10" spans="1:16" x14ac:dyDescent="0.2">
      <c r="A10" t="s">
        <v>301</v>
      </c>
      <c r="B10" s="5" t="s">
        <v>9</v>
      </c>
      <c r="C10" t="s">
        <v>301</v>
      </c>
      <c r="E10" s="4" t="s">
        <v>301</v>
      </c>
      <c r="F10" t="s">
        <v>41</v>
      </c>
      <c r="G10" t="s">
        <v>301</v>
      </c>
      <c r="I10" t="s">
        <v>298</v>
      </c>
      <c r="J10" t="s">
        <v>299</v>
      </c>
      <c r="K10" s="4" t="s">
        <v>304</v>
      </c>
      <c r="L10" t="str">
        <f t="shared" si="0"/>
        <v>"Bedford County School Board"</v>
      </c>
      <c r="M10" t="s">
        <v>302</v>
      </c>
      <c r="N10" t="s">
        <v>303</v>
      </c>
      <c r="O10" s="4" t="s">
        <v>300</v>
      </c>
      <c r="P10" t="str">
        <f t="shared" si="1"/>
        <v>"40109"</v>
      </c>
    </row>
    <row r="11" spans="1:16" x14ac:dyDescent="0.2">
      <c r="A11" t="s">
        <v>301</v>
      </c>
      <c r="B11" s="5" t="s">
        <v>10</v>
      </c>
      <c r="C11" t="s">
        <v>301</v>
      </c>
      <c r="E11" s="4" t="s">
        <v>301</v>
      </c>
      <c r="F11" t="s">
        <v>42</v>
      </c>
      <c r="G11" t="s">
        <v>301</v>
      </c>
      <c r="I11" t="s">
        <v>298</v>
      </c>
      <c r="J11" t="s">
        <v>299</v>
      </c>
      <c r="K11" s="4" t="s">
        <v>304</v>
      </c>
      <c r="L11" t="str">
        <f t="shared" si="0"/>
        <v>"Bland County School Board"</v>
      </c>
      <c r="M11" t="s">
        <v>302</v>
      </c>
      <c r="N11" t="s">
        <v>303</v>
      </c>
      <c r="O11" s="4" t="s">
        <v>300</v>
      </c>
      <c r="P11" t="str">
        <f t="shared" si="1"/>
        <v>"40110"</v>
      </c>
    </row>
    <row r="12" spans="1:16" x14ac:dyDescent="0.2">
      <c r="A12" t="s">
        <v>301</v>
      </c>
      <c r="B12" s="5" t="s">
        <v>11</v>
      </c>
      <c r="C12" t="s">
        <v>301</v>
      </c>
      <c r="E12" s="4" t="s">
        <v>301</v>
      </c>
      <c r="F12" t="s">
        <v>43</v>
      </c>
      <c r="G12" t="s">
        <v>301</v>
      </c>
      <c r="I12" t="s">
        <v>298</v>
      </c>
      <c r="J12" t="s">
        <v>299</v>
      </c>
      <c r="K12" s="4" t="s">
        <v>304</v>
      </c>
      <c r="L12" t="str">
        <f t="shared" si="0"/>
        <v>"Botetourt County Schools"</v>
      </c>
      <c r="M12" t="s">
        <v>302</v>
      </c>
      <c r="N12" t="s">
        <v>303</v>
      </c>
      <c r="O12" s="4" t="s">
        <v>300</v>
      </c>
      <c r="P12" t="str">
        <f t="shared" si="1"/>
        <v>"40111"</v>
      </c>
    </row>
    <row r="13" spans="1:16" x14ac:dyDescent="0.2">
      <c r="A13" t="s">
        <v>301</v>
      </c>
      <c r="B13" s="5" t="s">
        <v>12</v>
      </c>
      <c r="C13" t="s">
        <v>301</v>
      </c>
      <c r="E13" s="4" t="s">
        <v>301</v>
      </c>
      <c r="F13" t="s">
        <v>44</v>
      </c>
      <c r="G13" t="s">
        <v>301</v>
      </c>
      <c r="I13" t="s">
        <v>298</v>
      </c>
      <c r="J13" t="s">
        <v>299</v>
      </c>
      <c r="K13" s="4" t="s">
        <v>304</v>
      </c>
      <c r="L13" t="str">
        <f t="shared" si="0"/>
        <v>"Brunswick County Public Schools"</v>
      </c>
      <c r="M13" t="s">
        <v>302</v>
      </c>
      <c r="N13" t="s">
        <v>303</v>
      </c>
      <c r="O13" s="4" t="s">
        <v>300</v>
      </c>
      <c r="P13" t="str">
        <f t="shared" si="1"/>
        <v>"40112"</v>
      </c>
    </row>
    <row r="14" spans="1:16" x14ac:dyDescent="0.2">
      <c r="A14" t="s">
        <v>301</v>
      </c>
      <c r="B14" s="5" t="s">
        <v>13</v>
      </c>
      <c r="C14" t="s">
        <v>301</v>
      </c>
      <c r="E14" s="4" t="s">
        <v>301</v>
      </c>
      <c r="F14" t="s">
        <v>45</v>
      </c>
      <c r="G14" t="s">
        <v>301</v>
      </c>
      <c r="I14" t="s">
        <v>298</v>
      </c>
      <c r="J14" t="s">
        <v>299</v>
      </c>
      <c r="K14" s="4" t="s">
        <v>304</v>
      </c>
      <c r="L14" t="str">
        <f t="shared" si="0"/>
        <v>"Buchanan County School Board"</v>
      </c>
      <c r="M14" t="s">
        <v>302</v>
      </c>
      <c r="N14" t="s">
        <v>303</v>
      </c>
      <c r="O14" s="4" t="s">
        <v>300</v>
      </c>
      <c r="P14" t="str">
        <f t="shared" si="1"/>
        <v>"40113"</v>
      </c>
    </row>
    <row r="15" spans="1:16" x14ac:dyDescent="0.2">
      <c r="A15" t="s">
        <v>301</v>
      </c>
      <c r="B15" s="5" t="s">
        <v>14</v>
      </c>
      <c r="C15" t="s">
        <v>301</v>
      </c>
      <c r="E15" s="4" t="s">
        <v>301</v>
      </c>
      <c r="F15" t="s">
        <v>46</v>
      </c>
      <c r="G15" t="s">
        <v>301</v>
      </c>
      <c r="I15" t="s">
        <v>298</v>
      </c>
      <c r="J15" t="s">
        <v>299</v>
      </c>
      <c r="K15" s="4" t="s">
        <v>304</v>
      </c>
      <c r="L15" t="str">
        <f t="shared" si="0"/>
        <v>"Buckingham County School Board"</v>
      </c>
      <c r="M15" t="s">
        <v>302</v>
      </c>
      <c r="N15" t="s">
        <v>303</v>
      </c>
      <c r="O15" s="4" t="s">
        <v>300</v>
      </c>
      <c r="P15" t="str">
        <f t="shared" si="1"/>
        <v>"40114"</v>
      </c>
    </row>
    <row r="16" spans="1:16" x14ac:dyDescent="0.2">
      <c r="A16" t="s">
        <v>301</v>
      </c>
      <c r="B16" s="5" t="s">
        <v>15</v>
      </c>
      <c r="C16" t="s">
        <v>301</v>
      </c>
      <c r="E16" s="4" t="s">
        <v>301</v>
      </c>
      <c r="F16" t="s">
        <v>47</v>
      </c>
      <c r="G16" t="s">
        <v>301</v>
      </c>
      <c r="I16" t="s">
        <v>298</v>
      </c>
      <c r="J16" t="s">
        <v>299</v>
      </c>
      <c r="K16" s="4" t="s">
        <v>304</v>
      </c>
      <c r="L16" t="str">
        <f t="shared" si="0"/>
        <v>"Campbell County School Board"</v>
      </c>
      <c r="M16" t="s">
        <v>302</v>
      </c>
      <c r="N16" t="s">
        <v>303</v>
      </c>
      <c r="O16" s="4" t="s">
        <v>300</v>
      </c>
      <c r="P16" t="str">
        <f t="shared" si="1"/>
        <v>"40115"</v>
      </c>
    </row>
    <row r="17" spans="1:16" x14ac:dyDescent="0.2">
      <c r="A17" t="s">
        <v>301</v>
      </c>
      <c r="B17" s="5" t="s">
        <v>16</v>
      </c>
      <c r="C17" t="s">
        <v>301</v>
      </c>
      <c r="E17" s="4" t="s">
        <v>301</v>
      </c>
      <c r="F17" t="s">
        <v>48</v>
      </c>
      <c r="G17" t="s">
        <v>301</v>
      </c>
      <c r="I17" t="s">
        <v>298</v>
      </c>
      <c r="J17" t="s">
        <v>299</v>
      </c>
      <c r="K17" s="4" t="s">
        <v>304</v>
      </c>
      <c r="L17" t="str">
        <f t="shared" si="0"/>
        <v>"Caroline County School Board"</v>
      </c>
      <c r="M17" t="s">
        <v>302</v>
      </c>
      <c r="N17" t="s">
        <v>303</v>
      </c>
      <c r="O17" s="4" t="s">
        <v>300</v>
      </c>
      <c r="P17" t="str">
        <f t="shared" si="1"/>
        <v>"40116"</v>
      </c>
    </row>
    <row r="18" spans="1:16" x14ac:dyDescent="0.2">
      <c r="A18" t="s">
        <v>301</v>
      </c>
      <c r="B18" s="5" t="s">
        <v>17</v>
      </c>
      <c r="C18" t="s">
        <v>301</v>
      </c>
      <c r="E18" s="4" t="s">
        <v>301</v>
      </c>
      <c r="F18" t="s">
        <v>49</v>
      </c>
      <c r="G18" t="s">
        <v>301</v>
      </c>
      <c r="I18" t="s">
        <v>298</v>
      </c>
      <c r="J18" t="s">
        <v>299</v>
      </c>
      <c r="K18" s="4" t="s">
        <v>304</v>
      </c>
      <c r="L18" t="str">
        <f t="shared" si="0"/>
        <v>"Carroll County School Board"</v>
      </c>
      <c r="M18" t="s">
        <v>302</v>
      </c>
      <c r="N18" t="s">
        <v>303</v>
      </c>
      <c r="O18" s="4" t="s">
        <v>300</v>
      </c>
      <c r="P18" t="str">
        <f t="shared" si="1"/>
        <v>"40117"</v>
      </c>
    </row>
    <row r="19" spans="1:16" x14ac:dyDescent="0.2">
      <c r="A19" t="s">
        <v>301</v>
      </c>
      <c r="B19" s="5" t="s">
        <v>18</v>
      </c>
      <c r="C19" t="s">
        <v>301</v>
      </c>
      <c r="E19" s="4" t="s">
        <v>301</v>
      </c>
      <c r="F19" t="s">
        <v>50</v>
      </c>
      <c r="G19" t="s">
        <v>301</v>
      </c>
      <c r="I19" t="s">
        <v>298</v>
      </c>
      <c r="J19" t="s">
        <v>299</v>
      </c>
      <c r="K19" s="4" t="s">
        <v>304</v>
      </c>
      <c r="L19" t="str">
        <f t="shared" si="0"/>
        <v>"Charles City County School Board"</v>
      </c>
      <c r="M19" t="s">
        <v>302</v>
      </c>
      <c r="N19" t="s">
        <v>303</v>
      </c>
      <c r="O19" s="4" t="s">
        <v>300</v>
      </c>
      <c r="P19" t="str">
        <f t="shared" si="1"/>
        <v>"40118"</v>
      </c>
    </row>
    <row r="20" spans="1:16" x14ac:dyDescent="0.2">
      <c r="A20" t="s">
        <v>301</v>
      </c>
      <c r="B20" s="5" t="s">
        <v>19</v>
      </c>
      <c r="C20" t="s">
        <v>301</v>
      </c>
      <c r="E20" s="4" t="s">
        <v>301</v>
      </c>
      <c r="F20" t="s">
        <v>51</v>
      </c>
      <c r="G20" t="s">
        <v>301</v>
      </c>
      <c r="I20" t="s">
        <v>298</v>
      </c>
      <c r="J20" t="s">
        <v>299</v>
      </c>
      <c r="K20" s="4" t="s">
        <v>304</v>
      </c>
      <c r="L20" t="str">
        <f t="shared" si="0"/>
        <v>"Charlotte County School Board"</v>
      </c>
      <c r="M20" t="s">
        <v>302</v>
      </c>
      <c r="N20" t="s">
        <v>303</v>
      </c>
      <c r="O20" s="4" t="s">
        <v>300</v>
      </c>
      <c r="P20" t="str">
        <f t="shared" si="1"/>
        <v>"40119"</v>
      </c>
    </row>
    <row r="21" spans="1:16" x14ac:dyDescent="0.2">
      <c r="A21" t="s">
        <v>301</v>
      </c>
      <c r="B21" s="5" t="s">
        <v>20</v>
      </c>
      <c r="C21" t="s">
        <v>301</v>
      </c>
      <c r="E21" s="4" t="s">
        <v>301</v>
      </c>
      <c r="F21" t="s">
        <v>52</v>
      </c>
      <c r="G21" t="s">
        <v>301</v>
      </c>
      <c r="I21" t="s">
        <v>298</v>
      </c>
      <c r="J21" t="s">
        <v>299</v>
      </c>
      <c r="K21" s="4" t="s">
        <v>304</v>
      </c>
      <c r="L21" t="str">
        <f t="shared" si="0"/>
        <v>"Chesterfield County School Board"</v>
      </c>
      <c r="M21" t="s">
        <v>302</v>
      </c>
      <c r="N21" t="s">
        <v>303</v>
      </c>
      <c r="O21" s="4" t="s">
        <v>300</v>
      </c>
      <c r="P21" t="str">
        <f t="shared" si="1"/>
        <v>"40120"</v>
      </c>
    </row>
    <row r="22" spans="1:16" x14ac:dyDescent="0.2">
      <c r="A22" t="s">
        <v>301</v>
      </c>
      <c r="B22" s="5" t="s">
        <v>21</v>
      </c>
      <c r="C22" t="s">
        <v>301</v>
      </c>
      <c r="E22" s="4" t="s">
        <v>301</v>
      </c>
      <c r="F22" t="s">
        <v>53</v>
      </c>
      <c r="G22" t="s">
        <v>301</v>
      </c>
      <c r="I22" t="s">
        <v>298</v>
      </c>
      <c r="J22" t="s">
        <v>299</v>
      </c>
      <c r="K22" s="4" t="s">
        <v>304</v>
      </c>
      <c r="L22" t="str">
        <f t="shared" si="0"/>
        <v>"Clarke County School Board"</v>
      </c>
      <c r="M22" t="s">
        <v>302</v>
      </c>
      <c r="N22" t="s">
        <v>303</v>
      </c>
      <c r="O22" s="4" t="s">
        <v>300</v>
      </c>
      <c r="P22" t="str">
        <f t="shared" si="1"/>
        <v>"40121"</v>
      </c>
    </row>
    <row r="23" spans="1:16" x14ac:dyDescent="0.2">
      <c r="A23" t="s">
        <v>301</v>
      </c>
      <c r="B23" s="5" t="s">
        <v>22</v>
      </c>
      <c r="C23" t="s">
        <v>301</v>
      </c>
      <c r="E23" s="4" t="s">
        <v>301</v>
      </c>
      <c r="F23" t="s">
        <v>54</v>
      </c>
      <c r="G23" t="s">
        <v>301</v>
      </c>
      <c r="I23" t="s">
        <v>298</v>
      </c>
      <c r="J23" t="s">
        <v>299</v>
      </c>
      <c r="K23" s="4" t="s">
        <v>304</v>
      </c>
      <c r="L23" t="str">
        <f t="shared" si="0"/>
        <v>"Craig County School Board"</v>
      </c>
      <c r="M23" t="s">
        <v>302</v>
      </c>
      <c r="N23" t="s">
        <v>303</v>
      </c>
      <c r="O23" s="4" t="s">
        <v>300</v>
      </c>
      <c r="P23" t="str">
        <f t="shared" si="1"/>
        <v>"40122"</v>
      </c>
    </row>
    <row r="24" spans="1:16" x14ac:dyDescent="0.2">
      <c r="A24" t="s">
        <v>301</v>
      </c>
      <c r="B24" s="5" t="s">
        <v>23</v>
      </c>
      <c r="C24" t="s">
        <v>301</v>
      </c>
      <c r="E24" s="4" t="s">
        <v>301</v>
      </c>
      <c r="F24" t="s">
        <v>55</v>
      </c>
      <c r="G24" t="s">
        <v>301</v>
      </c>
      <c r="I24" t="s">
        <v>298</v>
      </c>
      <c r="J24" t="s">
        <v>299</v>
      </c>
      <c r="K24" s="4" t="s">
        <v>304</v>
      </c>
      <c r="L24" t="str">
        <f t="shared" si="0"/>
        <v>"Culpeper County School Board"</v>
      </c>
      <c r="M24" t="s">
        <v>302</v>
      </c>
      <c r="N24" t="s">
        <v>303</v>
      </c>
      <c r="O24" s="4" t="s">
        <v>300</v>
      </c>
      <c r="P24" t="str">
        <f t="shared" si="1"/>
        <v>"40123"</v>
      </c>
    </row>
    <row r="25" spans="1:16" x14ac:dyDescent="0.2">
      <c r="A25" t="s">
        <v>301</v>
      </c>
      <c r="B25" s="5" t="s">
        <v>24</v>
      </c>
      <c r="C25" t="s">
        <v>301</v>
      </c>
      <c r="E25" s="4" t="s">
        <v>301</v>
      </c>
      <c r="F25" t="s">
        <v>56</v>
      </c>
      <c r="G25" t="s">
        <v>301</v>
      </c>
      <c r="I25" t="s">
        <v>298</v>
      </c>
      <c r="J25" t="s">
        <v>299</v>
      </c>
      <c r="K25" s="4" t="s">
        <v>304</v>
      </c>
      <c r="L25" t="str">
        <f t="shared" si="0"/>
        <v>"Cumberland County School Board"</v>
      </c>
      <c r="M25" t="s">
        <v>302</v>
      </c>
      <c r="N25" t="s">
        <v>303</v>
      </c>
      <c r="O25" s="4" t="s">
        <v>300</v>
      </c>
      <c r="P25" t="str">
        <f t="shared" si="1"/>
        <v>"40124"</v>
      </c>
    </row>
    <row r="26" spans="1:16" x14ac:dyDescent="0.2">
      <c r="A26" t="s">
        <v>301</v>
      </c>
      <c r="B26" s="5" t="s">
        <v>25</v>
      </c>
      <c r="C26" t="s">
        <v>301</v>
      </c>
      <c r="E26" s="4" t="s">
        <v>301</v>
      </c>
      <c r="F26" t="s">
        <v>57</v>
      </c>
      <c r="G26" t="s">
        <v>301</v>
      </c>
      <c r="I26" t="s">
        <v>298</v>
      </c>
      <c r="J26" t="s">
        <v>299</v>
      </c>
      <c r="K26" s="4" t="s">
        <v>304</v>
      </c>
      <c r="L26" t="str">
        <f t="shared" si="0"/>
        <v>"Dickenson County School Board"</v>
      </c>
      <c r="M26" t="s">
        <v>302</v>
      </c>
      <c r="N26" t="s">
        <v>303</v>
      </c>
      <c r="O26" s="4" t="s">
        <v>300</v>
      </c>
      <c r="P26" t="str">
        <f t="shared" si="1"/>
        <v>"40125"</v>
      </c>
    </row>
    <row r="27" spans="1:16" x14ac:dyDescent="0.2">
      <c r="A27" t="s">
        <v>301</v>
      </c>
      <c r="B27" s="5" t="s">
        <v>26</v>
      </c>
      <c r="C27" t="s">
        <v>301</v>
      </c>
      <c r="E27" s="4" t="s">
        <v>301</v>
      </c>
      <c r="F27" t="s">
        <v>58</v>
      </c>
      <c r="G27" t="s">
        <v>301</v>
      </c>
      <c r="I27" t="s">
        <v>298</v>
      </c>
      <c r="J27" t="s">
        <v>299</v>
      </c>
      <c r="K27" s="4" t="s">
        <v>304</v>
      </c>
      <c r="L27" t="str">
        <f t="shared" si="0"/>
        <v>"Dinwiddie County School Board"</v>
      </c>
      <c r="M27" t="s">
        <v>302</v>
      </c>
      <c r="N27" t="s">
        <v>303</v>
      </c>
      <c r="O27" s="4" t="s">
        <v>300</v>
      </c>
      <c r="P27" t="str">
        <f t="shared" si="1"/>
        <v>"40126"</v>
      </c>
    </row>
    <row r="28" spans="1:16" x14ac:dyDescent="0.2">
      <c r="A28" t="s">
        <v>301</v>
      </c>
      <c r="B28" s="5" t="s">
        <v>27</v>
      </c>
      <c r="C28" t="s">
        <v>301</v>
      </c>
      <c r="E28" s="4" t="s">
        <v>301</v>
      </c>
      <c r="F28" t="s">
        <v>59</v>
      </c>
      <c r="G28" t="s">
        <v>301</v>
      </c>
      <c r="I28" t="s">
        <v>298</v>
      </c>
      <c r="J28" t="s">
        <v>299</v>
      </c>
      <c r="K28" s="4" t="s">
        <v>304</v>
      </c>
      <c r="L28" t="str">
        <f t="shared" si="0"/>
        <v>"Essex County Public Schools"</v>
      </c>
      <c r="M28" t="s">
        <v>302</v>
      </c>
      <c r="N28" t="s">
        <v>303</v>
      </c>
      <c r="O28" s="4" t="s">
        <v>300</v>
      </c>
      <c r="P28" t="str">
        <f t="shared" si="1"/>
        <v>"40128"</v>
      </c>
    </row>
    <row r="29" spans="1:16" x14ac:dyDescent="0.2">
      <c r="A29" t="s">
        <v>301</v>
      </c>
      <c r="B29" s="5" t="s">
        <v>28</v>
      </c>
      <c r="C29" t="s">
        <v>301</v>
      </c>
      <c r="E29" s="4" t="s">
        <v>301</v>
      </c>
      <c r="F29" t="s">
        <v>60</v>
      </c>
      <c r="G29" t="s">
        <v>301</v>
      </c>
      <c r="I29" t="s">
        <v>298</v>
      </c>
      <c r="J29" t="s">
        <v>299</v>
      </c>
      <c r="K29" s="4" t="s">
        <v>304</v>
      </c>
      <c r="L29" t="str">
        <f t="shared" si="0"/>
        <v>"Fairfax County School Board"</v>
      </c>
      <c r="M29" t="s">
        <v>302</v>
      </c>
      <c r="N29" t="s">
        <v>303</v>
      </c>
      <c r="O29" s="4" t="s">
        <v>300</v>
      </c>
      <c r="P29" t="str">
        <f t="shared" si="1"/>
        <v>"40129"</v>
      </c>
    </row>
    <row r="30" spans="1:16" x14ac:dyDescent="0.2">
      <c r="A30" t="s">
        <v>301</v>
      </c>
      <c r="B30" s="5" t="s">
        <v>29</v>
      </c>
      <c r="C30" t="s">
        <v>301</v>
      </c>
      <c r="E30" s="4" t="s">
        <v>301</v>
      </c>
      <c r="F30" t="s">
        <v>61</v>
      </c>
      <c r="G30" t="s">
        <v>301</v>
      </c>
      <c r="I30" t="s">
        <v>298</v>
      </c>
      <c r="J30" t="s">
        <v>299</v>
      </c>
      <c r="K30" s="4" t="s">
        <v>304</v>
      </c>
      <c r="L30" t="str">
        <f t="shared" si="0"/>
        <v>"Fauquier County School Board"</v>
      </c>
      <c r="M30" t="s">
        <v>302</v>
      </c>
      <c r="N30" t="s">
        <v>303</v>
      </c>
      <c r="O30" s="4" t="s">
        <v>300</v>
      </c>
      <c r="P30" t="str">
        <f t="shared" si="1"/>
        <v>"40130"</v>
      </c>
    </row>
    <row r="31" spans="1:16" x14ac:dyDescent="0.2">
      <c r="A31" t="s">
        <v>301</v>
      </c>
      <c r="B31" s="5" t="s">
        <v>30</v>
      </c>
      <c r="C31" t="s">
        <v>301</v>
      </c>
      <c r="E31" s="4" t="s">
        <v>301</v>
      </c>
      <c r="F31" t="s">
        <v>62</v>
      </c>
      <c r="G31" t="s">
        <v>301</v>
      </c>
      <c r="I31" t="s">
        <v>298</v>
      </c>
      <c r="J31" t="s">
        <v>299</v>
      </c>
      <c r="K31" s="4" t="s">
        <v>304</v>
      </c>
      <c r="L31" t="str">
        <f t="shared" si="0"/>
        <v>"Floyd County School Board"</v>
      </c>
      <c r="M31" t="s">
        <v>302</v>
      </c>
      <c r="N31" t="s">
        <v>303</v>
      </c>
      <c r="O31" s="4" t="s">
        <v>300</v>
      </c>
      <c r="P31" t="str">
        <f t="shared" si="1"/>
        <v>"40131"</v>
      </c>
    </row>
    <row r="32" spans="1:16" x14ac:dyDescent="0.2">
      <c r="A32" t="s">
        <v>301</v>
      </c>
      <c r="B32" s="5" t="s">
        <v>31</v>
      </c>
      <c r="C32" t="s">
        <v>301</v>
      </c>
      <c r="E32" s="4" t="s">
        <v>301</v>
      </c>
      <c r="F32" t="s">
        <v>63</v>
      </c>
      <c r="G32" t="s">
        <v>301</v>
      </c>
      <c r="I32" t="s">
        <v>298</v>
      </c>
      <c r="J32" t="s">
        <v>299</v>
      </c>
      <c r="K32" s="4" t="s">
        <v>304</v>
      </c>
      <c r="L32" t="str">
        <f t="shared" si="0"/>
        <v>"Fluvanna County Public Schools"</v>
      </c>
      <c r="M32" t="s">
        <v>302</v>
      </c>
      <c r="N32" t="s">
        <v>303</v>
      </c>
      <c r="O32" s="4" t="s">
        <v>300</v>
      </c>
      <c r="P32" t="str">
        <f t="shared" si="1"/>
        <v>"40132"</v>
      </c>
    </row>
    <row r="33" spans="1:16" x14ac:dyDescent="0.2">
      <c r="A33" t="s">
        <v>301</v>
      </c>
      <c r="B33" s="5" t="s">
        <v>64</v>
      </c>
      <c r="C33" t="s">
        <v>301</v>
      </c>
      <c r="E33" s="4" t="s">
        <v>301</v>
      </c>
      <c r="F33" t="s">
        <v>97</v>
      </c>
      <c r="G33" t="s">
        <v>301</v>
      </c>
      <c r="I33" t="s">
        <v>298</v>
      </c>
      <c r="J33" t="s">
        <v>299</v>
      </c>
      <c r="K33" s="4" t="s">
        <v>304</v>
      </c>
      <c r="L33" t="str">
        <f t="shared" si="0"/>
        <v>"Franklin County Public Schools"</v>
      </c>
      <c r="M33" t="s">
        <v>302</v>
      </c>
      <c r="N33" t="s">
        <v>303</v>
      </c>
      <c r="O33" s="4" t="s">
        <v>300</v>
      </c>
      <c r="P33" t="str">
        <f t="shared" si="1"/>
        <v>"40133"</v>
      </c>
    </row>
    <row r="34" spans="1:16" x14ac:dyDescent="0.2">
      <c r="A34" t="s">
        <v>301</v>
      </c>
      <c r="B34" s="5" t="s">
        <v>65</v>
      </c>
      <c r="C34" t="s">
        <v>301</v>
      </c>
      <c r="E34" s="4" t="s">
        <v>301</v>
      </c>
      <c r="F34" t="s">
        <v>98</v>
      </c>
      <c r="G34" t="s">
        <v>301</v>
      </c>
      <c r="I34" t="s">
        <v>298</v>
      </c>
      <c r="J34" t="s">
        <v>299</v>
      </c>
      <c r="K34" s="4" t="s">
        <v>304</v>
      </c>
      <c r="L34" t="str">
        <f t="shared" si="0"/>
        <v>"Frederick County School Board"</v>
      </c>
      <c r="M34" t="s">
        <v>302</v>
      </c>
      <c r="N34" t="s">
        <v>303</v>
      </c>
      <c r="O34" s="4" t="s">
        <v>300</v>
      </c>
      <c r="P34" t="str">
        <f t="shared" si="1"/>
        <v>"40134"</v>
      </c>
    </row>
    <row r="35" spans="1:16" x14ac:dyDescent="0.2">
      <c r="A35" t="s">
        <v>301</v>
      </c>
      <c r="B35" s="5" t="s">
        <v>66</v>
      </c>
      <c r="C35" t="s">
        <v>301</v>
      </c>
      <c r="E35" s="4" t="s">
        <v>301</v>
      </c>
      <c r="F35" t="s">
        <v>99</v>
      </c>
      <c r="G35" t="s">
        <v>301</v>
      </c>
      <c r="I35" t="s">
        <v>298</v>
      </c>
      <c r="J35" t="s">
        <v>299</v>
      </c>
      <c r="K35" s="4" t="s">
        <v>304</v>
      </c>
      <c r="L35" t="str">
        <f t="shared" si="0"/>
        <v>"Giles County Schools"</v>
      </c>
      <c r="M35" t="s">
        <v>302</v>
      </c>
      <c r="N35" t="s">
        <v>303</v>
      </c>
      <c r="O35" s="4" t="s">
        <v>300</v>
      </c>
      <c r="P35" t="str">
        <f t="shared" si="1"/>
        <v>"40135"</v>
      </c>
    </row>
    <row r="36" spans="1:16" x14ac:dyDescent="0.2">
      <c r="A36" t="s">
        <v>301</v>
      </c>
      <c r="B36" s="5" t="s">
        <v>67</v>
      </c>
      <c r="C36" t="s">
        <v>301</v>
      </c>
      <c r="E36" s="4" t="s">
        <v>301</v>
      </c>
      <c r="F36" t="s">
        <v>100</v>
      </c>
      <c r="G36" t="s">
        <v>301</v>
      </c>
      <c r="I36" t="s">
        <v>298</v>
      </c>
      <c r="J36" t="s">
        <v>299</v>
      </c>
      <c r="K36" s="4" t="s">
        <v>304</v>
      </c>
      <c r="L36" t="str">
        <f t="shared" si="0"/>
        <v>"Gloucester County School Board"</v>
      </c>
      <c r="M36" t="s">
        <v>302</v>
      </c>
      <c r="N36" t="s">
        <v>303</v>
      </c>
      <c r="O36" s="4" t="s">
        <v>300</v>
      </c>
      <c r="P36" t="str">
        <f t="shared" si="1"/>
        <v>"40136"</v>
      </c>
    </row>
    <row r="37" spans="1:16" x14ac:dyDescent="0.2">
      <c r="A37" t="s">
        <v>301</v>
      </c>
      <c r="B37" s="5" t="s">
        <v>68</v>
      </c>
      <c r="C37" t="s">
        <v>301</v>
      </c>
      <c r="E37" s="4" t="s">
        <v>301</v>
      </c>
      <c r="F37" t="s">
        <v>101</v>
      </c>
      <c r="G37" t="s">
        <v>301</v>
      </c>
      <c r="I37" t="s">
        <v>298</v>
      </c>
      <c r="J37" t="s">
        <v>299</v>
      </c>
      <c r="K37" s="4" t="s">
        <v>304</v>
      </c>
      <c r="L37" t="str">
        <f t="shared" si="0"/>
        <v>"Goochland County School Board"</v>
      </c>
      <c r="M37" t="s">
        <v>302</v>
      </c>
      <c r="N37" t="s">
        <v>303</v>
      </c>
      <c r="O37" s="4" t="s">
        <v>300</v>
      </c>
      <c r="P37" t="str">
        <f t="shared" si="1"/>
        <v>"40137"</v>
      </c>
    </row>
    <row r="38" spans="1:16" x14ac:dyDescent="0.2">
      <c r="A38" t="s">
        <v>301</v>
      </c>
      <c r="B38" s="5" t="s">
        <v>69</v>
      </c>
      <c r="C38" t="s">
        <v>301</v>
      </c>
      <c r="E38" s="4" t="s">
        <v>301</v>
      </c>
      <c r="F38" t="s">
        <v>102</v>
      </c>
      <c r="G38" t="s">
        <v>301</v>
      </c>
      <c r="I38" t="s">
        <v>298</v>
      </c>
      <c r="J38" t="s">
        <v>299</v>
      </c>
      <c r="K38" s="4" t="s">
        <v>304</v>
      </c>
      <c r="L38" t="str">
        <f t="shared" si="0"/>
        <v>"Grayson County School Board"</v>
      </c>
      <c r="M38" t="s">
        <v>302</v>
      </c>
      <c r="N38" t="s">
        <v>303</v>
      </c>
      <c r="O38" s="4" t="s">
        <v>300</v>
      </c>
      <c r="P38" t="str">
        <f t="shared" si="1"/>
        <v>"40138"</v>
      </c>
    </row>
    <row r="39" spans="1:16" x14ac:dyDescent="0.2">
      <c r="A39" t="s">
        <v>301</v>
      </c>
      <c r="B39" s="5" t="s">
        <v>70</v>
      </c>
      <c r="C39" t="s">
        <v>301</v>
      </c>
      <c r="E39" s="4" t="s">
        <v>301</v>
      </c>
      <c r="F39" t="s">
        <v>103</v>
      </c>
      <c r="G39" t="s">
        <v>301</v>
      </c>
      <c r="I39" t="s">
        <v>298</v>
      </c>
      <c r="J39" t="s">
        <v>299</v>
      </c>
      <c r="K39" s="4" t="s">
        <v>304</v>
      </c>
      <c r="L39" t="str">
        <f t="shared" si="0"/>
        <v>"Greene County Public Schools"</v>
      </c>
      <c r="M39" t="s">
        <v>302</v>
      </c>
      <c r="N39" t="s">
        <v>303</v>
      </c>
      <c r="O39" s="4" t="s">
        <v>300</v>
      </c>
      <c r="P39" t="str">
        <f t="shared" si="1"/>
        <v>"40139"</v>
      </c>
    </row>
    <row r="40" spans="1:16" x14ac:dyDescent="0.2">
      <c r="A40" t="s">
        <v>301</v>
      </c>
      <c r="B40" s="5" t="s">
        <v>71</v>
      </c>
      <c r="C40" t="s">
        <v>301</v>
      </c>
      <c r="E40" s="4" t="s">
        <v>301</v>
      </c>
      <c r="F40" t="s">
        <v>104</v>
      </c>
      <c r="G40" t="s">
        <v>301</v>
      </c>
      <c r="I40" t="s">
        <v>298</v>
      </c>
      <c r="J40" t="s">
        <v>299</v>
      </c>
      <c r="K40" s="4" t="s">
        <v>304</v>
      </c>
      <c r="L40" t="str">
        <f t="shared" si="0"/>
        <v>"Greensville County School Board"</v>
      </c>
      <c r="M40" t="s">
        <v>302</v>
      </c>
      <c r="N40" t="s">
        <v>303</v>
      </c>
      <c r="O40" s="4" t="s">
        <v>300</v>
      </c>
      <c r="P40" t="str">
        <f t="shared" si="1"/>
        <v>"40140"</v>
      </c>
    </row>
    <row r="41" spans="1:16" x14ac:dyDescent="0.2">
      <c r="A41" t="s">
        <v>301</v>
      </c>
      <c r="B41" s="5" t="s">
        <v>72</v>
      </c>
      <c r="C41" t="s">
        <v>301</v>
      </c>
      <c r="E41" s="4" t="s">
        <v>301</v>
      </c>
      <c r="F41" t="s">
        <v>105</v>
      </c>
      <c r="G41" t="s">
        <v>301</v>
      </c>
      <c r="I41" t="s">
        <v>298</v>
      </c>
      <c r="J41" t="s">
        <v>299</v>
      </c>
      <c r="K41" s="4" t="s">
        <v>304</v>
      </c>
      <c r="L41" t="str">
        <f t="shared" si="0"/>
        <v>"Halifax County School Board"</v>
      </c>
      <c r="M41" t="s">
        <v>302</v>
      </c>
      <c r="N41" t="s">
        <v>303</v>
      </c>
      <c r="O41" s="4" t="s">
        <v>300</v>
      </c>
      <c r="P41" t="str">
        <f t="shared" si="1"/>
        <v>"40141"</v>
      </c>
    </row>
    <row r="42" spans="1:16" x14ac:dyDescent="0.2">
      <c r="A42" t="s">
        <v>301</v>
      </c>
      <c r="B42" s="5" t="s">
        <v>73</v>
      </c>
      <c r="C42" t="s">
        <v>301</v>
      </c>
      <c r="E42" s="4" t="s">
        <v>301</v>
      </c>
      <c r="F42" t="s">
        <v>106</v>
      </c>
      <c r="G42" t="s">
        <v>301</v>
      </c>
      <c r="I42" t="s">
        <v>298</v>
      </c>
      <c r="J42" t="s">
        <v>299</v>
      </c>
      <c r="K42" s="4" t="s">
        <v>304</v>
      </c>
      <c r="L42" t="str">
        <f t="shared" si="0"/>
        <v>"Hanover County School Board"</v>
      </c>
      <c r="M42" t="s">
        <v>302</v>
      </c>
      <c r="N42" t="s">
        <v>303</v>
      </c>
      <c r="O42" s="4" t="s">
        <v>300</v>
      </c>
      <c r="P42" t="str">
        <f t="shared" si="1"/>
        <v>"40142"</v>
      </c>
    </row>
    <row r="43" spans="1:16" x14ac:dyDescent="0.2">
      <c r="A43" t="s">
        <v>301</v>
      </c>
      <c r="B43" s="5" t="s">
        <v>74</v>
      </c>
      <c r="C43" t="s">
        <v>301</v>
      </c>
      <c r="E43" s="4" t="s">
        <v>301</v>
      </c>
      <c r="F43" t="s">
        <v>107</v>
      </c>
      <c r="G43" t="s">
        <v>301</v>
      </c>
      <c r="I43" t="s">
        <v>298</v>
      </c>
      <c r="J43" t="s">
        <v>299</v>
      </c>
      <c r="K43" s="4" t="s">
        <v>304</v>
      </c>
      <c r="L43" t="str">
        <f t="shared" si="0"/>
        <v>"Henrico County School Board"</v>
      </c>
      <c r="M43" t="s">
        <v>302</v>
      </c>
      <c r="N43" t="s">
        <v>303</v>
      </c>
      <c r="O43" s="4" t="s">
        <v>300</v>
      </c>
      <c r="P43" t="str">
        <f t="shared" si="1"/>
        <v>"40143"</v>
      </c>
    </row>
    <row r="44" spans="1:16" x14ac:dyDescent="0.2">
      <c r="A44" t="s">
        <v>301</v>
      </c>
      <c r="B44" s="5" t="s">
        <v>75</v>
      </c>
      <c r="C44" t="s">
        <v>301</v>
      </c>
      <c r="E44" s="4" t="s">
        <v>301</v>
      </c>
      <c r="F44" t="s">
        <v>108</v>
      </c>
      <c r="G44" t="s">
        <v>301</v>
      </c>
      <c r="I44" t="s">
        <v>298</v>
      </c>
      <c r="J44" t="s">
        <v>299</v>
      </c>
      <c r="K44" s="4" t="s">
        <v>304</v>
      </c>
      <c r="L44" t="str">
        <f t="shared" si="0"/>
        <v>"Henry County Public Schools"</v>
      </c>
      <c r="M44" t="s">
        <v>302</v>
      </c>
      <c r="N44" t="s">
        <v>303</v>
      </c>
      <c r="O44" s="4" t="s">
        <v>300</v>
      </c>
      <c r="P44" t="str">
        <f t="shared" si="1"/>
        <v>"40144"</v>
      </c>
    </row>
    <row r="45" spans="1:16" x14ac:dyDescent="0.2">
      <c r="A45" t="s">
        <v>301</v>
      </c>
      <c r="B45" s="5" t="s">
        <v>76</v>
      </c>
      <c r="C45" t="s">
        <v>301</v>
      </c>
      <c r="E45" s="4" t="s">
        <v>301</v>
      </c>
      <c r="F45" t="s">
        <v>109</v>
      </c>
      <c r="G45" t="s">
        <v>301</v>
      </c>
      <c r="I45" t="s">
        <v>298</v>
      </c>
      <c r="J45" t="s">
        <v>299</v>
      </c>
      <c r="K45" s="4" t="s">
        <v>304</v>
      </c>
      <c r="L45" t="str">
        <f t="shared" si="0"/>
        <v>"Highland County Public Schools"</v>
      </c>
      <c r="M45" t="s">
        <v>302</v>
      </c>
      <c r="N45" t="s">
        <v>303</v>
      </c>
      <c r="O45" s="4" t="s">
        <v>300</v>
      </c>
      <c r="P45" t="str">
        <f t="shared" si="1"/>
        <v>"40145"</v>
      </c>
    </row>
    <row r="46" spans="1:16" x14ac:dyDescent="0.2">
      <c r="A46" t="s">
        <v>301</v>
      </c>
      <c r="B46" s="5" t="s">
        <v>77</v>
      </c>
      <c r="C46" t="s">
        <v>301</v>
      </c>
      <c r="E46" s="4" t="s">
        <v>301</v>
      </c>
      <c r="F46" t="s">
        <v>110</v>
      </c>
      <c r="G46" t="s">
        <v>301</v>
      </c>
      <c r="I46" t="s">
        <v>298</v>
      </c>
      <c r="J46" t="s">
        <v>299</v>
      </c>
      <c r="K46" s="4" t="s">
        <v>304</v>
      </c>
      <c r="L46" t="str">
        <f t="shared" si="0"/>
        <v>"Isle of Wight County Schools"</v>
      </c>
      <c r="M46" t="s">
        <v>302</v>
      </c>
      <c r="N46" t="s">
        <v>303</v>
      </c>
      <c r="O46" s="4" t="s">
        <v>300</v>
      </c>
      <c r="P46" t="str">
        <f t="shared" si="1"/>
        <v>"40146"</v>
      </c>
    </row>
    <row r="47" spans="1:16" x14ac:dyDescent="0.2">
      <c r="A47" t="s">
        <v>301</v>
      </c>
      <c r="B47" s="5" t="s">
        <v>78</v>
      </c>
      <c r="C47" t="s">
        <v>301</v>
      </c>
      <c r="E47" s="4" t="s">
        <v>301</v>
      </c>
      <c r="F47" t="s">
        <v>111</v>
      </c>
      <c r="G47" t="s">
        <v>301</v>
      </c>
      <c r="I47" t="s">
        <v>298</v>
      </c>
      <c r="J47" t="s">
        <v>299</v>
      </c>
      <c r="K47" s="4" t="s">
        <v>304</v>
      </c>
      <c r="L47" t="str">
        <f t="shared" si="0"/>
        <v>"King George County School Board"</v>
      </c>
      <c r="M47" t="s">
        <v>302</v>
      </c>
      <c r="N47" t="s">
        <v>303</v>
      </c>
      <c r="O47" s="4" t="s">
        <v>300</v>
      </c>
      <c r="P47" t="str">
        <f t="shared" si="1"/>
        <v>"40148"</v>
      </c>
    </row>
    <row r="48" spans="1:16" x14ac:dyDescent="0.2">
      <c r="A48" t="s">
        <v>301</v>
      </c>
      <c r="B48" s="5" t="s">
        <v>79</v>
      </c>
      <c r="C48" t="s">
        <v>301</v>
      </c>
      <c r="E48" s="4" t="s">
        <v>301</v>
      </c>
      <c r="F48" t="s">
        <v>112</v>
      </c>
      <c r="G48" t="s">
        <v>301</v>
      </c>
      <c r="I48" t="s">
        <v>298</v>
      </c>
      <c r="J48" t="s">
        <v>299</v>
      </c>
      <c r="K48" s="4" t="s">
        <v>304</v>
      </c>
      <c r="L48" t="str">
        <f t="shared" si="0"/>
        <v>"King &amp; Queen County School Board"</v>
      </c>
      <c r="M48" t="s">
        <v>302</v>
      </c>
      <c r="N48" t="s">
        <v>303</v>
      </c>
      <c r="O48" s="4" t="s">
        <v>300</v>
      </c>
      <c r="P48" t="str">
        <f t="shared" si="1"/>
        <v>"40149"</v>
      </c>
    </row>
    <row r="49" spans="1:16" x14ac:dyDescent="0.2">
      <c r="A49" t="s">
        <v>301</v>
      </c>
      <c r="B49" s="5" t="s">
        <v>80</v>
      </c>
      <c r="C49" t="s">
        <v>301</v>
      </c>
      <c r="E49" s="4" t="s">
        <v>301</v>
      </c>
      <c r="F49" t="s">
        <v>113</v>
      </c>
      <c r="G49" t="s">
        <v>301</v>
      </c>
      <c r="I49" t="s">
        <v>298</v>
      </c>
      <c r="J49" t="s">
        <v>299</v>
      </c>
      <c r="K49" s="4" t="s">
        <v>304</v>
      </c>
      <c r="L49" t="str">
        <f t="shared" si="0"/>
        <v>"King William County School Board"</v>
      </c>
      <c r="M49" t="s">
        <v>302</v>
      </c>
      <c r="N49" t="s">
        <v>303</v>
      </c>
      <c r="O49" s="4" t="s">
        <v>300</v>
      </c>
      <c r="P49" t="str">
        <f t="shared" si="1"/>
        <v>"40150"</v>
      </c>
    </row>
    <row r="50" spans="1:16" x14ac:dyDescent="0.2">
      <c r="A50" t="s">
        <v>301</v>
      </c>
      <c r="B50" s="5" t="s">
        <v>81</v>
      </c>
      <c r="C50" t="s">
        <v>301</v>
      </c>
      <c r="E50" s="4" t="s">
        <v>301</v>
      </c>
      <c r="F50" t="s">
        <v>114</v>
      </c>
      <c r="G50" t="s">
        <v>301</v>
      </c>
      <c r="I50" t="s">
        <v>298</v>
      </c>
      <c r="J50" t="s">
        <v>299</v>
      </c>
      <c r="K50" s="4" t="s">
        <v>304</v>
      </c>
      <c r="L50" t="str">
        <f t="shared" si="0"/>
        <v>"Lancaster County Public Schools"</v>
      </c>
      <c r="M50" t="s">
        <v>302</v>
      </c>
      <c r="N50" t="s">
        <v>303</v>
      </c>
      <c r="O50" s="4" t="s">
        <v>300</v>
      </c>
      <c r="P50" t="str">
        <f t="shared" si="1"/>
        <v>"40151"</v>
      </c>
    </row>
    <row r="51" spans="1:16" x14ac:dyDescent="0.2">
      <c r="A51" t="s">
        <v>301</v>
      </c>
      <c r="B51" s="5" t="s">
        <v>82</v>
      </c>
      <c r="C51" t="s">
        <v>301</v>
      </c>
      <c r="E51" s="4" t="s">
        <v>301</v>
      </c>
      <c r="F51" t="s">
        <v>115</v>
      </c>
      <c r="G51" t="s">
        <v>301</v>
      </c>
      <c r="I51" t="s">
        <v>298</v>
      </c>
      <c r="J51" t="s">
        <v>299</v>
      </c>
      <c r="K51" s="4" t="s">
        <v>304</v>
      </c>
      <c r="L51" t="str">
        <f t="shared" si="0"/>
        <v>"Lee County School Board"</v>
      </c>
      <c r="M51" t="s">
        <v>302</v>
      </c>
      <c r="N51" t="s">
        <v>303</v>
      </c>
      <c r="O51" s="4" t="s">
        <v>300</v>
      </c>
      <c r="P51" t="str">
        <f t="shared" si="1"/>
        <v>"40152"</v>
      </c>
    </row>
    <row r="52" spans="1:16" x14ac:dyDescent="0.2">
      <c r="A52" t="s">
        <v>301</v>
      </c>
      <c r="B52" s="5" t="s">
        <v>83</v>
      </c>
      <c r="C52" t="s">
        <v>301</v>
      </c>
      <c r="E52" s="4" t="s">
        <v>301</v>
      </c>
      <c r="F52" t="s">
        <v>116</v>
      </c>
      <c r="G52" t="s">
        <v>301</v>
      </c>
      <c r="I52" t="s">
        <v>298</v>
      </c>
      <c r="J52" t="s">
        <v>299</v>
      </c>
      <c r="K52" s="4" t="s">
        <v>304</v>
      </c>
      <c r="L52" t="str">
        <f t="shared" si="0"/>
        <v>"Loudoun County School Board"</v>
      </c>
      <c r="M52" t="s">
        <v>302</v>
      </c>
      <c r="N52" t="s">
        <v>303</v>
      </c>
      <c r="O52" s="4" t="s">
        <v>300</v>
      </c>
      <c r="P52" t="str">
        <f t="shared" si="1"/>
        <v>"40153"</v>
      </c>
    </row>
    <row r="53" spans="1:16" x14ac:dyDescent="0.2">
      <c r="A53" t="s">
        <v>301</v>
      </c>
      <c r="B53" s="5" t="s">
        <v>84</v>
      </c>
      <c r="C53" t="s">
        <v>301</v>
      </c>
      <c r="E53" s="4" t="s">
        <v>301</v>
      </c>
      <c r="F53" t="s">
        <v>117</v>
      </c>
      <c r="G53" t="s">
        <v>301</v>
      </c>
      <c r="I53" t="s">
        <v>298</v>
      </c>
      <c r="J53" t="s">
        <v>299</v>
      </c>
      <c r="K53" s="4" t="s">
        <v>304</v>
      </c>
      <c r="L53" t="str">
        <f t="shared" si="0"/>
        <v>"Louisa County Public Schools"</v>
      </c>
      <c r="M53" t="s">
        <v>302</v>
      </c>
      <c r="N53" t="s">
        <v>303</v>
      </c>
      <c r="O53" s="4" t="s">
        <v>300</v>
      </c>
      <c r="P53" t="str">
        <f t="shared" si="1"/>
        <v>"40154"</v>
      </c>
    </row>
    <row r="54" spans="1:16" x14ac:dyDescent="0.2">
      <c r="A54" t="s">
        <v>301</v>
      </c>
      <c r="B54" s="5" t="s">
        <v>85</v>
      </c>
      <c r="C54" t="s">
        <v>301</v>
      </c>
      <c r="E54" s="4" t="s">
        <v>301</v>
      </c>
      <c r="F54" t="s">
        <v>118</v>
      </c>
      <c r="G54" t="s">
        <v>301</v>
      </c>
      <c r="I54" t="s">
        <v>298</v>
      </c>
      <c r="J54" t="s">
        <v>299</v>
      </c>
      <c r="K54" s="4" t="s">
        <v>304</v>
      </c>
      <c r="L54" t="str">
        <f t="shared" si="0"/>
        <v>"Lunenburg County School Board"</v>
      </c>
      <c r="M54" t="s">
        <v>302</v>
      </c>
      <c r="N54" t="s">
        <v>303</v>
      </c>
      <c r="O54" s="4" t="s">
        <v>300</v>
      </c>
      <c r="P54" t="str">
        <f t="shared" si="1"/>
        <v>"40155"</v>
      </c>
    </row>
    <row r="55" spans="1:16" x14ac:dyDescent="0.2">
      <c r="A55" t="s">
        <v>301</v>
      </c>
      <c r="B55" s="5" t="s">
        <v>86</v>
      </c>
      <c r="C55" t="s">
        <v>301</v>
      </c>
      <c r="E55" s="4" t="s">
        <v>301</v>
      </c>
      <c r="F55" t="s">
        <v>119</v>
      </c>
      <c r="G55" t="s">
        <v>301</v>
      </c>
      <c r="I55" t="s">
        <v>298</v>
      </c>
      <c r="J55" t="s">
        <v>299</v>
      </c>
      <c r="K55" s="4" t="s">
        <v>304</v>
      </c>
      <c r="L55" t="str">
        <f t="shared" si="0"/>
        <v>"Madison County School Board"</v>
      </c>
      <c r="M55" t="s">
        <v>302</v>
      </c>
      <c r="N55" t="s">
        <v>303</v>
      </c>
      <c r="O55" s="4" t="s">
        <v>300</v>
      </c>
      <c r="P55" t="str">
        <f t="shared" si="1"/>
        <v>"40156"</v>
      </c>
    </row>
    <row r="56" spans="1:16" x14ac:dyDescent="0.2">
      <c r="A56" t="s">
        <v>301</v>
      </c>
      <c r="B56" s="5" t="s">
        <v>87</v>
      </c>
      <c r="C56" t="s">
        <v>301</v>
      </c>
      <c r="E56" s="4" t="s">
        <v>301</v>
      </c>
      <c r="F56" t="s">
        <v>120</v>
      </c>
      <c r="G56" t="s">
        <v>301</v>
      </c>
      <c r="I56" t="s">
        <v>298</v>
      </c>
      <c r="J56" t="s">
        <v>299</v>
      </c>
      <c r="K56" s="4" t="s">
        <v>304</v>
      </c>
      <c r="L56" t="str">
        <f t="shared" si="0"/>
        <v>"Mathews County School Board"</v>
      </c>
      <c r="M56" t="s">
        <v>302</v>
      </c>
      <c r="N56" t="s">
        <v>303</v>
      </c>
      <c r="O56" s="4" t="s">
        <v>300</v>
      </c>
      <c r="P56" t="str">
        <f t="shared" si="1"/>
        <v>"40157"</v>
      </c>
    </row>
    <row r="57" spans="1:16" x14ac:dyDescent="0.2">
      <c r="A57" t="s">
        <v>301</v>
      </c>
      <c r="B57" s="5" t="s">
        <v>88</v>
      </c>
      <c r="C57" t="s">
        <v>301</v>
      </c>
      <c r="E57" s="4" t="s">
        <v>301</v>
      </c>
      <c r="F57" t="s">
        <v>121</v>
      </c>
      <c r="G57" t="s">
        <v>301</v>
      </c>
      <c r="I57" t="s">
        <v>298</v>
      </c>
      <c r="J57" t="s">
        <v>299</v>
      </c>
      <c r="K57" s="4" t="s">
        <v>304</v>
      </c>
      <c r="L57" t="str">
        <f t="shared" si="0"/>
        <v>"Mecklenburg County School Board"</v>
      </c>
      <c r="M57" t="s">
        <v>302</v>
      </c>
      <c r="N57" t="s">
        <v>303</v>
      </c>
      <c r="O57" s="4" t="s">
        <v>300</v>
      </c>
      <c r="P57" t="str">
        <f t="shared" si="1"/>
        <v>"40158"</v>
      </c>
    </row>
    <row r="58" spans="1:16" x14ac:dyDescent="0.2">
      <c r="A58" t="s">
        <v>301</v>
      </c>
      <c r="B58" s="5" t="s">
        <v>89</v>
      </c>
      <c r="C58" t="s">
        <v>301</v>
      </c>
      <c r="E58" s="4" t="s">
        <v>301</v>
      </c>
      <c r="F58" t="s">
        <v>122</v>
      </c>
      <c r="G58" t="s">
        <v>301</v>
      </c>
      <c r="I58" t="s">
        <v>298</v>
      </c>
      <c r="J58" t="s">
        <v>299</v>
      </c>
      <c r="K58" s="4" t="s">
        <v>304</v>
      </c>
      <c r="L58" t="str">
        <f t="shared" si="0"/>
        <v>"Middlesex County School Board"</v>
      </c>
      <c r="M58" t="s">
        <v>302</v>
      </c>
      <c r="N58" t="s">
        <v>303</v>
      </c>
      <c r="O58" s="4" t="s">
        <v>300</v>
      </c>
      <c r="P58" t="str">
        <f t="shared" si="1"/>
        <v>"40159"</v>
      </c>
    </row>
    <row r="59" spans="1:16" x14ac:dyDescent="0.2">
      <c r="A59" t="s">
        <v>301</v>
      </c>
      <c r="B59" s="5" t="s">
        <v>90</v>
      </c>
      <c r="C59" t="s">
        <v>301</v>
      </c>
      <c r="E59" s="4" t="s">
        <v>301</v>
      </c>
      <c r="F59" t="s">
        <v>123</v>
      </c>
      <c r="G59" t="s">
        <v>301</v>
      </c>
      <c r="I59" t="s">
        <v>298</v>
      </c>
      <c r="J59" t="s">
        <v>299</v>
      </c>
      <c r="K59" s="4" t="s">
        <v>304</v>
      </c>
      <c r="L59" t="str">
        <f t="shared" si="0"/>
        <v>"Montgomery County School Board"</v>
      </c>
      <c r="M59" t="s">
        <v>302</v>
      </c>
      <c r="N59" t="s">
        <v>303</v>
      </c>
      <c r="O59" s="4" t="s">
        <v>300</v>
      </c>
      <c r="P59" t="str">
        <f t="shared" si="1"/>
        <v>"40160"</v>
      </c>
    </row>
    <row r="60" spans="1:16" x14ac:dyDescent="0.2">
      <c r="A60" t="s">
        <v>301</v>
      </c>
      <c r="B60" s="5" t="s">
        <v>91</v>
      </c>
      <c r="C60" t="s">
        <v>301</v>
      </c>
      <c r="E60" s="4" t="s">
        <v>301</v>
      </c>
      <c r="F60" t="s">
        <v>124</v>
      </c>
      <c r="G60" t="s">
        <v>301</v>
      </c>
      <c r="I60" t="s">
        <v>298</v>
      </c>
      <c r="J60" t="s">
        <v>299</v>
      </c>
      <c r="K60" s="4" t="s">
        <v>304</v>
      </c>
      <c r="L60" t="str">
        <f t="shared" si="0"/>
        <v>"Nelson County Public Schools"</v>
      </c>
      <c r="M60" t="s">
        <v>302</v>
      </c>
      <c r="N60" t="s">
        <v>303</v>
      </c>
      <c r="O60" s="4" t="s">
        <v>300</v>
      </c>
      <c r="P60" t="str">
        <f t="shared" si="1"/>
        <v>"40162"</v>
      </c>
    </row>
    <row r="61" spans="1:16" x14ac:dyDescent="0.2">
      <c r="A61" t="s">
        <v>301</v>
      </c>
      <c r="B61" s="5" t="s">
        <v>92</v>
      </c>
      <c r="C61" t="s">
        <v>301</v>
      </c>
      <c r="E61" s="4" t="s">
        <v>301</v>
      </c>
      <c r="F61" t="s">
        <v>125</v>
      </c>
      <c r="G61" t="s">
        <v>301</v>
      </c>
      <c r="I61" t="s">
        <v>298</v>
      </c>
      <c r="J61" t="s">
        <v>299</v>
      </c>
      <c r="K61" s="4" t="s">
        <v>304</v>
      </c>
      <c r="L61" t="str">
        <f t="shared" si="0"/>
        <v>"New Kent County School Board"</v>
      </c>
      <c r="M61" t="s">
        <v>302</v>
      </c>
      <c r="N61" t="s">
        <v>303</v>
      </c>
      <c r="O61" s="4" t="s">
        <v>300</v>
      </c>
      <c r="P61" t="str">
        <f t="shared" si="1"/>
        <v>"40163"</v>
      </c>
    </row>
    <row r="62" spans="1:16" x14ac:dyDescent="0.2">
      <c r="A62" t="s">
        <v>301</v>
      </c>
      <c r="B62" s="5" t="s">
        <v>93</v>
      </c>
      <c r="C62" t="s">
        <v>301</v>
      </c>
      <c r="E62" s="4" t="s">
        <v>301</v>
      </c>
      <c r="F62" t="s">
        <v>126</v>
      </c>
      <c r="G62" t="s">
        <v>301</v>
      </c>
      <c r="I62" t="s">
        <v>298</v>
      </c>
      <c r="J62" t="s">
        <v>299</v>
      </c>
      <c r="K62" s="4" t="s">
        <v>304</v>
      </c>
      <c r="L62" t="str">
        <f t="shared" si="0"/>
        <v>"Northampton County Schools"</v>
      </c>
      <c r="M62" t="s">
        <v>302</v>
      </c>
      <c r="N62" t="s">
        <v>303</v>
      </c>
      <c r="O62" s="4" t="s">
        <v>300</v>
      </c>
      <c r="P62" t="str">
        <f t="shared" si="1"/>
        <v>"40165"</v>
      </c>
    </row>
    <row r="63" spans="1:16" x14ac:dyDescent="0.2">
      <c r="A63" t="s">
        <v>301</v>
      </c>
      <c r="B63" s="5" t="s">
        <v>94</v>
      </c>
      <c r="C63" t="s">
        <v>301</v>
      </c>
      <c r="E63" s="4" t="s">
        <v>301</v>
      </c>
      <c r="F63" t="s">
        <v>127</v>
      </c>
      <c r="G63" t="s">
        <v>301</v>
      </c>
      <c r="I63" t="s">
        <v>298</v>
      </c>
      <c r="J63" t="s">
        <v>299</v>
      </c>
      <c r="K63" s="4" t="s">
        <v>304</v>
      </c>
      <c r="L63" t="str">
        <f t="shared" si="0"/>
        <v>"Northumberland County School Board"</v>
      </c>
      <c r="M63" t="s">
        <v>302</v>
      </c>
      <c r="N63" t="s">
        <v>303</v>
      </c>
      <c r="O63" s="4" t="s">
        <v>300</v>
      </c>
      <c r="P63" t="str">
        <f t="shared" si="1"/>
        <v>"40166"</v>
      </c>
    </row>
    <row r="64" spans="1:16" x14ac:dyDescent="0.2">
      <c r="A64" t="s">
        <v>301</v>
      </c>
      <c r="B64" s="5" t="s">
        <v>95</v>
      </c>
      <c r="C64" t="s">
        <v>301</v>
      </c>
      <c r="E64" s="4" t="s">
        <v>301</v>
      </c>
      <c r="F64" t="s">
        <v>128</v>
      </c>
      <c r="G64" t="s">
        <v>301</v>
      </c>
      <c r="I64" t="s">
        <v>298</v>
      </c>
      <c r="J64" t="s">
        <v>299</v>
      </c>
      <c r="K64" s="4" t="s">
        <v>304</v>
      </c>
      <c r="L64" t="str">
        <f t="shared" si="0"/>
        <v>"Nottoway County School Board"</v>
      </c>
      <c r="M64" t="s">
        <v>302</v>
      </c>
      <c r="N64" t="s">
        <v>303</v>
      </c>
      <c r="O64" s="4" t="s">
        <v>300</v>
      </c>
      <c r="P64" t="str">
        <f t="shared" si="1"/>
        <v>"40167"</v>
      </c>
    </row>
    <row r="65" spans="1:16" x14ac:dyDescent="0.2">
      <c r="A65" t="s">
        <v>301</v>
      </c>
      <c r="B65" s="5" t="s">
        <v>96</v>
      </c>
      <c r="C65" t="s">
        <v>301</v>
      </c>
      <c r="E65" s="4" t="s">
        <v>301</v>
      </c>
      <c r="F65" t="s">
        <v>129</v>
      </c>
      <c r="G65" t="s">
        <v>301</v>
      </c>
      <c r="I65" t="s">
        <v>298</v>
      </c>
      <c r="J65" t="s">
        <v>299</v>
      </c>
      <c r="K65" s="4" t="s">
        <v>304</v>
      </c>
      <c r="L65" t="str">
        <f t="shared" si="0"/>
        <v>"Orange County Public Schools"</v>
      </c>
      <c r="M65" t="s">
        <v>302</v>
      </c>
      <c r="N65" t="s">
        <v>303</v>
      </c>
      <c r="O65" s="4" t="s">
        <v>300</v>
      </c>
      <c r="P65" t="str">
        <f t="shared" si="1"/>
        <v>"40168"</v>
      </c>
    </row>
    <row r="66" spans="1:16" x14ac:dyDescent="0.2">
      <c r="A66" t="s">
        <v>301</v>
      </c>
      <c r="B66" s="5" t="s">
        <v>130</v>
      </c>
      <c r="C66" t="s">
        <v>301</v>
      </c>
      <c r="E66" s="4" t="s">
        <v>301</v>
      </c>
      <c r="F66" t="s">
        <v>163</v>
      </c>
      <c r="G66" t="s">
        <v>301</v>
      </c>
      <c r="I66" t="s">
        <v>298</v>
      </c>
      <c r="J66" t="s">
        <v>299</v>
      </c>
      <c r="K66" s="4" t="s">
        <v>304</v>
      </c>
      <c r="L66" t="str">
        <f t="shared" ref="L66:L129" si="2">_xlfn.TEXTJOIN("",TRUE,A66:C66)</f>
        <v>"Page County Public Schools"</v>
      </c>
      <c r="M66" t="s">
        <v>302</v>
      </c>
      <c r="N66" t="s">
        <v>303</v>
      </c>
      <c r="O66" s="4" t="s">
        <v>300</v>
      </c>
      <c r="P66" t="str">
        <f t="shared" ref="P66:P129" si="3">_xlfn.TEXTJOIN("",TRUE,E66:G66)</f>
        <v>"40169"</v>
      </c>
    </row>
    <row r="67" spans="1:16" x14ac:dyDescent="0.2">
      <c r="A67" t="s">
        <v>301</v>
      </c>
      <c r="B67" s="5" t="s">
        <v>131</v>
      </c>
      <c r="C67" t="s">
        <v>301</v>
      </c>
      <c r="E67" s="4" t="s">
        <v>301</v>
      </c>
      <c r="F67" t="s">
        <v>164</v>
      </c>
      <c r="G67" t="s">
        <v>301</v>
      </c>
      <c r="I67" t="s">
        <v>298</v>
      </c>
      <c r="J67" t="s">
        <v>299</v>
      </c>
      <c r="K67" s="4" t="s">
        <v>304</v>
      </c>
      <c r="L67" t="str">
        <f t="shared" si="2"/>
        <v>"Patrick County School Board"</v>
      </c>
      <c r="M67" t="s">
        <v>302</v>
      </c>
      <c r="N67" t="s">
        <v>303</v>
      </c>
      <c r="O67" s="4" t="s">
        <v>300</v>
      </c>
      <c r="P67" t="str">
        <f t="shared" si="3"/>
        <v>"40170"</v>
      </c>
    </row>
    <row r="68" spans="1:16" x14ac:dyDescent="0.2">
      <c r="A68" t="s">
        <v>301</v>
      </c>
      <c r="B68" s="5" t="s">
        <v>132</v>
      </c>
      <c r="C68" t="s">
        <v>301</v>
      </c>
      <c r="E68" s="4" t="s">
        <v>301</v>
      </c>
      <c r="F68" t="s">
        <v>165</v>
      </c>
      <c r="G68" t="s">
        <v>301</v>
      </c>
      <c r="I68" t="s">
        <v>298</v>
      </c>
      <c r="J68" t="s">
        <v>299</v>
      </c>
      <c r="K68" s="4" t="s">
        <v>304</v>
      </c>
      <c r="L68" t="str">
        <f t="shared" si="2"/>
        <v>"Pittsylvania County School Board"</v>
      </c>
      <c r="M68" t="s">
        <v>302</v>
      </c>
      <c r="N68" t="s">
        <v>303</v>
      </c>
      <c r="O68" s="4" t="s">
        <v>300</v>
      </c>
      <c r="P68" t="str">
        <f t="shared" si="3"/>
        <v>"40171"</v>
      </c>
    </row>
    <row r="69" spans="1:16" x14ac:dyDescent="0.2">
      <c r="A69" t="s">
        <v>301</v>
      </c>
      <c r="B69" s="5" t="s">
        <v>133</v>
      </c>
      <c r="C69" t="s">
        <v>301</v>
      </c>
      <c r="E69" s="4" t="s">
        <v>301</v>
      </c>
      <c r="F69" t="s">
        <v>166</v>
      </c>
      <c r="G69" t="s">
        <v>301</v>
      </c>
      <c r="I69" t="s">
        <v>298</v>
      </c>
      <c r="J69" t="s">
        <v>299</v>
      </c>
      <c r="K69" s="4" t="s">
        <v>304</v>
      </c>
      <c r="L69" t="str">
        <f t="shared" si="2"/>
        <v>"Powhatan County School Board"</v>
      </c>
      <c r="M69" t="s">
        <v>302</v>
      </c>
      <c r="N69" t="s">
        <v>303</v>
      </c>
      <c r="O69" s="4" t="s">
        <v>300</v>
      </c>
      <c r="P69" t="str">
        <f t="shared" si="3"/>
        <v>"40172"</v>
      </c>
    </row>
    <row r="70" spans="1:16" x14ac:dyDescent="0.2">
      <c r="A70" t="s">
        <v>301</v>
      </c>
      <c r="B70" s="5" t="s">
        <v>134</v>
      </c>
      <c r="C70" t="s">
        <v>301</v>
      </c>
      <c r="E70" s="4" t="s">
        <v>301</v>
      </c>
      <c r="F70" t="s">
        <v>167</v>
      </c>
      <c r="G70" t="s">
        <v>301</v>
      </c>
      <c r="I70" t="s">
        <v>298</v>
      </c>
      <c r="J70" t="s">
        <v>299</v>
      </c>
      <c r="K70" s="4" t="s">
        <v>304</v>
      </c>
      <c r="L70" t="str">
        <f t="shared" si="2"/>
        <v>"Prince Edward County School Board"</v>
      </c>
      <c r="M70" t="s">
        <v>302</v>
      </c>
      <c r="N70" t="s">
        <v>303</v>
      </c>
      <c r="O70" s="4" t="s">
        <v>300</v>
      </c>
      <c r="P70" t="str">
        <f t="shared" si="3"/>
        <v>"40173"</v>
      </c>
    </row>
    <row r="71" spans="1:16" x14ac:dyDescent="0.2">
      <c r="A71" t="s">
        <v>301</v>
      </c>
      <c r="B71" s="5" t="s">
        <v>135</v>
      </c>
      <c r="C71" t="s">
        <v>301</v>
      </c>
      <c r="E71" s="4" t="s">
        <v>301</v>
      </c>
      <c r="F71" t="s">
        <v>168</v>
      </c>
      <c r="G71" t="s">
        <v>301</v>
      </c>
      <c r="I71" t="s">
        <v>298</v>
      </c>
      <c r="J71" t="s">
        <v>299</v>
      </c>
      <c r="K71" s="4" t="s">
        <v>304</v>
      </c>
      <c r="L71" t="str">
        <f t="shared" si="2"/>
        <v>"Prince George County School Board"</v>
      </c>
      <c r="M71" t="s">
        <v>302</v>
      </c>
      <c r="N71" t="s">
        <v>303</v>
      </c>
      <c r="O71" s="4" t="s">
        <v>300</v>
      </c>
      <c r="P71" t="str">
        <f t="shared" si="3"/>
        <v>"40174"</v>
      </c>
    </row>
    <row r="72" spans="1:16" x14ac:dyDescent="0.2">
      <c r="A72" t="s">
        <v>301</v>
      </c>
      <c r="B72" s="5" t="s">
        <v>136</v>
      </c>
      <c r="C72" t="s">
        <v>301</v>
      </c>
      <c r="E72" s="4" t="s">
        <v>301</v>
      </c>
      <c r="F72" t="s">
        <v>169</v>
      </c>
      <c r="G72" t="s">
        <v>301</v>
      </c>
      <c r="I72" t="s">
        <v>298</v>
      </c>
      <c r="J72" t="s">
        <v>299</v>
      </c>
      <c r="K72" s="4" t="s">
        <v>304</v>
      </c>
      <c r="L72" t="str">
        <f t="shared" si="2"/>
        <v>"Prince William County School Board"</v>
      </c>
      <c r="M72" t="s">
        <v>302</v>
      </c>
      <c r="N72" t="s">
        <v>303</v>
      </c>
      <c r="O72" s="4" t="s">
        <v>300</v>
      </c>
      <c r="P72" t="str">
        <f t="shared" si="3"/>
        <v>"40176"</v>
      </c>
    </row>
    <row r="73" spans="1:16" x14ac:dyDescent="0.2">
      <c r="A73" t="s">
        <v>301</v>
      </c>
      <c r="B73" s="5" t="s">
        <v>137</v>
      </c>
      <c r="C73" t="s">
        <v>301</v>
      </c>
      <c r="E73" s="4" t="s">
        <v>301</v>
      </c>
      <c r="F73" t="s">
        <v>170</v>
      </c>
      <c r="G73" t="s">
        <v>301</v>
      </c>
      <c r="I73" t="s">
        <v>298</v>
      </c>
      <c r="J73" t="s">
        <v>299</v>
      </c>
      <c r="K73" s="4" t="s">
        <v>304</v>
      </c>
      <c r="L73" t="str">
        <f t="shared" si="2"/>
        <v>"Pulaski County School Board"</v>
      </c>
      <c r="M73" t="s">
        <v>302</v>
      </c>
      <c r="N73" t="s">
        <v>303</v>
      </c>
      <c r="O73" s="4" t="s">
        <v>300</v>
      </c>
      <c r="P73" t="str">
        <f t="shared" si="3"/>
        <v>"40177"</v>
      </c>
    </row>
    <row r="74" spans="1:16" x14ac:dyDescent="0.2">
      <c r="A74" t="s">
        <v>301</v>
      </c>
      <c r="B74" s="5" t="s">
        <v>138</v>
      </c>
      <c r="C74" t="s">
        <v>301</v>
      </c>
      <c r="E74" s="4" t="s">
        <v>301</v>
      </c>
      <c r="F74" t="s">
        <v>171</v>
      </c>
      <c r="G74" t="s">
        <v>301</v>
      </c>
      <c r="I74" t="s">
        <v>298</v>
      </c>
      <c r="J74" t="s">
        <v>299</v>
      </c>
      <c r="K74" s="4" t="s">
        <v>304</v>
      </c>
      <c r="L74" t="str">
        <f t="shared" si="2"/>
        <v>"Rappahannock County School Board"</v>
      </c>
      <c r="M74" t="s">
        <v>302</v>
      </c>
      <c r="N74" t="s">
        <v>303</v>
      </c>
      <c r="O74" s="4" t="s">
        <v>300</v>
      </c>
      <c r="P74" t="str">
        <f t="shared" si="3"/>
        <v>"40178"</v>
      </c>
    </row>
    <row r="75" spans="1:16" x14ac:dyDescent="0.2">
      <c r="A75" t="s">
        <v>301</v>
      </c>
      <c r="B75" s="5" t="s">
        <v>139</v>
      </c>
      <c r="C75" t="s">
        <v>301</v>
      </c>
      <c r="E75" s="4" t="s">
        <v>301</v>
      </c>
      <c r="F75" t="s">
        <v>172</v>
      </c>
      <c r="G75" t="s">
        <v>301</v>
      </c>
      <c r="I75" t="s">
        <v>298</v>
      </c>
      <c r="J75" t="s">
        <v>299</v>
      </c>
      <c r="K75" s="4" t="s">
        <v>304</v>
      </c>
      <c r="L75" t="str">
        <f t="shared" si="2"/>
        <v>"Richmond County School Board"</v>
      </c>
      <c r="M75" t="s">
        <v>302</v>
      </c>
      <c r="N75" t="s">
        <v>303</v>
      </c>
      <c r="O75" s="4" t="s">
        <v>300</v>
      </c>
      <c r="P75" t="str">
        <f t="shared" si="3"/>
        <v>"40179"</v>
      </c>
    </row>
    <row r="76" spans="1:16" x14ac:dyDescent="0.2">
      <c r="A76" t="s">
        <v>301</v>
      </c>
      <c r="B76" s="5" t="s">
        <v>140</v>
      </c>
      <c r="C76" t="s">
        <v>301</v>
      </c>
      <c r="E76" s="4" t="s">
        <v>301</v>
      </c>
      <c r="F76" t="s">
        <v>173</v>
      </c>
      <c r="G76" t="s">
        <v>301</v>
      </c>
      <c r="I76" t="s">
        <v>298</v>
      </c>
      <c r="J76" t="s">
        <v>299</v>
      </c>
      <c r="K76" s="4" t="s">
        <v>304</v>
      </c>
      <c r="L76" t="str">
        <f t="shared" si="2"/>
        <v>"Roanoke County School Board"</v>
      </c>
      <c r="M76" t="s">
        <v>302</v>
      </c>
      <c r="N76" t="s">
        <v>303</v>
      </c>
      <c r="O76" s="4" t="s">
        <v>300</v>
      </c>
      <c r="P76" t="str">
        <f t="shared" si="3"/>
        <v>"40180"</v>
      </c>
    </row>
    <row r="77" spans="1:16" x14ac:dyDescent="0.2">
      <c r="A77" t="s">
        <v>301</v>
      </c>
      <c r="B77" s="5" t="s">
        <v>141</v>
      </c>
      <c r="C77" t="s">
        <v>301</v>
      </c>
      <c r="E77" s="4" t="s">
        <v>301</v>
      </c>
      <c r="F77" t="s">
        <v>174</v>
      </c>
      <c r="G77" t="s">
        <v>301</v>
      </c>
      <c r="I77" t="s">
        <v>298</v>
      </c>
      <c r="J77" t="s">
        <v>299</v>
      </c>
      <c r="K77" s="4" t="s">
        <v>304</v>
      </c>
      <c r="L77" t="str">
        <f t="shared" si="2"/>
        <v>"Rockbridge County School Board"</v>
      </c>
      <c r="M77" t="s">
        <v>302</v>
      </c>
      <c r="N77" t="s">
        <v>303</v>
      </c>
      <c r="O77" s="4" t="s">
        <v>300</v>
      </c>
      <c r="P77" t="str">
        <f t="shared" si="3"/>
        <v>"40181"</v>
      </c>
    </row>
    <row r="78" spans="1:16" x14ac:dyDescent="0.2">
      <c r="A78" t="s">
        <v>301</v>
      </c>
      <c r="B78" s="5" t="s">
        <v>142</v>
      </c>
      <c r="C78" t="s">
        <v>301</v>
      </c>
      <c r="E78" s="4" t="s">
        <v>301</v>
      </c>
      <c r="F78" t="s">
        <v>175</v>
      </c>
      <c r="G78" t="s">
        <v>301</v>
      </c>
      <c r="I78" t="s">
        <v>298</v>
      </c>
      <c r="J78" t="s">
        <v>299</v>
      </c>
      <c r="K78" s="4" t="s">
        <v>304</v>
      </c>
      <c r="L78" t="str">
        <f t="shared" si="2"/>
        <v>"Rockingham County School Board"</v>
      </c>
      <c r="M78" t="s">
        <v>302</v>
      </c>
      <c r="N78" t="s">
        <v>303</v>
      </c>
      <c r="O78" s="4" t="s">
        <v>300</v>
      </c>
      <c r="P78" t="str">
        <f t="shared" si="3"/>
        <v>"40182"</v>
      </c>
    </row>
    <row r="79" spans="1:16" x14ac:dyDescent="0.2">
      <c r="A79" t="s">
        <v>301</v>
      </c>
      <c r="B79" s="5" t="s">
        <v>143</v>
      </c>
      <c r="C79" t="s">
        <v>301</v>
      </c>
      <c r="E79" s="4" t="s">
        <v>301</v>
      </c>
      <c r="F79" t="s">
        <v>176</v>
      </c>
      <c r="G79" t="s">
        <v>301</v>
      </c>
      <c r="I79" t="s">
        <v>298</v>
      </c>
      <c r="J79" t="s">
        <v>299</v>
      </c>
      <c r="K79" s="4" t="s">
        <v>304</v>
      </c>
      <c r="L79" t="str">
        <f t="shared" si="2"/>
        <v>"Russell County School Board"</v>
      </c>
      <c r="M79" t="s">
        <v>302</v>
      </c>
      <c r="N79" t="s">
        <v>303</v>
      </c>
      <c r="O79" s="4" t="s">
        <v>300</v>
      </c>
      <c r="P79" t="str">
        <f t="shared" si="3"/>
        <v>"40183"</v>
      </c>
    </row>
    <row r="80" spans="1:16" x14ac:dyDescent="0.2">
      <c r="A80" t="s">
        <v>301</v>
      </c>
      <c r="B80" s="5" t="s">
        <v>144</v>
      </c>
      <c r="C80" t="s">
        <v>301</v>
      </c>
      <c r="E80" s="4" t="s">
        <v>301</v>
      </c>
      <c r="F80" t="s">
        <v>177</v>
      </c>
      <c r="G80" t="s">
        <v>301</v>
      </c>
      <c r="I80" t="s">
        <v>298</v>
      </c>
      <c r="J80" t="s">
        <v>299</v>
      </c>
      <c r="K80" s="4" t="s">
        <v>304</v>
      </c>
      <c r="L80" t="str">
        <f t="shared" si="2"/>
        <v>"Scott County School Board"</v>
      </c>
      <c r="M80" t="s">
        <v>302</v>
      </c>
      <c r="N80" t="s">
        <v>303</v>
      </c>
      <c r="O80" s="4" t="s">
        <v>300</v>
      </c>
      <c r="P80" t="str">
        <f t="shared" si="3"/>
        <v>"40184"</v>
      </c>
    </row>
    <row r="81" spans="1:16" x14ac:dyDescent="0.2">
      <c r="A81" t="s">
        <v>301</v>
      </c>
      <c r="B81" s="5" t="s">
        <v>145</v>
      </c>
      <c r="C81" t="s">
        <v>301</v>
      </c>
      <c r="E81" s="4" t="s">
        <v>301</v>
      </c>
      <c r="F81" t="s">
        <v>178</v>
      </c>
      <c r="G81" t="s">
        <v>301</v>
      </c>
      <c r="I81" t="s">
        <v>298</v>
      </c>
      <c r="J81" t="s">
        <v>299</v>
      </c>
      <c r="K81" s="4" t="s">
        <v>304</v>
      </c>
      <c r="L81" t="str">
        <f t="shared" si="2"/>
        <v>"Shenandoah County School Board"</v>
      </c>
      <c r="M81" t="s">
        <v>302</v>
      </c>
      <c r="N81" t="s">
        <v>303</v>
      </c>
      <c r="O81" s="4" t="s">
        <v>300</v>
      </c>
      <c r="P81" t="str">
        <f t="shared" si="3"/>
        <v>"40185"</v>
      </c>
    </row>
    <row r="82" spans="1:16" x14ac:dyDescent="0.2">
      <c r="A82" t="s">
        <v>301</v>
      </c>
      <c r="B82" s="5" t="s">
        <v>146</v>
      </c>
      <c r="C82" t="s">
        <v>301</v>
      </c>
      <c r="E82" s="4" t="s">
        <v>301</v>
      </c>
      <c r="F82" t="s">
        <v>179</v>
      </c>
      <c r="G82" t="s">
        <v>301</v>
      </c>
      <c r="I82" t="s">
        <v>298</v>
      </c>
      <c r="J82" t="s">
        <v>299</v>
      </c>
      <c r="K82" s="4" t="s">
        <v>304</v>
      </c>
      <c r="L82" t="str">
        <f t="shared" si="2"/>
        <v>"Smyth County School Board"</v>
      </c>
      <c r="M82" t="s">
        <v>302</v>
      </c>
      <c r="N82" t="s">
        <v>303</v>
      </c>
      <c r="O82" s="4" t="s">
        <v>300</v>
      </c>
      <c r="P82" t="str">
        <f t="shared" si="3"/>
        <v>"40186"</v>
      </c>
    </row>
    <row r="83" spans="1:16" x14ac:dyDescent="0.2">
      <c r="A83" t="s">
        <v>301</v>
      </c>
      <c r="B83" s="5" t="s">
        <v>147</v>
      </c>
      <c r="C83" t="s">
        <v>301</v>
      </c>
      <c r="E83" s="4" t="s">
        <v>301</v>
      </c>
      <c r="F83" t="s">
        <v>180</v>
      </c>
      <c r="G83" t="s">
        <v>301</v>
      </c>
      <c r="I83" t="s">
        <v>298</v>
      </c>
      <c r="J83" t="s">
        <v>299</v>
      </c>
      <c r="K83" s="4" t="s">
        <v>304</v>
      </c>
      <c r="L83" t="str">
        <f t="shared" si="2"/>
        <v>"Southampton County School Board"</v>
      </c>
      <c r="M83" t="s">
        <v>302</v>
      </c>
      <c r="N83" t="s">
        <v>303</v>
      </c>
      <c r="O83" s="4" t="s">
        <v>300</v>
      </c>
      <c r="P83" t="str">
        <f t="shared" si="3"/>
        <v>"40187"</v>
      </c>
    </row>
    <row r="84" spans="1:16" x14ac:dyDescent="0.2">
      <c r="A84" t="s">
        <v>301</v>
      </c>
      <c r="B84" s="5" t="s">
        <v>148</v>
      </c>
      <c r="C84" t="s">
        <v>301</v>
      </c>
      <c r="E84" s="4" t="s">
        <v>301</v>
      </c>
      <c r="F84" t="s">
        <v>181</v>
      </c>
      <c r="G84" t="s">
        <v>301</v>
      </c>
      <c r="I84" t="s">
        <v>298</v>
      </c>
      <c r="J84" t="s">
        <v>299</v>
      </c>
      <c r="K84" s="4" t="s">
        <v>304</v>
      </c>
      <c r="L84" t="str">
        <f t="shared" si="2"/>
        <v>"Spotsylvania County School Board"</v>
      </c>
      <c r="M84" t="s">
        <v>302</v>
      </c>
      <c r="N84" t="s">
        <v>303</v>
      </c>
      <c r="O84" s="4" t="s">
        <v>300</v>
      </c>
      <c r="P84" t="str">
        <f t="shared" si="3"/>
        <v>"40188"</v>
      </c>
    </row>
    <row r="85" spans="1:16" x14ac:dyDescent="0.2">
      <c r="A85" t="s">
        <v>301</v>
      </c>
      <c r="B85" s="5" t="s">
        <v>149</v>
      </c>
      <c r="C85" t="s">
        <v>301</v>
      </c>
      <c r="E85" s="4" t="s">
        <v>301</v>
      </c>
      <c r="F85" t="s">
        <v>182</v>
      </c>
      <c r="G85" t="s">
        <v>301</v>
      </c>
      <c r="I85" t="s">
        <v>298</v>
      </c>
      <c r="J85" t="s">
        <v>299</v>
      </c>
      <c r="K85" s="4" t="s">
        <v>304</v>
      </c>
      <c r="L85" t="str">
        <f t="shared" si="2"/>
        <v>"Stafford County School Board"</v>
      </c>
      <c r="M85" t="s">
        <v>302</v>
      </c>
      <c r="N85" t="s">
        <v>303</v>
      </c>
      <c r="O85" s="4" t="s">
        <v>300</v>
      </c>
      <c r="P85" t="str">
        <f t="shared" si="3"/>
        <v>"40189"</v>
      </c>
    </row>
    <row r="86" spans="1:16" x14ac:dyDescent="0.2">
      <c r="A86" t="s">
        <v>301</v>
      </c>
      <c r="B86" s="5" t="s">
        <v>150</v>
      </c>
      <c r="C86" t="s">
        <v>301</v>
      </c>
      <c r="E86" s="4" t="s">
        <v>301</v>
      </c>
      <c r="F86" t="s">
        <v>183</v>
      </c>
      <c r="G86" t="s">
        <v>301</v>
      </c>
      <c r="I86" t="s">
        <v>298</v>
      </c>
      <c r="J86" t="s">
        <v>299</v>
      </c>
      <c r="K86" s="4" t="s">
        <v>304</v>
      </c>
      <c r="L86" t="str">
        <f t="shared" si="2"/>
        <v>"Surry County Schools"</v>
      </c>
      <c r="M86" t="s">
        <v>302</v>
      </c>
      <c r="N86" t="s">
        <v>303</v>
      </c>
      <c r="O86" s="4" t="s">
        <v>300</v>
      </c>
      <c r="P86" t="str">
        <f t="shared" si="3"/>
        <v>"40190"</v>
      </c>
    </row>
    <row r="87" spans="1:16" x14ac:dyDescent="0.2">
      <c r="A87" t="s">
        <v>301</v>
      </c>
      <c r="B87" s="5" t="s">
        <v>151</v>
      </c>
      <c r="C87" t="s">
        <v>301</v>
      </c>
      <c r="E87" s="4" t="s">
        <v>301</v>
      </c>
      <c r="F87" t="s">
        <v>184</v>
      </c>
      <c r="G87" t="s">
        <v>301</v>
      </c>
      <c r="I87" t="s">
        <v>298</v>
      </c>
      <c r="J87" t="s">
        <v>299</v>
      </c>
      <c r="K87" s="4" t="s">
        <v>304</v>
      </c>
      <c r="L87" t="str">
        <f t="shared" si="2"/>
        <v>"Sussex County School Board"</v>
      </c>
      <c r="M87" t="s">
        <v>302</v>
      </c>
      <c r="N87" t="s">
        <v>303</v>
      </c>
      <c r="O87" s="4" t="s">
        <v>300</v>
      </c>
      <c r="P87" t="str">
        <f t="shared" si="3"/>
        <v>"40191"</v>
      </c>
    </row>
    <row r="88" spans="1:16" x14ac:dyDescent="0.2">
      <c r="A88" t="s">
        <v>301</v>
      </c>
      <c r="B88" s="5" t="s">
        <v>152</v>
      </c>
      <c r="C88" t="s">
        <v>301</v>
      </c>
      <c r="E88" s="4" t="s">
        <v>301</v>
      </c>
      <c r="F88" t="s">
        <v>185</v>
      </c>
      <c r="G88" t="s">
        <v>301</v>
      </c>
      <c r="I88" t="s">
        <v>298</v>
      </c>
      <c r="J88" t="s">
        <v>299</v>
      </c>
      <c r="K88" s="4" t="s">
        <v>304</v>
      </c>
      <c r="L88" t="str">
        <f t="shared" si="2"/>
        <v>"Tazewell County Schools"</v>
      </c>
      <c r="M88" t="s">
        <v>302</v>
      </c>
      <c r="N88" t="s">
        <v>303</v>
      </c>
      <c r="O88" s="4" t="s">
        <v>300</v>
      </c>
      <c r="P88" t="str">
        <f t="shared" si="3"/>
        <v>"40192"</v>
      </c>
    </row>
    <row r="89" spans="1:16" x14ac:dyDescent="0.2">
      <c r="A89" t="s">
        <v>301</v>
      </c>
      <c r="B89" s="5" t="s">
        <v>153</v>
      </c>
      <c r="C89" t="s">
        <v>301</v>
      </c>
      <c r="E89" s="4" t="s">
        <v>301</v>
      </c>
      <c r="F89" t="s">
        <v>186</v>
      </c>
      <c r="G89" t="s">
        <v>301</v>
      </c>
      <c r="I89" t="s">
        <v>298</v>
      </c>
      <c r="J89" t="s">
        <v>299</v>
      </c>
      <c r="K89" s="4" t="s">
        <v>304</v>
      </c>
      <c r="L89" t="str">
        <f t="shared" si="2"/>
        <v>"Warren County School Board"</v>
      </c>
      <c r="M89" t="s">
        <v>302</v>
      </c>
      <c r="N89" t="s">
        <v>303</v>
      </c>
      <c r="O89" s="4" t="s">
        <v>300</v>
      </c>
      <c r="P89" t="str">
        <f t="shared" si="3"/>
        <v>"40193"</v>
      </c>
    </row>
    <row r="90" spans="1:16" x14ac:dyDescent="0.2">
      <c r="A90" t="s">
        <v>301</v>
      </c>
      <c r="B90" s="5" t="s">
        <v>154</v>
      </c>
      <c r="C90" t="s">
        <v>301</v>
      </c>
      <c r="E90" s="4" t="s">
        <v>301</v>
      </c>
      <c r="F90" t="s">
        <v>187</v>
      </c>
      <c r="G90" t="s">
        <v>301</v>
      </c>
      <c r="I90" t="s">
        <v>298</v>
      </c>
      <c r="J90" t="s">
        <v>299</v>
      </c>
      <c r="K90" s="4" t="s">
        <v>304</v>
      </c>
      <c r="L90" t="str">
        <f t="shared" si="2"/>
        <v>"Washington County School Board"</v>
      </c>
      <c r="M90" t="s">
        <v>302</v>
      </c>
      <c r="N90" t="s">
        <v>303</v>
      </c>
      <c r="O90" s="4" t="s">
        <v>300</v>
      </c>
      <c r="P90" t="str">
        <f t="shared" si="3"/>
        <v>"40195"</v>
      </c>
    </row>
    <row r="91" spans="1:16" x14ac:dyDescent="0.2">
      <c r="A91" t="s">
        <v>301</v>
      </c>
      <c r="B91" s="5" t="s">
        <v>155</v>
      </c>
      <c r="C91" t="s">
        <v>301</v>
      </c>
      <c r="E91" s="4" t="s">
        <v>301</v>
      </c>
      <c r="F91" t="s">
        <v>188</v>
      </c>
      <c r="G91" t="s">
        <v>301</v>
      </c>
      <c r="I91" t="s">
        <v>298</v>
      </c>
      <c r="J91" t="s">
        <v>299</v>
      </c>
      <c r="K91" s="4" t="s">
        <v>304</v>
      </c>
      <c r="L91" t="str">
        <f t="shared" si="2"/>
        <v>"Westmoreland County School Board"</v>
      </c>
      <c r="M91" t="s">
        <v>302</v>
      </c>
      <c r="N91" t="s">
        <v>303</v>
      </c>
      <c r="O91" s="4" t="s">
        <v>300</v>
      </c>
      <c r="P91" t="str">
        <f t="shared" si="3"/>
        <v>"40196"</v>
      </c>
    </row>
    <row r="92" spans="1:16" x14ac:dyDescent="0.2">
      <c r="A92" t="s">
        <v>301</v>
      </c>
      <c r="B92" s="5" t="s">
        <v>156</v>
      </c>
      <c r="C92" t="s">
        <v>301</v>
      </c>
      <c r="E92" s="4" t="s">
        <v>301</v>
      </c>
      <c r="F92" t="s">
        <v>189</v>
      </c>
      <c r="G92" t="s">
        <v>301</v>
      </c>
      <c r="I92" t="s">
        <v>298</v>
      </c>
      <c r="J92" t="s">
        <v>299</v>
      </c>
      <c r="K92" s="4" t="s">
        <v>304</v>
      </c>
      <c r="L92" t="str">
        <f t="shared" si="2"/>
        <v>"Wise County School Board"</v>
      </c>
      <c r="M92" t="s">
        <v>302</v>
      </c>
      <c r="N92" t="s">
        <v>303</v>
      </c>
      <c r="O92" s="4" t="s">
        <v>300</v>
      </c>
      <c r="P92" t="str">
        <f t="shared" si="3"/>
        <v>"40197"</v>
      </c>
    </row>
    <row r="93" spans="1:16" x14ac:dyDescent="0.2">
      <c r="A93" t="s">
        <v>301</v>
      </c>
      <c r="B93" s="5" t="s">
        <v>157</v>
      </c>
      <c r="C93" t="s">
        <v>301</v>
      </c>
      <c r="E93" s="4" t="s">
        <v>301</v>
      </c>
      <c r="F93" t="s">
        <v>190</v>
      </c>
      <c r="G93" t="s">
        <v>301</v>
      </c>
      <c r="I93" t="s">
        <v>298</v>
      </c>
      <c r="J93" t="s">
        <v>299</v>
      </c>
      <c r="K93" s="4" t="s">
        <v>304</v>
      </c>
      <c r="L93" t="str">
        <f t="shared" si="2"/>
        <v>"Wythe County School Board"</v>
      </c>
      <c r="M93" t="s">
        <v>302</v>
      </c>
      <c r="N93" t="s">
        <v>303</v>
      </c>
      <c r="O93" s="4" t="s">
        <v>300</v>
      </c>
      <c r="P93" t="str">
        <f t="shared" si="3"/>
        <v>"40198"</v>
      </c>
    </row>
    <row r="94" spans="1:16" x14ac:dyDescent="0.2">
      <c r="A94" t="s">
        <v>301</v>
      </c>
      <c r="B94" s="5" t="s">
        <v>158</v>
      </c>
      <c r="C94" t="s">
        <v>301</v>
      </c>
      <c r="E94" s="4" t="s">
        <v>301</v>
      </c>
      <c r="F94" t="s">
        <v>191</v>
      </c>
      <c r="G94" t="s">
        <v>301</v>
      </c>
      <c r="I94" t="s">
        <v>298</v>
      </c>
      <c r="J94" t="s">
        <v>299</v>
      </c>
      <c r="K94" s="4" t="s">
        <v>304</v>
      </c>
      <c r="L94" t="str">
        <f t="shared" si="2"/>
        <v>"York County School Board"</v>
      </c>
      <c r="M94" t="s">
        <v>302</v>
      </c>
      <c r="N94" t="s">
        <v>303</v>
      </c>
      <c r="O94" s="4" t="s">
        <v>300</v>
      </c>
      <c r="P94" t="str">
        <f t="shared" si="3"/>
        <v>"40199"</v>
      </c>
    </row>
    <row r="95" spans="1:16" x14ac:dyDescent="0.2">
      <c r="A95" t="s">
        <v>301</v>
      </c>
      <c r="B95" s="5" t="s">
        <v>159</v>
      </c>
      <c r="C95" t="s">
        <v>301</v>
      </c>
      <c r="E95" s="4" t="s">
        <v>301</v>
      </c>
      <c r="F95" t="s">
        <v>192</v>
      </c>
      <c r="G95" t="s">
        <v>301</v>
      </c>
      <c r="I95" t="s">
        <v>298</v>
      </c>
      <c r="J95" t="s">
        <v>299</v>
      </c>
      <c r="K95" s="4" t="s">
        <v>304</v>
      </c>
      <c r="L95" t="str">
        <f t="shared" si="2"/>
        <v>"Alexandria City School Board"</v>
      </c>
      <c r="M95" t="s">
        <v>302</v>
      </c>
      <c r="N95" t="s">
        <v>303</v>
      </c>
      <c r="O95" s="4" t="s">
        <v>300</v>
      </c>
      <c r="P95" t="str">
        <f t="shared" si="3"/>
        <v>"40200"</v>
      </c>
    </row>
    <row r="96" spans="1:16" x14ac:dyDescent="0.2">
      <c r="A96" t="s">
        <v>301</v>
      </c>
      <c r="B96" s="5" t="s">
        <v>160</v>
      </c>
      <c r="C96" t="s">
        <v>301</v>
      </c>
      <c r="E96" s="4" t="s">
        <v>301</v>
      </c>
      <c r="F96" t="s">
        <v>193</v>
      </c>
      <c r="G96" t="s">
        <v>301</v>
      </c>
      <c r="I96" t="s">
        <v>298</v>
      </c>
      <c r="J96" t="s">
        <v>299</v>
      </c>
      <c r="K96" s="4" t="s">
        <v>304</v>
      </c>
      <c r="L96" t="str">
        <f t="shared" si="2"/>
        <v>"Bristol City School Board"</v>
      </c>
      <c r="M96" t="s">
        <v>302</v>
      </c>
      <c r="N96" t="s">
        <v>303</v>
      </c>
      <c r="O96" s="4" t="s">
        <v>300</v>
      </c>
      <c r="P96" t="str">
        <f t="shared" si="3"/>
        <v>"40201"</v>
      </c>
    </row>
    <row r="97" spans="1:16" x14ac:dyDescent="0.2">
      <c r="A97" t="s">
        <v>301</v>
      </c>
      <c r="B97" s="5" t="s">
        <v>161</v>
      </c>
      <c r="C97" t="s">
        <v>301</v>
      </c>
      <c r="E97" s="4" t="s">
        <v>301</v>
      </c>
      <c r="F97" t="s">
        <v>194</v>
      </c>
      <c r="G97" t="s">
        <v>301</v>
      </c>
      <c r="I97" t="s">
        <v>298</v>
      </c>
      <c r="J97" t="s">
        <v>299</v>
      </c>
      <c r="K97" s="4" t="s">
        <v>304</v>
      </c>
      <c r="L97" t="str">
        <f t="shared" si="2"/>
        <v>"Buena Vista City Schools"</v>
      </c>
      <c r="M97" t="s">
        <v>302</v>
      </c>
      <c r="N97" t="s">
        <v>303</v>
      </c>
      <c r="O97" s="4" t="s">
        <v>300</v>
      </c>
      <c r="P97" t="str">
        <f t="shared" si="3"/>
        <v>"40202"</v>
      </c>
    </row>
    <row r="98" spans="1:16" x14ac:dyDescent="0.2">
      <c r="A98" t="s">
        <v>301</v>
      </c>
      <c r="B98" s="5" t="s">
        <v>162</v>
      </c>
      <c r="C98" t="s">
        <v>301</v>
      </c>
      <c r="E98" s="4" t="s">
        <v>301</v>
      </c>
      <c r="F98" t="s">
        <v>195</v>
      </c>
      <c r="G98" t="s">
        <v>301</v>
      </c>
      <c r="I98" t="s">
        <v>298</v>
      </c>
      <c r="J98" t="s">
        <v>299</v>
      </c>
      <c r="K98" s="4" t="s">
        <v>304</v>
      </c>
      <c r="L98" t="str">
        <f t="shared" si="2"/>
        <v>"Charlottesville Public Schools"</v>
      </c>
      <c r="M98" t="s">
        <v>302</v>
      </c>
      <c r="N98" t="s">
        <v>303</v>
      </c>
      <c r="O98" s="4" t="s">
        <v>300</v>
      </c>
      <c r="P98" t="str">
        <f t="shared" si="3"/>
        <v>"40203"</v>
      </c>
    </row>
    <row r="99" spans="1:16" x14ac:dyDescent="0.2">
      <c r="A99" t="s">
        <v>301</v>
      </c>
      <c r="B99" s="5" t="s">
        <v>196</v>
      </c>
      <c r="C99" t="s">
        <v>301</v>
      </c>
      <c r="E99" s="4" t="s">
        <v>301</v>
      </c>
      <c r="F99" t="s">
        <v>229</v>
      </c>
      <c r="G99" t="s">
        <v>301</v>
      </c>
      <c r="I99" t="s">
        <v>298</v>
      </c>
      <c r="J99" t="s">
        <v>299</v>
      </c>
      <c r="K99" s="4" t="s">
        <v>304</v>
      </c>
      <c r="L99" t="str">
        <f t="shared" si="2"/>
        <v>"Danville City Schools"</v>
      </c>
      <c r="M99" t="s">
        <v>302</v>
      </c>
      <c r="N99" t="s">
        <v>303</v>
      </c>
      <c r="O99" s="4" t="s">
        <v>300</v>
      </c>
      <c r="P99" t="str">
        <f t="shared" si="3"/>
        <v>"40205"</v>
      </c>
    </row>
    <row r="100" spans="1:16" x14ac:dyDescent="0.2">
      <c r="A100" t="s">
        <v>301</v>
      </c>
      <c r="B100" s="5" t="s">
        <v>197</v>
      </c>
      <c r="C100" t="s">
        <v>301</v>
      </c>
      <c r="E100" s="4" t="s">
        <v>301</v>
      </c>
      <c r="F100" t="s">
        <v>230</v>
      </c>
      <c r="G100" t="s">
        <v>301</v>
      </c>
      <c r="I100" t="s">
        <v>298</v>
      </c>
      <c r="J100" t="s">
        <v>299</v>
      </c>
      <c r="K100" s="4" t="s">
        <v>304</v>
      </c>
      <c r="L100" t="str">
        <f t="shared" si="2"/>
        <v>"Fredericksburg City Schools"</v>
      </c>
      <c r="M100" t="s">
        <v>302</v>
      </c>
      <c r="N100" t="s">
        <v>303</v>
      </c>
      <c r="O100" s="4" t="s">
        <v>300</v>
      </c>
      <c r="P100" t="str">
        <f t="shared" si="3"/>
        <v>"40206"</v>
      </c>
    </row>
    <row r="101" spans="1:16" x14ac:dyDescent="0.2">
      <c r="A101" t="s">
        <v>301</v>
      </c>
      <c r="B101" s="5" t="s">
        <v>198</v>
      </c>
      <c r="C101" t="s">
        <v>301</v>
      </c>
      <c r="E101" s="4" t="s">
        <v>301</v>
      </c>
      <c r="F101" t="s">
        <v>231</v>
      </c>
      <c r="G101" t="s">
        <v>301</v>
      </c>
      <c r="I101" t="s">
        <v>298</v>
      </c>
      <c r="J101" t="s">
        <v>299</v>
      </c>
      <c r="K101" s="4" t="s">
        <v>304</v>
      </c>
      <c r="L101" t="str">
        <f t="shared" si="2"/>
        <v>"Hampton City Schools"</v>
      </c>
      <c r="M101" t="s">
        <v>302</v>
      </c>
      <c r="N101" t="s">
        <v>303</v>
      </c>
      <c r="O101" s="4" t="s">
        <v>300</v>
      </c>
      <c r="P101" t="str">
        <f t="shared" si="3"/>
        <v>"40207"</v>
      </c>
    </row>
    <row r="102" spans="1:16" x14ac:dyDescent="0.2">
      <c r="A102" t="s">
        <v>301</v>
      </c>
      <c r="B102" s="5" t="s">
        <v>199</v>
      </c>
      <c r="C102" t="s">
        <v>301</v>
      </c>
      <c r="E102" s="4" t="s">
        <v>301</v>
      </c>
      <c r="F102" t="s">
        <v>232</v>
      </c>
      <c r="G102" t="s">
        <v>301</v>
      </c>
      <c r="I102" t="s">
        <v>298</v>
      </c>
      <c r="J102" t="s">
        <v>299</v>
      </c>
      <c r="K102" s="4" t="s">
        <v>304</v>
      </c>
      <c r="L102" t="str">
        <f t="shared" si="2"/>
        <v>"Harrisonburg City School Board"</v>
      </c>
      <c r="M102" t="s">
        <v>302</v>
      </c>
      <c r="N102" t="s">
        <v>303</v>
      </c>
      <c r="O102" s="4" t="s">
        <v>300</v>
      </c>
      <c r="P102" t="str">
        <f t="shared" si="3"/>
        <v>"40208"</v>
      </c>
    </row>
    <row r="103" spans="1:16" x14ac:dyDescent="0.2">
      <c r="A103" t="s">
        <v>301</v>
      </c>
      <c r="B103" s="5" t="s">
        <v>200</v>
      </c>
      <c r="C103" t="s">
        <v>301</v>
      </c>
      <c r="E103" s="4" t="s">
        <v>301</v>
      </c>
      <c r="F103" t="s">
        <v>233</v>
      </c>
      <c r="G103" t="s">
        <v>301</v>
      </c>
      <c r="I103" t="s">
        <v>298</v>
      </c>
      <c r="J103" t="s">
        <v>299</v>
      </c>
      <c r="K103" s="4" t="s">
        <v>304</v>
      </c>
      <c r="L103" t="str">
        <f t="shared" si="2"/>
        <v>"Hopewell City School Board"</v>
      </c>
      <c r="M103" t="s">
        <v>302</v>
      </c>
      <c r="N103" t="s">
        <v>303</v>
      </c>
      <c r="O103" s="4" t="s">
        <v>300</v>
      </c>
      <c r="P103" t="str">
        <f t="shared" si="3"/>
        <v>"40209"</v>
      </c>
    </row>
    <row r="104" spans="1:16" x14ac:dyDescent="0.2">
      <c r="A104" t="s">
        <v>301</v>
      </c>
      <c r="B104" s="5" t="s">
        <v>201</v>
      </c>
      <c r="C104" t="s">
        <v>301</v>
      </c>
      <c r="E104" s="4" t="s">
        <v>301</v>
      </c>
      <c r="F104" t="s">
        <v>234</v>
      </c>
      <c r="G104" t="s">
        <v>301</v>
      </c>
      <c r="I104" t="s">
        <v>298</v>
      </c>
      <c r="J104" t="s">
        <v>299</v>
      </c>
      <c r="K104" s="4" t="s">
        <v>304</v>
      </c>
      <c r="L104" t="str">
        <f t="shared" si="2"/>
        <v>"Lynchburg Public Schools"</v>
      </c>
      <c r="M104" t="s">
        <v>302</v>
      </c>
      <c r="N104" t="s">
        <v>303</v>
      </c>
      <c r="O104" s="4" t="s">
        <v>300</v>
      </c>
      <c r="P104" t="str">
        <f t="shared" si="3"/>
        <v>"40210"</v>
      </c>
    </row>
    <row r="105" spans="1:16" x14ac:dyDescent="0.2">
      <c r="A105" t="s">
        <v>301</v>
      </c>
      <c r="B105" s="5" t="s">
        <v>202</v>
      </c>
      <c r="C105" t="s">
        <v>301</v>
      </c>
      <c r="E105" s="4" t="s">
        <v>301</v>
      </c>
      <c r="F105" t="s">
        <v>235</v>
      </c>
      <c r="G105" t="s">
        <v>301</v>
      </c>
      <c r="I105" t="s">
        <v>298</v>
      </c>
      <c r="J105" t="s">
        <v>299</v>
      </c>
      <c r="K105" s="4" t="s">
        <v>304</v>
      </c>
      <c r="L105" t="str">
        <f t="shared" si="2"/>
        <v>"Newport News Public Schools"</v>
      </c>
      <c r="M105" t="s">
        <v>302</v>
      </c>
      <c r="N105" t="s">
        <v>303</v>
      </c>
      <c r="O105" s="4" t="s">
        <v>300</v>
      </c>
      <c r="P105" t="str">
        <f t="shared" si="3"/>
        <v>"40211"</v>
      </c>
    </row>
    <row r="106" spans="1:16" x14ac:dyDescent="0.2">
      <c r="A106" t="s">
        <v>301</v>
      </c>
      <c r="B106" s="5" t="s">
        <v>203</v>
      </c>
      <c r="C106" t="s">
        <v>301</v>
      </c>
      <c r="E106" s="4" t="s">
        <v>301</v>
      </c>
      <c r="F106" t="s">
        <v>236</v>
      </c>
      <c r="G106" t="s">
        <v>301</v>
      </c>
      <c r="I106" t="s">
        <v>298</v>
      </c>
      <c r="J106" t="s">
        <v>299</v>
      </c>
      <c r="K106" s="4" t="s">
        <v>304</v>
      </c>
      <c r="L106" t="str">
        <f t="shared" si="2"/>
        <v>"Norfolk Public Schools"</v>
      </c>
      <c r="M106" t="s">
        <v>302</v>
      </c>
      <c r="N106" t="s">
        <v>303</v>
      </c>
      <c r="O106" s="4" t="s">
        <v>300</v>
      </c>
      <c r="P106" t="str">
        <f t="shared" si="3"/>
        <v>"40212"</v>
      </c>
    </row>
    <row r="107" spans="1:16" x14ac:dyDescent="0.2">
      <c r="A107" t="s">
        <v>301</v>
      </c>
      <c r="B107" s="5" t="s">
        <v>204</v>
      </c>
      <c r="C107" t="s">
        <v>301</v>
      </c>
      <c r="E107" s="4" t="s">
        <v>301</v>
      </c>
      <c r="F107" t="s">
        <v>237</v>
      </c>
      <c r="G107" t="s">
        <v>301</v>
      </c>
      <c r="I107" t="s">
        <v>298</v>
      </c>
      <c r="J107" t="s">
        <v>299</v>
      </c>
      <c r="K107" s="4" t="s">
        <v>304</v>
      </c>
      <c r="L107" t="str">
        <f t="shared" si="2"/>
        <v>"Petersburg City Schools"</v>
      </c>
      <c r="M107" t="s">
        <v>302</v>
      </c>
      <c r="N107" t="s">
        <v>303</v>
      </c>
      <c r="O107" s="4" t="s">
        <v>300</v>
      </c>
      <c r="P107" t="str">
        <f t="shared" si="3"/>
        <v>"40213"</v>
      </c>
    </row>
    <row r="108" spans="1:16" x14ac:dyDescent="0.2">
      <c r="A108" t="s">
        <v>301</v>
      </c>
      <c r="B108" s="5" t="s">
        <v>205</v>
      </c>
      <c r="C108" t="s">
        <v>301</v>
      </c>
      <c r="E108" s="4" t="s">
        <v>301</v>
      </c>
      <c r="F108" t="s">
        <v>238</v>
      </c>
      <c r="G108" t="s">
        <v>301</v>
      </c>
      <c r="I108" t="s">
        <v>298</v>
      </c>
      <c r="J108" t="s">
        <v>299</v>
      </c>
      <c r="K108" s="4" t="s">
        <v>304</v>
      </c>
      <c r="L108" t="str">
        <f t="shared" si="2"/>
        <v>"Portsmouth School Board"</v>
      </c>
      <c r="M108" t="s">
        <v>302</v>
      </c>
      <c r="N108" t="s">
        <v>303</v>
      </c>
      <c r="O108" s="4" t="s">
        <v>300</v>
      </c>
      <c r="P108" t="str">
        <f t="shared" si="3"/>
        <v>"40214"</v>
      </c>
    </row>
    <row r="109" spans="1:16" x14ac:dyDescent="0.2">
      <c r="A109" t="s">
        <v>301</v>
      </c>
      <c r="B109" s="5" t="s">
        <v>206</v>
      </c>
      <c r="C109" t="s">
        <v>301</v>
      </c>
      <c r="E109" s="4" t="s">
        <v>301</v>
      </c>
      <c r="F109" t="s">
        <v>239</v>
      </c>
      <c r="G109" t="s">
        <v>301</v>
      </c>
      <c r="I109" t="s">
        <v>298</v>
      </c>
      <c r="J109" t="s">
        <v>299</v>
      </c>
      <c r="K109" s="4" t="s">
        <v>304</v>
      </c>
      <c r="L109" t="str">
        <f t="shared" si="2"/>
        <v>"Radford City School Board"</v>
      </c>
      <c r="M109" t="s">
        <v>302</v>
      </c>
      <c r="N109" t="s">
        <v>303</v>
      </c>
      <c r="O109" s="4" t="s">
        <v>300</v>
      </c>
      <c r="P109" t="str">
        <f t="shared" si="3"/>
        <v>"40215"</v>
      </c>
    </row>
    <row r="110" spans="1:16" x14ac:dyDescent="0.2">
      <c r="A110" t="s">
        <v>301</v>
      </c>
      <c r="B110" s="5" t="s">
        <v>207</v>
      </c>
      <c r="C110" t="s">
        <v>301</v>
      </c>
      <c r="E110" s="4" t="s">
        <v>301</v>
      </c>
      <c r="F110" t="s">
        <v>240</v>
      </c>
      <c r="G110" t="s">
        <v>301</v>
      </c>
      <c r="I110" t="s">
        <v>298</v>
      </c>
      <c r="J110" t="s">
        <v>299</v>
      </c>
      <c r="K110" s="4" t="s">
        <v>304</v>
      </c>
      <c r="L110" t="str">
        <f t="shared" si="2"/>
        <v>"Richmond Public Schools"</v>
      </c>
      <c r="M110" t="s">
        <v>302</v>
      </c>
      <c r="N110" t="s">
        <v>303</v>
      </c>
      <c r="O110" s="4" t="s">
        <v>300</v>
      </c>
      <c r="P110" t="str">
        <f t="shared" si="3"/>
        <v>"40216"</v>
      </c>
    </row>
    <row r="111" spans="1:16" x14ac:dyDescent="0.2">
      <c r="A111" t="s">
        <v>301</v>
      </c>
      <c r="B111" s="5" t="s">
        <v>208</v>
      </c>
      <c r="C111" t="s">
        <v>301</v>
      </c>
      <c r="E111" s="4" t="s">
        <v>301</v>
      </c>
      <c r="F111" t="s">
        <v>241</v>
      </c>
      <c r="G111" t="s">
        <v>301</v>
      </c>
      <c r="I111" t="s">
        <v>298</v>
      </c>
      <c r="J111" t="s">
        <v>299</v>
      </c>
      <c r="K111" s="4" t="s">
        <v>304</v>
      </c>
      <c r="L111" t="str">
        <f t="shared" si="2"/>
        <v>"Roanoke City School Board"</v>
      </c>
      <c r="M111" t="s">
        <v>302</v>
      </c>
      <c r="N111" t="s">
        <v>303</v>
      </c>
      <c r="O111" s="4" t="s">
        <v>300</v>
      </c>
      <c r="P111" t="str">
        <f t="shared" si="3"/>
        <v>"40217"</v>
      </c>
    </row>
    <row r="112" spans="1:16" x14ac:dyDescent="0.2">
      <c r="A112" t="s">
        <v>301</v>
      </c>
      <c r="B112" s="5" t="s">
        <v>209</v>
      </c>
      <c r="C112" t="s">
        <v>301</v>
      </c>
      <c r="E112" s="4" t="s">
        <v>301</v>
      </c>
      <c r="F112" t="s">
        <v>242</v>
      </c>
      <c r="G112" t="s">
        <v>301</v>
      </c>
      <c r="I112" t="s">
        <v>298</v>
      </c>
      <c r="J112" t="s">
        <v>299</v>
      </c>
      <c r="K112" s="4" t="s">
        <v>304</v>
      </c>
      <c r="L112" t="str">
        <f t="shared" si="2"/>
        <v>"Staunton City Schools"</v>
      </c>
      <c r="M112" t="s">
        <v>302</v>
      </c>
      <c r="N112" t="s">
        <v>303</v>
      </c>
      <c r="O112" s="4" t="s">
        <v>300</v>
      </c>
      <c r="P112" t="str">
        <f t="shared" si="3"/>
        <v>"40219"</v>
      </c>
    </row>
    <row r="113" spans="1:16" x14ac:dyDescent="0.2">
      <c r="A113" t="s">
        <v>301</v>
      </c>
      <c r="B113" s="5" t="s">
        <v>210</v>
      </c>
      <c r="C113" t="s">
        <v>301</v>
      </c>
      <c r="E113" s="4" t="s">
        <v>301</v>
      </c>
      <c r="F113" t="s">
        <v>243</v>
      </c>
      <c r="G113" t="s">
        <v>301</v>
      </c>
      <c r="I113" t="s">
        <v>298</v>
      </c>
      <c r="J113" t="s">
        <v>299</v>
      </c>
      <c r="K113" s="4" t="s">
        <v>304</v>
      </c>
      <c r="L113" t="str">
        <f t="shared" si="2"/>
        <v>"Suffolk City School Board"</v>
      </c>
      <c r="M113" t="s">
        <v>302</v>
      </c>
      <c r="N113" t="s">
        <v>303</v>
      </c>
      <c r="O113" s="4" t="s">
        <v>300</v>
      </c>
      <c r="P113" t="str">
        <f t="shared" si="3"/>
        <v>"40220"</v>
      </c>
    </row>
    <row r="114" spans="1:16" x14ac:dyDescent="0.2">
      <c r="A114" t="s">
        <v>301</v>
      </c>
      <c r="B114" s="5" t="s">
        <v>211</v>
      </c>
      <c r="C114" t="s">
        <v>301</v>
      </c>
      <c r="E114" s="4" t="s">
        <v>301</v>
      </c>
      <c r="F114" t="s">
        <v>244</v>
      </c>
      <c r="G114" t="s">
        <v>301</v>
      </c>
      <c r="I114" t="s">
        <v>298</v>
      </c>
      <c r="J114" t="s">
        <v>299</v>
      </c>
      <c r="K114" s="4" t="s">
        <v>304</v>
      </c>
      <c r="L114" t="str">
        <f t="shared" si="2"/>
        <v>"Winchester Public Schools"</v>
      </c>
      <c r="M114" t="s">
        <v>302</v>
      </c>
      <c r="N114" t="s">
        <v>303</v>
      </c>
      <c r="O114" s="4" t="s">
        <v>300</v>
      </c>
      <c r="P114" t="str">
        <f t="shared" si="3"/>
        <v>"40222"</v>
      </c>
    </row>
    <row r="115" spans="1:16" x14ac:dyDescent="0.2">
      <c r="A115" t="s">
        <v>301</v>
      </c>
      <c r="B115" s="5" t="s">
        <v>212</v>
      </c>
      <c r="C115" t="s">
        <v>301</v>
      </c>
      <c r="E115" s="4" t="s">
        <v>301</v>
      </c>
      <c r="F115" t="s">
        <v>245</v>
      </c>
      <c r="G115" t="s">
        <v>301</v>
      </c>
      <c r="I115" t="s">
        <v>298</v>
      </c>
      <c r="J115" t="s">
        <v>299</v>
      </c>
      <c r="K115" s="4" t="s">
        <v>304</v>
      </c>
      <c r="L115" t="str">
        <f t="shared" si="2"/>
        <v>"Martinsville City Schools"</v>
      </c>
      <c r="M115" t="s">
        <v>302</v>
      </c>
      <c r="N115" t="s">
        <v>303</v>
      </c>
      <c r="O115" s="4" t="s">
        <v>300</v>
      </c>
      <c r="P115" t="str">
        <f t="shared" si="3"/>
        <v>"40223"</v>
      </c>
    </row>
    <row r="116" spans="1:16" x14ac:dyDescent="0.2">
      <c r="A116" t="s">
        <v>301</v>
      </c>
      <c r="B116" s="5" t="s">
        <v>213</v>
      </c>
      <c r="C116" t="s">
        <v>301</v>
      </c>
      <c r="E116" s="4" t="s">
        <v>301</v>
      </c>
      <c r="F116" t="s">
        <v>246</v>
      </c>
      <c r="G116" t="s">
        <v>301</v>
      </c>
      <c r="I116" t="s">
        <v>298</v>
      </c>
      <c r="J116" t="s">
        <v>299</v>
      </c>
      <c r="K116" s="4" t="s">
        <v>304</v>
      </c>
      <c r="L116" t="str">
        <f t="shared" si="2"/>
        <v>"Falls Church Public Schools"</v>
      </c>
      <c r="M116" t="s">
        <v>302</v>
      </c>
      <c r="N116" t="s">
        <v>303</v>
      </c>
      <c r="O116" s="4" t="s">
        <v>300</v>
      </c>
      <c r="P116" t="str">
        <f t="shared" si="3"/>
        <v>"40224"</v>
      </c>
    </row>
    <row r="117" spans="1:16" x14ac:dyDescent="0.2">
      <c r="A117" t="s">
        <v>301</v>
      </c>
      <c r="B117" s="5" t="s">
        <v>214</v>
      </c>
      <c r="C117" t="s">
        <v>301</v>
      </c>
      <c r="E117" s="4" t="s">
        <v>301</v>
      </c>
      <c r="F117" t="s">
        <v>247</v>
      </c>
      <c r="G117" t="s">
        <v>301</v>
      </c>
      <c r="I117" t="s">
        <v>298</v>
      </c>
      <c r="J117" t="s">
        <v>299</v>
      </c>
      <c r="K117" s="4" t="s">
        <v>304</v>
      </c>
      <c r="L117" t="str">
        <f t="shared" si="2"/>
        <v>"Colonial Heights City Schools"</v>
      </c>
      <c r="M117" t="s">
        <v>302</v>
      </c>
      <c r="N117" t="s">
        <v>303</v>
      </c>
      <c r="O117" s="4" t="s">
        <v>300</v>
      </c>
      <c r="P117" t="str">
        <f t="shared" si="3"/>
        <v>"40225"</v>
      </c>
    </row>
    <row r="118" spans="1:16" x14ac:dyDescent="0.2">
      <c r="A118" t="s">
        <v>301</v>
      </c>
      <c r="B118" s="5" t="s">
        <v>215</v>
      </c>
      <c r="C118" t="s">
        <v>301</v>
      </c>
      <c r="E118" s="4" t="s">
        <v>301</v>
      </c>
      <c r="F118" t="s">
        <v>248</v>
      </c>
      <c r="G118" t="s">
        <v>301</v>
      </c>
      <c r="I118" t="s">
        <v>298</v>
      </c>
      <c r="J118" t="s">
        <v>299</v>
      </c>
      <c r="K118" s="4" t="s">
        <v>304</v>
      </c>
      <c r="L118" t="str">
        <f t="shared" si="2"/>
        <v>"Covington City School Board"</v>
      </c>
      <c r="M118" t="s">
        <v>302</v>
      </c>
      <c r="N118" t="s">
        <v>303</v>
      </c>
      <c r="O118" s="4" t="s">
        <v>300</v>
      </c>
      <c r="P118" t="str">
        <f t="shared" si="3"/>
        <v>"40230"</v>
      </c>
    </row>
    <row r="119" spans="1:16" x14ac:dyDescent="0.2">
      <c r="A119" t="s">
        <v>301</v>
      </c>
      <c r="B119" s="5" t="s">
        <v>216</v>
      </c>
      <c r="C119" t="s">
        <v>301</v>
      </c>
      <c r="E119" s="4" t="s">
        <v>301</v>
      </c>
      <c r="F119" t="s">
        <v>249</v>
      </c>
      <c r="G119" t="s">
        <v>301</v>
      </c>
      <c r="I119" t="s">
        <v>298</v>
      </c>
      <c r="J119" t="s">
        <v>299</v>
      </c>
      <c r="K119" s="4" t="s">
        <v>304</v>
      </c>
      <c r="L119" t="str">
        <f t="shared" si="2"/>
        <v>"Fairfax City School Board"</v>
      </c>
      <c r="M119" t="s">
        <v>302</v>
      </c>
      <c r="N119" t="s">
        <v>303</v>
      </c>
      <c r="O119" s="4" t="s">
        <v>300</v>
      </c>
      <c r="P119" t="str">
        <f t="shared" si="3"/>
        <v>"40231"</v>
      </c>
    </row>
    <row r="120" spans="1:16" x14ac:dyDescent="0.2">
      <c r="A120" t="s">
        <v>301</v>
      </c>
      <c r="B120" s="5" t="s">
        <v>217</v>
      </c>
      <c r="C120" t="s">
        <v>301</v>
      </c>
      <c r="E120" s="4" t="s">
        <v>301</v>
      </c>
      <c r="F120" t="s">
        <v>250</v>
      </c>
      <c r="G120" t="s">
        <v>301</v>
      </c>
      <c r="I120" t="s">
        <v>298</v>
      </c>
      <c r="J120" t="s">
        <v>299</v>
      </c>
      <c r="K120" s="4" t="s">
        <v>304</v>
      </c>
      <c r="L120" t="str">
        <f t="shared" si="2"/>
        <v>"Franklin City Public Schools"</v>
      </c>
      <c r="M120" t="s">
        <v>302</v>
      </c>
      <c r="N120" t="s">
        <v>303</v>
      </c>
      <c r="O120" s="4" t="s">
        <v>300</v>
      </c>
      <c r="P120" t="str">
        <f t="shared" si="3"/>
        <v>"40232"</v>
      </c>
    </row>
    <row r="121" spans="1:16" x14ac:dyDescent="0.2">
      <c r="A121" t="s">
        <v>301</v>
      </c>
      <c r="B121" s="5" t="s">
        <v>218</v>
      </c>
      <c r="C121" t="s">
        <v>301</v>
      </c>
      <c r="E121" s="4" t="s">
        <v>301</v>
      </c>
      <c r="F121" t="s">
        <v>251</v>
      </c>
      <c r="G121" t="s">
        <v>301</v>
      </c>
      <c r="I121" t="s">
        <v>298</v>
      </c>
      <c r="J121" t="s">
        <v>299</v>
      </c>
      <c r="K121" s="4" t="s">
        <v>304</v>
      </c>
      <c r="L121" t="str">
        <f t="shared" si="2"/>
        <v>"Chesapeake Public Schools"</v>
      </c>
      <c r="M121" t="s">
        <v>302</v>
      </c>
      <c r="N121" t="s">
        <v>303</v>
      </c>
      <c r="O121" s="4" t="s">
        <v>300</v>
      </c>
      <c r="P121" t="str">
        <f t="shared" si="3"/>
        <v>"40233"</v>
      </c>
    </row>
    <row r="122" spans="1:16" x14ac:dyDescent="0.2">
      <c r="A122" t="s">
        <v>301</v>
      </c>
      <c r="B122" s="5" t="s">
        <v>219</v>
      </c>
      <c r="C122" t="s">
        <v>301</v>
      </c>
      <c r="E122" s="4" t="s">
        <v>301</v>
      </c>
      <c r="F122" t="s">
        <v>252</v>
      </c>
      <c r="G122" t="s">
        <v>301</v>
      </c>
      <c r="I122" t="s">
        <v>298</v>
      </c>
      <c r="J122" t="s">
        <v>299</v>
      </c>
      <c r="K122" s="4" t="s">
        <v>304</v>
      </c>
      <c r="L122" t="str">
        <f t="shared" si="2"/>
        <v>"Virginia Beach City School Board"</v>
      </c>
      <c r="M122" t="s">
        <v>302</v>
      </c>
      <c r="N122" t="s">
        <v>303</v>
      </c>
      <c r="O122" s="4" t="s">
        <v>300</v>
      </c>
      <c r="P122" t="str">
        <f t="shared" si="3"/>
        <v>"40234"</v>
      </c>
    </row>
    <row r="123" spans="1:16" x14ac:dyDescent="0.2">
      <c r="A123" t="s">
        <v>301</v>
      </c>
      <c r="B123" s="5" t="s">
        <v>220</v>
      </c>
      <c r="C123" t="s">
        <v>301</v>
      </c>
      <c r="E123" s="4" t="s">
        <v>301</v>
      </c>
      <c r="F123" t="s">
        <v>253</v>
      </c>
      <c r="G123" t="s">
        <v>301</v>
      </c>
      <c r="I123" t="s">
        <v>298</v>
      </c>
      <c r="J123" t="s">
        <v>299</v>
      </c>
      <c r="K123" s="4" t="s">
        <v>304</v>
      </c>
      <c r="L123" t="str">
        <f t="shared" si="2"/>
        <v>"Manassas Park City Schools"</v>
      </c>
      <c r="M123" t="s">
        <v>302</v>
      </c>
      <c r="N123" t="s">
        <v>303</v>
      </c>
      <c r="O123" s="4" t="s">
        <v>300</v>
      </c>
      <c r="P123" t="str">
        <f t="shared" si="3"/>
        <v>"40236"</v>
      </c>
    </row>
    <row r="124" spans="1:16" x14ac:dyDescent="0.2">
      <c r="A124" t="s">
        <v>301</v>
      </c>
      <c r="B124" s="5" t="s">
        <v>221</v>
      </c>
      <c r="C124" t="s">
        <v>301</v>
      </c>
      <c r="E124" s="4" t="s">
        <v>301</v>
      </c>
      <c r="F124" t="s">
        <v>254</v>
      </c>
      <c r="G124" t="s">
        <v>301</v>
      </c>
      <c r="I124" t="s">
        <v>298</v>
      </c>
      <c r="J124" t="s">
        <v>299</v>
      </c>
      <c r="K124" s="4" t="s">
        <v>304</v>
      </c>
      <c r="L124" t="str">
        <f t="shared" si="2"/>
        <v>"Town of West Point School Board"</v>
      </c>
      <c r="M124" t="s">
        <v>302</v>
      </c>
      <c r="N124" t="s">
        <v>303</v>
      </c>
      <c r="O124" s="4" t="s">
        <v>300</v>
      </c>
      <c r="P124" t="str">
        <f t="shared" si="3"/>
        <v>"40306"</v>
      </c>
    </row>
    <row r="125" spans="1:16" x14ac:dyDescent="0.2">
      <c r="A125" t="s">
        <v>301</v>
      </c>
      <c r="B125" s="5" t="s">
        <v>222</v>
      </c>
      <c r="C125" t="s">
        <v>301</v>
      </c>
      <c r="E125" s="4" t="s">
        <v>301</v>
      </c>
      <c r="F125" t="s">
        <v>255</v>
      </c>
      <c r="G125" t="s">
        <v>301</v>
      </c>
      <c r="I125" t="s">
        <v>298</v>
      </c>
      <c r="J125" t="s">
        <v>299</v>
      </c>
      <c r="K125" s="4" t="s">
        <v>304</v>
      </c>
      <c r="L125" t="str">
        <f t="shared" si="2"/>
        <v>"Lexington City School Board"</v>
      </c>
      <c r="M125" t="s">
        <v>302</v>
      </c>
      <c r="N125" t="s">
        <v>303</v>
      </c>
      <c r="O125" s="4" t="s">
        <v>300</v>
      </c>
      <c r="P125" t="str">
        <f t="shared" si="3"/>
        <v>"40307"</v>
      </c>
    </row>
    <row r="126" spans="1:16" x14ac:dyDescent="0.2">
      <c r="A126" t="s">
        <v>301</v>
      </c>
      <c r="B126" s="5" t="s">
        <v>223</v>
      </c>
      <c r="C126" t="s">
        <v>301</v>
      </c>
      <c r="E126" s="4" t="s">
        <v>301</v>
      </c>
      <c r="F126" t="s">
        <v>256</v>
      </c>
      <c r="G126" t="s">
        <v>301</v>
      </c>
      <c r="I126" t="s">
        <v>298</v>
      </c>
      <c r="J126" t="s">
        <v>299</v>
      </c>
      <c r="K126" s="4" t="s">
        <v>304</v>
      </c>
      <c r="L126" t="str">
        <f t="shared" si="2"/>
        <v>"Waynesboro Public Schools"</v>
      </c>
      <c r="M126" t="s">
        <v>302</v>
      </c>
      <c r="N126" t="s">
        <v>303</v>
      </c>
      <c r="O126" s="4" t="s">
        <v>300</v>
      </c>
      <c r="P126" t="str">
        <f t="shared" si="3"/>
        <v>"40308"</v>
      </c>
    </row>
    <row r="127" spans="1:16" x14ac:dyDescent="0.2">
      <c r="A127" t="s">
        <v>301</v>
      </c>
      <c r="B127" s="5" t="s">
        <v>224</v>
      </c>
      <c r="C127" t="s">
        <v>301</v>
      </c>
      <c r="E127" s="4" t="s">
        <v>301</v>
      </c>
      <c r="F127" t="s">
        <v>257</v>
      </c>
      <c r="G127" t="s">
        <v>301</v>
      </c>
      <c r="I127" t="s">
        <v>298</v>
      </c>
      <c r="J127" t="s">
        <v>299</v>
      </c>
      <c r="K127" s="4" t="s">
        <v>304</v>
      </c>
      <c r="L127" t="str">
        <f t="shared" si="2"/>
        <v>"Town of Colonial Beach Schools"</v>
      </c>
      <c r="M127" t="s">
        <v>302</v>
      </c>
      <c r="N127" t="s">
        <v>303</v>
      </c>
      <c r="O127" s="4" t="s">
        <v>300</v>
      </c>
      <c r="P127" t="str">
        <f t="shared" si="3"/>
        <v>"40309"</v>
      </c>
    </row>
    <row r="128" spans="1:16" x14ac:dyDescent="0.2">
      <c r="A128" t="s">
        <v>301</v>
      </c>
      <c r="B128" s="5" t="s">
        <v>225</v>
      </c>
      <c r="C128" t="s">
        <v>301</v>
      </c>
      <c r="E128" s="4" t="s">
        <v>301</v>
      </c>
      <c r="F128" t="s">
        <v>258</v>
      </c>
      <c r="G128" t="s">
        <v>301</v>
      </c>
      <c r="I128" t="s">
        <v>298</v>
      </c>
      <c r="J128" t="s">
        <v>299</v>
      </c>
      <c r="K128" s="4" t="s">
        <v>304</v>
      </c>
      <c r="L128" t="str">
        <f t="shared" si="2"/>
        <v>"Galax City Schools"</v>
      </c>
      <c r="M128" t="s">
        <v>302</v>
      </c>
      <c r="N128" t="s">
        <v>303</v>
      </c>
      <c r="O128" s="4" t="s">
        <v>300</v>
      </c>
      <c r="P128" t="str">
        <f t="shared" si="3"/>
        <v>"40313"</v>
      </c>
    </row>
    <row r="129" spans="1:16" x14ac:dyDescent="0.2">
      <c r="A129" t="s">
        <v>301</v>
      </c>
      <c r="B129" s="5" t="s">
        <v>226</v>
      </c>
      <c r="C129" t="s">
        <v>301</v>
      </c>
      <c r="E129" s="4" t="s">
        <v>301</v>
      </c>
      <c r="F129" t="s">
        <v>259</v>
      </c>
      <c r="G129" t="s">
        <v>301</v>
      </c>
      <c r="I129" t="s">
        <v>298</v>
      </c>
      <c r="J129" t="s">
        <v>299</v>
      </c>
      <c r="K129" s="4" t="s">
        <v>304</v>
      </c>
      <c r="L129" t="str">
        <f t="shared" si="2"/>
        <v>"Norton City Schools"</v>
      </c>
      <c r="M129" t="s">
        <v>302</v>
      </c>
      <c r="N129" t="s">
        <v>303</v>
      </c>
      <c r="O129" s="4" t="s">
        <v>300</v>
      </c>
      <c r="P129" t="str">
        <f t="shared" si="3"/>
        <v>"40314"</v>
      </c>
    </row>
    <row r="130" spans="1:16" x14ac:dyDescent="0.2">
      <c r="A130" t="s">
        <v>301</v>
      </c>
      <c r="B130" s="5" t="s">
        <v>227</v>
      </c>
      <c r="C130" t="s">
        <v>301</v>
      </c>
      <c r="E130" s="4" t="s">
        <v>301</v>
      </c>
      <c r="F130" t="s">
        <v>260</v>
      </c>
      <c r="G130" t="s">
        <v>301</v>
      </c>
      <c r="I130" t="s">
        <v>298</v>
      </c>
      <c r="J130" t="s">
        <v>299</v>
      </c>
      <c r="K130" s="4" t="s">
        <v>304</v>
      </c>
      <c r="L130" t="str">
        <f t="shared" ref="L130:L193" si="4">_xlfn.TEXTJOIN("",TRUE,A130:C130)</f>
        <v>"Manassas City Schools"</v>
      </c>
      <c r="M130" t="s">
        <v>302</v>
      </c>
      <c r="N130" t="s">
        <v>303</v>
      </c>
      <c r="O130" s="4" t="s">
        <v>300</v>
      </c>
      <c r="P130" t="str">
        <f t="shared" ref="P130:P193" si="5">_xlfn.TEXTJOIN("",TRUE,E130:G130)</f>
        <v>"40332"</v>
      </c>
    </row>
    <row r="131" spans="1:16" x14ac:dyDescent="0.2">
      <c r="A131" t="s">
        <v>301</v>
      </c>
      <c r="B131" s="5" t="s">
        <v>228</v>
      </c>
      <c r="C131" t="s">
        <v>301</v>
      </c>
      <c r="E131" s="4" t="s">
        <v>301</v>
      </c>
      <c r="F131" t="s">
        <v>261</v>
      </c>
      <c r="G131" t="s">
        <v>301</v>
      </c>
      <c r="I131" t="s">
        <v>298</v>
      </c>
      <c r="J131" t="s">
        <v>299</v>
      </c>
      <c r="K131" s="4" t="s">
        <v>304</v>
      </c>
      <c r="L131" t="str">
        <f t="shared" si="4"/>
        <v>"City of Salem Schools"</v>
      </c>
      <c r="M131" t="s">
        <v>302</v>
      </c>
      <c r="N131" t="s">
        <v>303</v>
      </c>
      <c r="O131" s="4" t="s">
        <v>300</v>
      </c>
      <c r="P131" t="str">
        <f t="shared" si="5"/>
        <v>"40335"</v>
      </c>
    </row>
    <row r="132" spans="1:16" x14ac:dyDescent="0.2">
      <c r="A132" t="s">
        <v>301</v>
      </c>
      <c r="B132" s="5" t="s">
        <v>262</v>
      </c>
      <c r="C132" t="s">
        <v>301</v>
      </c>
      <c r="E132" s="4" t="s">
        <v>301</v>
      </c>
      <c r="F132" t="s">
        <v>276</v>
      </c>
      <c r="G132" t="s">
        <v>301</v>
      </c>
      <c r="I132" t="s">
        <v>298</v>
      </c>
      <c r="J132" t="s">
        <v>299</v>
      </c>
      <c r="K132" s="4" t="s">
        <v>304</v>
      </c>
      <c r="L132" t="str">
        <f t="shared" si="4"/>
        <v>"Williamsburg‐James City County School Board"</v>
      </c>
      <c r="M132" t="s">
        <v>302</v>
      </c>
      <c r="N132" t="s">
        <v>303</v>
      </c>
      <c r="O132" s="4" t="s">
        <v>300</v>
      </c>
      <c r="P132" t="str">
        <f t="shared" si="5"/>
        <v>"40402"</v>
      </c>
    </row>
    <row r="133" spans="1:16" x14ac:dyDescent="0.2">
      <c r="A133" t="s">
        <v>301</v>
      </c>
      <c r="B133" s="5" t="s">
        <v>263</v>
      </c>
      <c r="C133" t="s">
        <v>301</v>
      </c>
      <c r="E133" s="4" t="s">
        <v>301</v>
      </c>
      <c r="F133" t="s">
        <v>277</v>
      </c>
      <c r="G133" t="s">
        <v>301</v>
      </c>
      <c r="I133" t="s">
        <v>298</v>
      </c>
      <c r="J133" t="s">
        <v>299</v>
      </c>
      <c r="K133" s="4" t="s">
        <v>304</v>
      </c>
      <c r="L133" t="str">
        <f t="shared" si="4"/>
        <v>"Poquoson City Public Schools"</v>
      </c>
      <c r="M133" t="s">
        <v>302</v>
      </c>
      <c r="N133" t="s">
        <v>303</v>
      </c>
      <c r="O133" s="4" t="s">
        <v>300</v>
      </c>
      <c r="P133" t="str">
        <f t="shared" si="5"/>
        <v>"40403"</v>
      </c>
    </row>
    <row r="134" spans="1:16" x14ac:dyDescent="0.2">
      <c r="A134" t="s">
        <v>301</v>
      </c>
      <c r="B134" s="5" t="s">
        <v>264</v>
      </c>
      <c r="C134" t="s">
        <v>301</v>
      </c>
      <c r="E134" s="4" t="s">
        <v>301</v>
      </c>
      <c r="F134" t="s">
        <v>278</v>
      </c>
      <c r="G134" t="s">
        <v>301</v>
      </c>
      <c r="I134" t="s">
        <v>298</v>
      </c>
      <c r="J134" t="s">
        <v>299</v>
      </c>
      <c r="K134" s="4" t="s">
        <v>304</v>
      </c>
      <c r="L134" t="str">
        <f t="shared" si="4"/>
        <v>"Valley Vocational Technical Center"</v>
      </c>
      <c r="M134" t="s">
        <v>302</v>
      </c>
      <c r="N134" t="s">
        <v>303</v>
      </c>
      <c r="O134" s="4" t="s">
        <v>300</v>
      </c>
      <c r="P134" t="str">
        <f t="shared" si="5"/>
        <v>"40410"</v>
      </c>
    </row>
    <row r="135" spans="1:16" x14ac:dyDescent="0.2">
      <c r="A135" t="s">
        <v>301</v>
      </c>
      <c r="B135" s="5" t="s">
        <v>265</v>
      </c>
      <c r="C135" t="s">
        <v>301</v>
      </c>
      <c r="E135" s="4" t="s">
        <v>301</v>
      </c>
      <c r="F135" t="s">
        <v>279</v>
      </c>
      <c r="G135" t="s">
        <v>301</v>
      </c>
      <c r="I135" t="s">
        <v>298</v>
      </c>
      <c r="J135" t="s">
        <v>299</v>
      </c>
      <c r="K135" s="4" t="s">
        <v>304</v>
      </c>
      <c r="L135" t="str">
        <f t="shared" si="4"/>
        <v>"Charlottesville/Albemarle Vo‐Tech Center"</v>
      </c>
      <c r="M135" t="s">
        <v>302</v>
      </c>
      <c r="N135" t="s">
        <v>303</v>
      </c>
      <c r="O135" s="4" t="s">
        <v>300</v>
      </c>
      <c r="P135" t="str">
        <f t="shared" si="5"/>
        <v>"40412"</v>
      </c>
    </row>
    <row r="136" spans="1:16" x14ac:dyDescent="0.2">
      <c r="A136" t="s">
        <v>301</v>
      </c>
      <c r="B136" s="5" t="s">
        <v>266</v>
      </c>
      <c r="C136" t="s">
        <v>301</v>
      </c>
      <c r="E136" s="4" t="s">
        <v>301</v>
      </c>
      <c r="F136" t="s">
        <v>280</v>
      </c>
      <c r="G136" t="s">
        <v>301</v>
      </c>
      <c r="I136" t="s">
        <v>298</v>
      </c>
      <c r="J136" t="s">
        <v>299</v>
      </c>
      <c r="K136" s="4" t="s">
        <v>304</v>
      </c>
      <c r="L136" t="str">
        <f t="shared" si="4"/>
        <v>"The Pruden Center for Industry and Technology"</v>
      </c>
      <c r="M136" t="s">
        <v>302</v>
      </c>
      <c r="N136" t="s">
        <v>303</v>
      </c>
      <c r="O136" s="4" t="s">
        <v>300</v>
      </c>
      <c r="P136" t="str">
        <f t="shared" si="5"/>
        <v>"40413"</v>
      </c>
    </row>
    <row r="137" spans="1:16" x14ac:dyDescent="0.2">
      <c r="A137" t="s">
        <v>301</v>
      </c>
      <c r="B137" s="5" t="s">
        <v>267</v>
      </c>
      <c r="C137" t="s">
        <v>301</v>
      </c>
      <c r="E137" s="4" t="s">
        <v>301</v>
      </c>
      <c r="F137" t="s">
        <v>281</v>
      </c>
      <c r="G137" t="s">
        <v>301</v>
      </c>
      <c r="I137" t="s">
        <v>298</v>
      </c>
      <c r="J137" t="s">
        <v>299</v>
      </c>
      <c r="K137" s="4" t="s">
        <v>304</v>
      </c>
      <c r="L137" t="str">
        <f t="shared" si="4"/>
        <v>"Jackson River Technical Center"</v>
      </c>
      <c r="M137" t="s">
        <v>302</v>
      </c>
      <c r="N137" t="s">
        <v>303</v>
      </c>
      <c r="O137" s="4" t="s">
        <v>300</v>
      </c>
      <c r="P137" t="str">
        <f t="shared" si="5"/>
        <v>"40414"</v>
      </c>
    </row>
    <row r="138" spans="1:16" x14ac:dyDescent="0.2">
      <c r="A138" t="s">
        <v>301</v>
      </c>
      <c r="B138" s="5" t="s">
        <v>268</v>
      </c>
      <c r="C138" t="s">
        <v>301</v>
      </c>
      <c r="E138" s="4" t="s">
        <v>301</v>
      </c>
      <c r="F138" t="s">
        <v>282</v>
      </c>
      <c r="G138" t="s">
        <v>301</v>
      </c>
      <c r="I138" t="s">
        <v>298</v>
      </c>
      <c r="J138" t="s">
        <v>299</v>
      </c>
      <c r="K138" s="4" t="s">
        <v>304</v>
      </c>
      <c r="L138" t="str">
        <f t="shared" si="4"/>
        <v>"New Horizons Technical Center"</v>
      </c>
      <c r="M138" t="s">
        <v>302</v>
      </c>
      <c r="N138" t="s">
        <v>303</v>
      </c>
      <c r="O138" s="4" t="s">
        <v>300</v>
      </c>
      <c r="P138" t="str">
        <f t="shared" si="5"/>
        <v>"40415"</v>
      </c>
    </row>
    <row r="139" spans="1:16" x14ac:dyDescent="0.2">
      <c r="A139" t="s">
        <v>301</v>
      </c>
      <c r="B139" s="5" t="s">
        <v>269</v>
      </c>
      <c r="C139" t="s">
        <v>301</v>
      </c>
      <c r="E139" s="4" t="s">
        <v>301</v>
      </c>
      <c r="F139" t="s">
        <v>283</v>
      </c>
      <c r="G139" t="s">
        <v>301</v>
      </c>
      <c r="I139" t="s">
        <v>298</v>
      </c>
      <c r="J139" t="s">
        <v>299</v>
      </c>
      <c r="K139" s="4" t="s">
        <v>304</v>
      </c>
      <c r="L139" t="str">
        <f t="shared" si="4"/>
        <v>"Northern Neck Regional Vocational Center"</v>
      </c>
      <c r="M139" t="s">
        <v>302</v>
      </c>
      <c r="N139" t="s">
        <v>303</v>
      </c>
      <c r="O139" s="4" t="s">
        <v>300</v>
      </c>
      <c r="P139" t="str">
        <f t="shared" si="5"/>
        <v>"40416"</v>
      </c>
    </row>
    <row r="140" spans="1:16" x14ac:dyDescent="0.2">
      <c r="A140" t="s">
        <v>301</v>
      </c>
      <c r="B140" s="5" t="s">
        <v>270</v>
      </c>
      <c r="C140" t="s">
        <v>301</v>
      </c>
      <c r="E140" s="4" t="s">
        <v>301</v>
      </c>
      <c r="F140" t="s">
        <v>284</v>
      </c>
      <c r="G140" t="s">
        <v>301</v>
      </c>
      <c r="I140" t="s">
        <v>298</v>
      </c>
      <c r="J140" t="s">
        <v>299</v>
      </c>
      <c r="K140" s="4" t="s">
        <v>304</v>
      </c>
      <c r="L140" t="str">
        <f t="shared" si="4"/>
        <v>"Rowanty Vocational Technical Center"</v>
      </c>
      <c r="M140" t="s">
        <v>302</v>
      </c>
      <c r="N140" t="s">
        <v>303</v>
      </c>
      <c r="O140" s="4" t="s">
        <v>300</v>
      </c>
      <c r="P140" t="str">
        <f t="shared" si="5"/>
        <v>"40417"</v>
      </c>
    </row>
    <row r="141" spans="1:16" x14ac:dyDescent="0.2">
      <c r="A141" t="s">
        <v>301</v>
      </c>
      <c r="B141" s="5" t="s">
        <v>271</v>
      </c>
      <c r="C141" t="s">
        <v>301</v>
      </c>
      <c r="E141" s="4" t="s">
        <v>301</v>
      </c>
      <c r="F141" t="s">
        <v>285</v>
      </c>
      <c r="G141" t="s">
        <v>301</v>
      </c>
      <c r="I141" t="s">
        <v>298</v>
      </c>
      <c r="J141" t="s">
        <v>299</v>
      </c>
      <c r="K141" s="4" t="s">
        <v>304</v>
      </c>
      <c r="L141" t="str">
        <f t="shared" si="4"/>
        <v>"Amelia‐Nottoway Vocational Center"</v>
      </c>
      <c r="M141" t="s">
        <v>302</v>
      </c>
      <c r="N141" t="s">
        <v>303</v>
      </c>
      <c r="O141" s="4" t="s">
        <v>300</v>
      </c>
      <c r="P141" t="str">
        <f t="shared" si="5"/>
        <v>"40418"</v>
      </c>
    </row>
    <row r="142" spans="1:16" x14ac:dyDescent="0.2">
      <c r="A142" t="s">
        <v>301</v>
      </c>
      <c r="B142" s="5" t="s">
        <v>272</v>
      </c>
      <c r="C142" t="s">
        <v>301</v>
      </c>
      <c r="E142" s="4" t="s">
        <v>301</v>
      </c>
      <c r="F142" t="s">
        <v>286</v>
      </c>
      <c r="G142" t="s">
        <v>301</v>
      </c>
      <c r="I142" t="s">
        <v>298</v>
      </c>
      <c r="J142" t="s">
        <v>299</v>
      </c>
      <c r="K142" s="4" t="s">
        <v>304</v>
      </c>
      <c r="L142" t="str">
        <f t="shared" si="4"/>
        <v>"Northern Neck Regional Special Education Program"</v>
      </c>
      <c r="M142" t="s">
        <v>302</v>
      </c>
      <c r="N142" t="s">
        <v>303</v>
      </c>
      <c r="O142" s="4" t="s">
        <v>300</v>
      </c>
      <c r="P142" t="str">
        <f t="shared" si="5"/>
        <v>"40421"</v>
      </c>
    </row>
    <row r="143" spans="1:16" x14ac:dyDescent="0.2">
      <c r="A143" t="s">
        <v>301</v>
      </c>
      <c r="B143" s="5" t="s">
        <v>273</v>
      </c>
      <c r="C143" t="s">
        <v>301</v>
      </c>
      <c r="E143" s="4" t="s">
        <v>301</v>
      </c>
      <c r="F143" t="s">
        <v>287</v>
      </c>
      <c r="G143" t="s">
        <v>301</v>
      </c>
      <c r="I143" t="s">
        <v>298</v>
      </c>
      <c r="J143" t="s">
        <v>299</v>
      </c>
      <c r="K143" s="4" t="s">
        <v>304</v>
      </c>
      <c r="L143" t="str">
        <f t="shared" si="4"/>
        <v>"Maggie Walker Governor's School for Govt &amp; Intl Studies"</v>
      </c>
      <c r="M143" t="s">
        <v>302</v>
      </c>
      <c r="N143" t="s">
        <v>303</v>
      </c>
      <c r="O143" s="4" t="s">
        <v>300</v>
      </c>
      <c r="P143" t="str">
        <f t="shared" si="5"/>
        <v>"40423"</v>
      </c>
    </row>
    <row r="144" spans="1:16" x14ac:dyDescent="0.2">
      <c r="A144" t="s">
        <v>301</v>
      </c>
      <c r="B144" s="5" t="s">
        <v>274</v>
      </c>
      <c r="C144" t="s">
        <v>301</v>
      </c>
      <c r="E144" s="4" t="s">
        <v>301</v>
      </c>
      <c r="F144" t="s">
        <v>288</v>
      </c>
      <c r="G144" t="s">
        <v>301</v>
      </c>
      <c r="I144" t="s">
        <v>298</v>
      </c>
      <c r="J144" t="s">
        <v>299</v>
      </c>
      <c r="K144" s="4" t="s">
        <v>304</v>
      </c>
      <c r="L144" t="str">
        <f t="shared" si="4"/>
        <v>"Appomattox Region Governor's School"</v>
      </c>
      <c r="M144" t="s">
        <v>302</v>
      </c>
      <c r="N144" t="s">
        <v>303</v>
      </c>
      <c r="O144" s="4" t="s">
        <v>300</v>
      </c>
      <c r="P144" t="str">
        <f t="shared" si="5"/>
        <v>"40424"</v>
      </c>
    </row>
    <row r="145" spans="1:16" x14ac:dyDescent="0.2">
      <c r="A145" t="s">
        <v>301</v>
      </c>
      <c r="B145" s="5" t="s">
        <v>275</v>
      </c>
      <c r="C145" t="s">
        <v>301</v>
      </c>
      <c r="E145" s="4" t="s">
        <v>301</v>
      </c>
      <c r="F145" t="s">
        <v>289</v>
      </c>
      <c r="G145" t="s">
        <v>301</v>
      </c>
      <c r="I145" t="s">
        <v>298</v>
      </c>
      <c r="J145" t="s">
        <v>299</v>
      </c>
      <c r="K145" s="4" t="s">
        <v>304</v>
      </c>
      <c r="L145" t="str">
        <f t="shared" si="4"/>
        <v>"Bridging Communities Regional Career and Tech Center"</v>
      </c>
      <c r="M145" t="s">
        <v>302</v>
      </c>
      <c r="N145" t="s">
        <v>303</v>
      </c>
      <c r="O145" s="4" t="s">
        <v>300</v>
      </c>
      <c r="P145" t="str">
        <f t="shared" si="5"/>
        <v>"40425"</v>
      </c>
    </row>
    <row r="146" spans="1:16" x14ac:dyDescent="0.2">
      <c r="A146" t="s">
        <v>301</v>
      </c>
      <c r="B146" s="5" t="s">
        <v>0</v>
      </c>
      <c r="C146" t="s">
        <v>301</v>
      </c>
      <c r="E146" s="4" t="s">
        <v>301</v>
      </c>
      <c r="F146" t="s">
        <v>32</v>
      </c>
      <c r="G146" t="s">
        <v>301</v>
      </c>
      <c r="I146" t="s">
        <v>298</v>
      </c>
      <c r="J146" t="s">
        <v>299</v>
      </c>
      <c r="K146" s="4" t="s">
        <v>304</v>
      </c>
      <c r="L146" t="str">
        <f t="shared" si="4"/>
        <v>"Accomack County School Board"</v>
      </c>
      <c r="M146" t="s">
        <v>302</v>
      </c>
      <c r="N146" t="s">
        <v>303</v>
      </c>
      <c r="O146" s="4" t="s">
        <v>300</v>
      </c>
      <c r="P146" t="str">
        <f t="shared" si="5"/>
        <v>"40100"</v>
      </c>
    </row>
    <row r="147" spans="1:16" x14ac:dyDescent="0.2">
      <c r="A147" t="s">
        <v>301</v>
      </c>
      <c r="B147" s="5" t="s">
        <v>1</v>
      </c>
      <c r="C147" t="s">
        <v>301</v>
      </c>
      <c r="E147" s="4" t="s">
        <v>301</v>
      </c>
      <c r="F147" t="s">
        <v>33</v>
      </c>
      <c r="G147" t="s">
        <v>301</v>
      </c>
      <c r="I147" t="s">
        <v>298</v>
      </c>
      <c r="J147" t="s">
        <v>299</v>
      </c>
      <c r="K147" s="4" t="s">
        <v>304</v>
      </c>
      <c r="L147" t="str">
        <f t="shared" si="4"/>
        <v>"Albemarle County Schools"</v>
      </c>
      <c r="M147" t="s">
        <v>302</v>
      </c>
      <c r="N147" t="s">
        <v>303</v>
      </c>
      <c r="O147" s="4" t="s">
        <v>300</v>
      </c>
      <c r="P147" t="str">
        <f t="shared" si="5"/>
        <v>"40101"</v>
      </c>
    </row>
    <row r="148" spans="1:16" x14ac:dyDescent="0.2">
      <c r="A148" t="s">
        <v>301</v>
      </c>
      <c r="B148" s="5" t="s">
        <v>2</v>
      </c>
      <c r="C148" t="s">
        <v>301</v>
      </c>
      <c r="E148" s="4" t="s">
        <v>301</v>
      </c>
      <c r="F148" t="s">
        <v>34</v>
      </c>
      <c r="G148" t="s">
        <v>301</v>
      </c>
      <c r="I148" t="s">
        <v>298</v>
      </c>
      <c r="J148" t="s">
        <v>299</v>
      </c>
      <c r="K148" s="4" t="s">
        <v>304</v>
      </c>
      <c r="L148" t="str">
        <f t="shared" si="4"/>
        <v>"Alleghany County School Board"</v>
      </c>
      <c r="M148" t="s">
        <v>302</v>
      </c>
      <c r="N148" t="s">
        <v>303</v>
      </c>
      <c r="O148" s="4" t="s">
        <v>300</v>
      </c>
      <c r="P148" t="str">
        <f t="shared" si="5"/>
        <v>"40102"</v>
      </c>
    </row>
    <row r="149" spans="1:16" x14ac:dyDescent="0.2">
      <c r="A149" t="s">
        <v>301</v>
      </c>
      <c r="B149" s="5" t="s">
        <v>3</v>
      </c>
      <c r="C149" t="s">
        <v>301</v>
      </c>
      <c r="E149" s="4" t="s">
        <v>301</v>
      </c>
      <c r="F149" t="s">
        <v>35</v>
      </c>
      <c r="G149" t="s">
        <v>301</v>
      </c>
      <c r="I149" t="s">
        <v>298</v>
      </c>
      <c r="J149" t="s">
        <v>299</v>
      </c>
      <c r="K149" s="4" t="s">
        <v>304</v>
      </c>
      <c r="L149" t="str">
        <f t="shared" si="4"/>
        <v>"Amelia County School Board"</v>
      </c>
      <c r="M149" t="s">
        <v>302</v>
      </c>
      <c r="N149" t="s">
        <v>303</v>
      </c>
      <c r="O149" s="4" t="s">
        <v>300</v>
      </c>
      <c r="P149" t="str">
        <f t="shared" si="5"/>
        <v>"40103"</v>
      </c>
    </row>
    <row r="150" spans="1:16" x14ac:dyDescent="0.2">
      <c r="A150" t="s">
        <v>301</v>
      </c>
      <c r="B150" s="5" t="s">
        <v>4</v>
      </c>
      <c r="C150" t="s">
        <v>301</v>
      </c>
      <c r="E150" s="4" t="s">
        <v>301</v>
      </c>
      <c r="F150" t="s">
        <v>36</v>
      </c>
      <c r="G150" t="s">
        <v>301</v>
      </c>
      <c r="I150" t="s">
        <v>298</v>
      </c>
      <c r="J150" t="s">
        <v>299</v>
      </c>
      <c r="K150" s="4" t="s">
        <v>304</v>
      </c>
      <c r="L150" t="str">
        <f t="shared" si="4"/>
        <v>"Amherst County School Board"</v>
      </c>
      <c r="M150" t="s">
        <v>302</v>
      </c>
      <c r="N150" t="s">
        <v>303</v>
      </c>
      <c r="O150" s="4" t="s">
        <v>300</v>
      </c>
      <c r="P150" t="str">
        <f t="shared" si="5"/>
        <v>"40104"</v>
      </c>
    </row>
    <row r="151" spans="1:16" x14ac:dyDescent="0.2">
      <c r="A151" t="s">
        <v>301</v>
      </c>
      <c r="B151" s="5" t="s">
        <v>5</v>
      </c>
      <c r="C151" t="s">
        <v>301</v>
      </c>
      <c r="E151" s="4" t="s">
        <v>301</v>
      </c>
      <c r="F151" t="s">
        <v>37</v>
      </c>
      <c r="G151" t="s">
        <v>301</v>
      </c>
      <c r="I151" t="s">
        <v>298</v>
      </c>
      <c r="J151" t="s">
        <v>299</v>
      </c>
      <c r="K151" s="4" t="s">
        <v>304</v>
      </c>
      <c r="L151" t="str">
        <f t="shared" si="4"/>
        <v>"Appomattox County School Board"</v>
      </c>
      <c r="M151" t="s">
        <v>302</v>
      </c>
      <c r="N151" t="s">
        <v>303</v>
      </c>
      <c r="O151" s="4" t="s">
        <v>300</v>
      </c>
      <c r="P151" t="str">
        <f t="shared" si="5"/>
        <v>"40105"</v>
      </c>
    </row>
    <row r="152" spans="1:16" x14ac:dyDescent="0.2">
      <c r="A152" t="s">
        <v>301</v>
      </c>
      <c r="B152" s="5" t="s">
        <v>6</v>
      </c>
      <c r="C152" t="s">
        <v>301</v>
      </c>
      <c r="E152" s="4" t="s">
        <v>301</v>
      </c>
      <c r="F152" t="s">
        <v>38</v>
      </c>
      <c r="G152" t="s">
        <v>301</v>
      </c>
      <c r="I152" t="s">
        <v>298</v>
      </c>
      <c r="J152" t="s">
        <v>299</v>
      </c>
      <c r="K152" s="4" t="s">
        <v>304</v>
      </c>
      <c r="L152" t="str">
        <f t="shared" si="4"/>
        <v>"Arlington Public Schools"</v>
      </c>
      <c r="M152" t="s">
        <v>302</v>
      </c>
      <c r="N152" t="s">
        <v>303</v>
      </c>
      <c r="O152" s="4" t="s">
        <v>300</v>
      </c>
      <c r="P152" t="str">
        <f t="shared" si="5"/>
        <v>"40106"</v>
      </c>
    </row>
    <row r="153" spans="1:16" x14ac:dyDescent="0.2">
      <c r="A153" t="s">
        <v>301</v>
      </c>
      <c r="B153" s="5" t="s">
        <v>7</v>
      </c>
      <c r="C153" t="s">
        <v>301</v>
      </c>
      <c r="E153" s="4" t="s">
        <v>301</v>
      </c>
      <c r="F153" t="s">
        <v>39</v>
      </c>
      <c r="G153" t="s">
        <v>301</v>
      </c>
      <c r="I153" t="s">
        <v>298</v>
      </c>
      <c r="J153" t="s">
        <v>299</v>
      </c>
      <c r="K153" s="4" t="s">
        <v>304</v>
      </c>
      <c r="L153" t="str">
        <f t="shared" si="4"/>
        <v>"Augusta County School Board"</v>
      </c>
      <c r="M153" t="s">
        <v>302</v>
      </c>
      <c r="N153" t="s">
        <v>303</v>
      </c>
      <c r="O153" s="4" t="s">
        <v>300</v>
      </c>
      <c r="P153" t="str">
        <f t="shared" si="5"/>
        <v>"40107"</v>
      </c>
    </row>
    <row r="154" spans="1:16" x14ac:dyDescent="0.2">
      <c r="A154" t="s">
        <v>301</v>
      </c>
      <c r="B154" s="5" t="s">
        <v>8</v>
      </c>
      <c r="C154" t="s">
        <v>301</v>
      </c>
      <c r="E154" s="4" t="s">
        <v>301</v>
      </c>
      <c r="F154" t="s">
        <v>40</v>
      </c>
      <c r="G154" t="s">
        <v>301</v>
      </c>
      <c r="I154" t="s">
        <v>298</v>
      </c>
      <c r="J154" t="s">
        <v>299</v>
      </c>
      <c r="K154" s="4" t="s">
        <v>304</v>
      </c>
      <c r="L154" t="str">
        <f t="shared" si="4"/>
        <v>"Bath County School Board"</v>
      </c>
      <c r="M154" t="s">
        <v>302</v>
      </c>
      <c r="N154" t="s">
        <v>303</v>
      </c>
      <c r="O154" s="4" t="s">
        <v>300</v>
      </c>
      <c r="P154" t="str">
        <f t="shared" si="5"/>
        <v>"40108"</v>
      </c>
    </row>
    <row r="155" spans="1:16" x14ac:dyDescent="0.2">
      <c r="A155" t="s">
        <v>301</v>
      </c>
      <c r="B155" s="5" t="s">
        <v>9</v>
      </c>
      <c r="C155" t="s">
        <v>301</v>
      </c>
      <c r="E155" s="4" t="s">
        <v>301</v>
      </c>
      <c r="F155" t="s">
        <v>41</v>
      </c>
      <c r="G155" t="s">
        <v>301</v>
      </c>
      <c r="I155" t="s">
        <v>298</v>
      </c>
      <c r="J155" t="s">
        <v>299</v>
      </c>
      <c r="K155" s="4" t="s">
        <v>304</v>
      </c>
      <c r="L155" t="str">
        <f t="shared" si="4"/>
        <v>"Bedford County School Board"</v>
      </c>
      <c r="M155" t="s">
        <v>302</v>
      </c>
      <c r="N155" t="s">
        <v>303</v>
      </c>
      <c r="O155" s="4" t="s">
        <v>300</v>
      </c>
      <c r="P155" t="str">
        <f t="shared" si="5"/>
        <v>"40109"</v>
      </c>
    </row>
    <row r="156" spans="1:16" x14ac:dyDescent="0.2">
      <c r="A156" t="s">
        <v>301</v>
      </c>
      <c r="B156" s="5" t="s">
        <v>10</v>
      </c>
      <c r="C156" t="s">
        <v>301</v>
      </c>
      <c r="E156" s="4" t="s">
        <v>301</v>
      </c>
      <c r="F156" t="s">
        <v>42</v>
      </c>
      <c r="G156" t="s">
        <v>301</v>
      </c>
      <c r="I156" t="s">
        <v>298</v>
      </c>
      <c r="J156" t="s">
        <v>299</v>
      </c>
      <c r="K156" s="4" t="s">
        <v>304</v>
      </c>
      <c r="L156" t="str">
        <f t="shared" si="4"/>
        <v>"Bland County School Board"</v>
      </c>
      <c r="M156" t="s">
        <v>302</v>
      </c>
      <c r="N156" t="s">
        <v>303</v>
      </c>
      <c r="O156" s="4" t="s">
        <v>300</v>
      </c>
      <c r="P156" t="str">
        <f t="shared" si="5"/>
        <v>"40110"</v>
      </c>
    </row>
    <row r="157" spans="1:16" x14ac:dyDescent="0.2">
      <c r="A157" t="s">
        <v>301</v>
      </c>
      <c r="B157" s="5" t="s">
        <v>11</v>
      </c>
      <c r="C157" t="s">
        <v>301</v>
      </c>
      <c r="E157" s="4" t="s">
        <v>301</v>
      </c>
      <c r="F157" t="s">
        <v>43</v>
      </c>
      <c r="G157" t="s">
        <v>301</v>
      </c>
      <c r="I157" t="s">
        <v>298</v>
      </c>
      <c r="J157" t="s">
        <v>299</v>
      </c>
      <c r="K157" s="4" t="s">
        <v>304</v>
      </c>
      <c r="L157" t="str">
        <f t="shared" si="4"/>
        <v>"Botetourt County Schools"</v>
      </c>
      <c r="M157" t="s">
        <v>302</v>
      </c>
      <c r="N157" t="s">
        <v>303</v>
      </c>
      <c r="O157" s="4" t="s">
        <v>300</v>
      </c>
      <c r="P157" t="str">
        <f t="shared" si="5"/>
        <v>"40111"</v>
      </c>
    </row>
    <row r="158" spans="1:16" x14ac:dyDescent="0.2">
      <c r="A158" t="s">
        <v>301</v>
      </c>
      <c r="B158" s="5" t="s">
        <v>12</v>
      </c>
      <c r="C158" t="s">
        <v>301</v>
      </c>
      <c r="E158" s="4" t="s">
        <v>301</v>
      </c>
      <c r="F158" t="s">
        <v>44</v>
      </c>
      <c r="G158" t="s">
        <v>301</v>
      </c>
      <c r="I158" t="s">
        <v>298</v>
      </c>
      <c r="J158" t="s">
        <v>299</v>
      </c>
      <c r="K158" s="4" t="s">
        <v>304</v>
      </c>
      <c r="L158" t="str">
        <f t="shared" si="4"/>
        <v>"Brunswick County Public Schools"</v>
      </c>
      <c r="M158" t="s">
        <v>302</v>
      </c>
      <c r="N158" t="s">
        <v>303</v>
      </c>
      <c r="O158" s="4" t="s">
        <v>300</v>
      </c>
      <c r="P158" t="str">
        <f t="shared" si="5"/>
        <v>"40112"</v>
      </c>
    </row>
    <row r="159" spans="1:16" x14ac:dyDescent="0.2">
      <c r="A159" t="s">
        <v>301</v>
      </c>
      <c r="B159" s="5" t="s">
        <v>13</v>
      </c>
      <c r="C159" t="s">
        <v>301</v>
      </c>
      <c r="E159" s="4" t="s">
        <v>301</v>
      </c>
      <c r="F159" t="s">
        <v>45</v>
      </c>
      <c r="G159" t="s">
        <v>301</v>
      </c>
      <c r="I159" t="s">
        <v>298</v>
      </c>
      <c r="J159" t="s">
        <v>299</v>
      </c>
      <c r="K159" s="4" t="s">
        <v>304</v>
      </c>
      <c r="L159" t="str">
        <f t="shared" si="4"/>
        <v>"Buchanan County School Board"</v>
      </c>
      <c r="M159" t="s">
        <v>302</v>
      </c>
      <c r="N159" t="s">
        <v>303</v>
      </c>
      <c r="O159" s="4" t="s">
        <v>300</v>
      </c>
      <c r="P159" t="str">
        <f t="shared" si="5"/>
        <v>"40113"</v>
      </c>
    </row>
    <row r="160" spans="1:16" x14ac:dyDescent="0.2">
      <c r="A160" t="s">
        <v>301</v>
      </c>
      <c r="B160" s="5" t="s">
        <v>14</v>
      </c>
      <c r="C160" t="s">
        <v>301</v>
      </c>
      <c r="E160" s="4" t="s">
        <v>301</v>
      </c>
      <c r="F160" t="s">
        <v>46</v>
      </c>
      <c r="G160" t="s">
        <v>301</v>
      </c>
      <c r="I160" t="s">
        <v>298</v>
      </c>
      <c r="J160" t="s">
        <v>299</v>
      </c>
      <c r="K160" s="4" t="s">
        <v>304</v>
      </c>
      <c r="L160" t="str">
        <f t="shared" si="4"/>
        <v>"Buckingham County School Board"</v>
      </c>
      <c r="M160" t="s">
        <v>302</v>
      </c>
      <c r="N160" t="s">
        <v>303</v>
      </c>
      <c r="O160" s="4" t="s">
        <v>300</v>
      </c>
      <c r="P160" t="str">
        <f t="shared" si="5"/>
        <v>"40114"</v>
      </c>
    </row>
    <row r="161" spans="1:16" x14ac:dyDescent="0.2">
      <c r="A161" t="s">
        <v>301</v>
      </c>
      <c r="B161" s="5" t="s">
        <v>15</v>
      </c>
      <c r="C161" t="s">
        <v>301</v>
      </c>
      <c r="E161" s="4" t="s">
        <v>301</v>
      </c>
      <c r="F161" t="s">
        <v>47</v>
      </c>
      <c r="G161" t="s">
        <v>301</v>
      </c>
      <c r="I161" t="s">
        <v>298</v>
      </c>
      <c r="J161" t="s">
        <v>299</v>
      </c>
      <c r="K161" s="4" t="s">
        <v>304</v>
      </c>
      <c r="L161" t="str">
        <f t="shared" si="4"/>
        <v>"Campbell County School Board"</v>
      </c>
      <c r="M161" t="s">
        <v>302</v>
      </c>
      <c r="N161" t="s">
        <v>303</v>
      </c>
      <c r="O161" s="4" t="s">
        <v>300</v>
      </c>
      <c r="P161" t="str">
        <f t="shared" si="5"/>
        <v>"40115"</v>
      </c>
    </row>
    <row r="162" spans="1:16" x14ac:dyDescent="0.2">
      <c r="A162" t="s">
        <v>301</v>
      </c>
      <c r="B162" s="5" t="s">
        <v>16</v>
      </c>
      <c r="C162" t="s">
        <v>301</v>
      </c>
      <c r="E162" s="4" t="s">
        <v>301</v>
      </c>
      <c r="F162" t="s">
        <v>48</v>
      </c>
      <c r="G162" t="s">
        <v>301</v>
      </c>
      <c r="I162" t="s">
        <v>298</v>
      </c>
      <c r="J162" t="s">
        <v>299</v>
      </c>
      <c r="K162" s="4" t="s">
        <v>304</v>
      </c>
      <c r="L162" t="str">
        <f t="shared" si="4"/>
        <v>"Caroline County School Board"</v>
      </c>
      <c r="M162" t="s">
        <v>302</v>
      </c>
      <c r="N162" t="s">
        <v>303</v>
      </c>
      <c r="O162" s="4" t="s">
        <v>300</v>
      </c>
      <c r="P162" t="str">
        <f t="shared" si="5"/>
        <v>"40116"</v>
      </c>
    </row>
    <row r="163" spans="1:16" x14ac:dyDescent="0.2">
      <c r="A163" t="s">
        <v>301</v>
      </c>
      <c r="B163" s="5" t="s">
        <v>17</v>
      </c>
      <c r="C163" t="s">
        <v>301</v>
      </c>
      <c r="E163" s="4" t="s">
        <v>301</v>
      </c>
      <c r="F163" t="s">
        <v>49</v>
      </c>
      <c r="G163" t="s">
        <v>301</v>
      </c>
      <c r="I163" t="s">
        <v>298</v>
      </c>
      <c r="J163" t="s">
        <v>299</v>
      </c>
      <c r="K163" s="4" t="s">
        <v>304</v>
      </c>
      <c r="L163" t="str">
        <f t="shared" si="4"/>
        <v>"Carroll County School Board"</v>
      </c>
      <c r="M163" t="s">
        <v>302</v>
      </c>
      <c r="N163" t="s">
        <v>303</v>
      </c>
      <c r="O163" s="4" t="s">
        <v>300</v>
      </c>
      <c r="P163" t="str">
        <f t="shared" si="5"/>
        <v>"40117"</v>
      </c>
    </row>
    <row r="164" spans="1:16" x14ac:dyDescent="0.2">
      <c r="A164" t="s">
        <v>301</v>
      </c>
      <c r="B164" s="5" t="s">
        <v>18</v>
      </c>
      <c r="C164" t="s">
        <v>301</v>
      </c>
      <c r="E164" s="4" t="s">
        <v>301</v>
      </c>
      <c r="F164" t="s">
        <v>50</v>
      </c>
      <c r="G164" t="s">
        <v>301</v>
      </c>
      <c r="I164" t="s">
        <v>298</v>
      </c>
      <c r="J164" t="s">
        <v>299</v>
      </c>
      <c r="K164" s="4" t="s">
        <v>304</v>
      </c>
      <c r="L164" t="str">
        <f t="shared" si="4"/>
        <v>"Charles City County School Board"</v>
      </c>
      <c r="M164" t="s">
        <v>302</v>
      </c>
      <c r="N164" t="s">
        <v>303</v>
      </c>
      <c r="O164" s="4" t="s">
        <v>300</v>
      </c>
      <c r="P164" t="str">
        <f t="shared" si="5"/>
        <v>"40118"</v>
      </c>
    </row>
    <row r="165" spans="1:16" x14ac:dyDescent="0.2">
      <c r="A165" t="s">
        <v>301</v>
      </c>
      <c r="B165" s="5" t="s">
        <v>19</v>
      </c>
      <c r="C165" t="s">
        <v>301</v>
      </c>
      <c r="E165" s="4" t="s">
        <v>301</v>
      </c>
      <c r="F165" t="s">
        <v>51</v>
      </c>
      <c r="G165" t="s">
        <v>301</v>
      </c>
      <c r="I165" t="s">
        <v>298</v>
      </c>
      <c r="J165" t="s">
        <v>299</v>
      </c>
      <c r="K165" s="4" t="s">
        <v>304</v>
      </c>
      <c r="L165" t="str">
        <f t="shared" si="4"/>
        <v>"Charlotte County School Board"</v>
      </c>
      <c r="M165" t="s">
        <v>302</v>
      </c>
      <c r="N165" t="s">
        <v>303</v>
      </c>
      <c r="O165" s="4" t="s">
        <v>300</v>
      </c>
      <c r="P165" t="str">
        <f t="shared" si="5"/>
        <v>"40119"</v>
      </c>
    </row>
    <row r="166" spans="1:16" x14ac:dyDescent="0.2">
      <c r="A166" t="s">
        <v>301</v>
      </c>
      <c r="B166" s="5" t="s">
        <v>20</v>
      </c>
      <c r="C166" t="s">
        <v>301</v>
      </c>
      <c r="E166" s="4" t="s">
        <v>301</v>
      </c>
      <c r="F166" t="s">
        <v>52</v>
      </c>
      <c r="G166" t="s">
        <v>301</v>
      </c>
      <c r="I166" t="s">
        <v>298</v>
      </c>
      <c r="J166" t="s">
        <v>299</v>
      </c>
      <c r="K166" s="4" t="s">
        <v>304</v>
      </c>
      <c r="L166" t="str">
        <f t="shared" si="4"/>
        <v>"Chesterfield County School Board"</v>
      </c>
      <c r="M166" t="s">
        <v>302</v>
      </c>
      <c r="N166" t="s">
        <v>303</v>
      </c>
      <c r="O166" s="4" t="s">
        <v>300</v>
      </c>
      <c r="P166" t="str">
        <f t="shared" si="5"/>
        <v>"40120"</v>
      </c>
    </row>
    <row r="167" spans="1:16" x14ac:dyDescent="0.2">
      <c r="A167" t="s">
        <v>301</v>
      </c>
      <c r="B167" s="5" t="s">
        <v>21</v>
      </c>
      <c r="C167" t="s">
        <v>301</v>
      </c>
      <c r="E167" s="4" t="s">
        <v>301</v>
      </c>
      <c r="F167" t="s">
        <v>53</v>
      </c>
      <c r="G167" t="s">
        <v>301</v>
      </c>
      <c r="I167" t="s">
        <v>298</v>
      </c>
      <c r="J167" t="s">
        <v>299</v>
      </c>
      <c r="K167" s="4" t="s">
        <v>304</v>
      </c>
      <c r="L167" t="str">
        <f t="shared" si="4"/>
        <v>"Clarke County School Board"</v>
      </c>
      <c r="M167" t="s">
        <v>302</v>
      </c>
      <c r="N167" t="s">
        <v>303</v>
      </c>
      <c r="O167" s="4" t="s">
        <v>300</v>
      </c>
      <c r="P167" t="str">
        <f t="shared" si="5"/>
        <v>"40121"</v>
      </c>
    </row>
    <row r="168" spans="1:16" x14ac:dyDescent="0.2">
      <c r="A168" t="s">
        <v>301</v>
      </c>
      <c r="B168" s="5" t="s">
        <v>22</v>
      </c>
      <c r="C168" t="s">
        <v>301</v>
      </c>
      <c r="E168" s="4" t="s">
        <v>301</v>
      </c>
      <c r="F168" t="s">
        <v>54</v>
      </c>
      <c r="G168" t="s">
        <v>301</v>
      </c>
      <c r="I168" t="s">
        <v>298</v>
      </c>
      <c r="J168" t="s">
        <v>299</v>
      </c>
      <c r="K168" s="4" t="s">
        <v>304</v>
      </c>
      <c r="L168" t="str">
        <f t="shared" si="4"/>
        <v>"Craig County School Board"</v>
      </c>
      <c r="M168" t="s">
        <v>302</v>
      </c>
      <c r="N168" t="s">
        <v>303</v>
      </c>
      <c r="O168" s="4" t="s">
        <v>300</v>
      </c>
      <c r="P168" t="str">
        <f t="shared" si="5"/>
        <v>"40122"</v>
      </c>
    </row>
    <row r="169" spans="1:16" x14ac:dyDescent="0.2">
      <c r="A169" t="s">
        <v>301</v>
      </c>
      <c r="B169" s="5" t="s">
        <v>23</v>
      </c>
      <c r="C169" t="s">
        <v>301</v>
      </c>
      <c r="E169" s="4" t="s">
        <v>301</v>
      </c>
      <c r="F169" t="s">
        <v>55</v>
      </c>
      <c r="G169" t="s">
        <v>301</v>
      </c>
      <c r="I169" t="s">
        <v>298</v>
      </c>
      <c r="J169" t="s">
        <v>299</v>
      </c>
      <c r="K169" s="4" t="s">
        <v>304</v>
      </c>
      <c r="L169" t="str">
        <f t="shared" si="4"/>
        <v>"Culpeper County School Board"</v>
      </c>
      <c r="M169" t="s">
        <v>302</v>
      </c>
      <c r="N169" t="s">
        <v>303</v>
      </c>
      <c r="O169" s="4" t="s">
        <v>300</v>
      </c>
      <c r="P169" t="str">
        <f t="shared" si="5"/>
        <v>"40123"</v>
      </c>
    </row>
    <row r="170" spans="1:16" x14ac:dyDescent="0.2">
      <c r="A170" t="s">
        <v>301</v>
      </c>
      <c r="B170" s="5" t="s">
        <v>24</v>
      </c>
      <c r="C170" t="s">
        <v>301</v>
      </c>
      <c r="E170" s="4" t="s">
        <v>301</v>
      </c>
      <c r="F170" t="s">
        <v>56</v>
      </c>
      <c r="G170" t="s">
        <v>301</v>
      </c>
      <c r="I170" t="s">
        <v>298</v>
      </c>
      <c r="J170" t="s">
        <v>299</v>
      </c>
      <c r="K170" s="4" t="s">
        <v>304</v>
      </c>
      <c r="L170" t="str">
        <f t="shared" si="4"/>
        <v>"Cumberland County School Board"</v>
      </c>
      <c r="M170" t="s">
        <v>302</v>
      </c>
      <c r="N170" t="s">
        <v>303</v>
      </c>
      <c r="O170" s="4" t="s">
        <v>300</v>
      </c>
      <c r="P170" t="str">
        <f t="shared" si="5"/>
        <v>"40124"</v>
      </c>
    </row>
    <row r="171" spans="1:16" x14ac:dyDescent="0.2">
      <c r="A171" t="s">
        <v>301</v>
      </c>
      <c r="B171" s="5" t="s">
        <v>25</v>
      </c>
      <c r="C171" t="s">
        <v>301</v>
      </c>
      <c r="E171" s="4" t="s">
        <v>301</v>
      </c>
      <c r="F171" t="s">
        <v>57</v>
      </c>
      <c r="G171" t="s">
        <v>301</v>
      </c>
      <c r="I171" t="s">
        <v>298</v>
      </c>
      <c r="J171" t="s">
        <v>299</v>
      </c>
      <c r="K171" s="4" t="s">
        <v>304</v>
      </c>
      <c r="L171" t="str">
        <f t="shared" si="4"/>
        <v>"Dickenson County School Board"</v>
      </c>
      <c r="M171" t="s">
        <v>302</v>
      </c>
      <c r="N171" t="s">
        <v>303</v>
      </c>
      <c r="O171" s="4" t="s">
        <v>300</v>
      </c>
      <c r="P171" t="str">
        <f t="shared" si="5"/>
        <v>"40125"</v>
      </c>
    </row>
    <row r="172" spans="1:16" x14ac:dyDescent="0.2">
      <c r="A172" t="s">
        <v>301</v>
      </c>
      <c r="B172" s="5" t="s">
        <v>26</v>
      </c>
      <c r="C172" t="s">
        <v>301</v>
      </c>
      <c r="E172" s="4" t="s">
        <v>301</v>
      </c>
      <c r="F172" t="s">
        <v>58</v>
      </c>
      <c r="G172" t="s">
        <v>301</v>
      </c>
      <c r="I172" t="s">
        <v>298</v>
      </c>
      <c r="J172" t="s">
        <v>299</v>
      </c>
      <c r="K172" s="4" t="s">
        <v>304</v>
      </c>
      <c r="L172" t="str">
        <f t="shared" si="4"/>
        <v>"Dinwiddie County School Board"</v>
      </c>
      <c r="M172" t="s">
        <v>302</v>
      </c>
      <c r="N172" t="s">
        <v>303</v>
      </c>
      <c r="O172" s="4" t="s">
        <v>300</v>
      </c>
      <c r="P172" t="str">
        <f t="shared" si="5"/>
        <v>"40126"</v>
      </c>
    </row>
    <row r="173" spans="1:16" x14ac:dyDescent="0.2">
      <c r="A173" t="s">
        <v>301</v>
      </c>
      <c r="B173" s="5" t="s">
        <v>27</v>
      </c>
      <c r="C173" t="s">
        <v>301</v>
      </c>
      <c r="E173" s="4" t="s">
        <v>301</v>
      </c>
      <c r="F173" t="s">
        <v>59</v>
      </c>
      <c r="G173" t="s">
        <v>301</v>
      </c>
      <c r="I173" t="s">
        <v>298</v>
      </c>
      <c r="J173" t="s">
        <v>299</v>
      </c>
      <c r="K173" s="4" t="s">
        <v>304</v>
      </c>
      <c r="L173" t="str">
        <f t="shared" si="4"/>
        <v>"Essex County Public Schools"</v>
      </c>
      <c r="M173" t="s">
        <v>302</v>
      </c>
      <c r="N173" t="s">
        <v>303</v>
      </c>
      <c r="O173" s="4" t="s">
        <v>300</v>
      </c>
      <c r="P173" t="str">
        <f t="shared" si="5"/>
        <v>"40128"</v>
      </c>
    </row>
    <row r="174" spans="1:16" x14ac:dyDescent="0.2">
      <c r="A174" t="s">
        <v>301</v>
      </c>
      <c r="B174" s="5" t="s">
        <v>28</v>
      </c>
      <c r="C174" t="s">
        <v>301</v>
      </c>
      <c r="E174" s="4" t="s">
        <v>301</v>
      </c>
      <c r="F174" t="s">
        <v>60</v>
      </c>
      <c r="G174" t="s">
        <v>301</v>
      </c>
      <c r="I174" t="s">
        <v>298</v>
      </c>
      <c r="J174" t="s">
        <v>299</v>
      </c>
      <c r="K174" s="4" t="s">
        <v>304</v>
      </c>
      <c r="L174" t="str">
        <f t="shared" si="4"/>
        <v>"Fairfax County School Board"</v>
      </c>
      <c r="M174" t="s">
        <v>302</v>
      </c>
      <c r="N174" t="s">
        <v>303</v>
      </c>
      <c r="O174" s="4" t="s">
        <v>300</v>
      </c>
      <c r="P174" t="str">
        <f t="shared" si="5"/>
        <v>"40129"</v>
      </c>
    </row>
    <row r="175" spans="1:16" x14ac:dyDescent="0.2">
      <c r="A175" t="s">
        <v>301</v>
      </c>
      <c r="B175" s="5" t="s">
        <v>29</v>
      </c>
      <c r="C175" t="s">
        <v>301</v>
      </c>
      <c r="E175" s="4" t="s">
        <v>301</v>
      </c>
      <c r="F175" t="s">
        <v>61</v>
      </c>
      <c r="G175" t="s">
        <v>301</v>
      </c>
      <c r="I175" t="s">
        <v>298</v>
      </c>
      <c r="J175" t="s">
        <v>299</v>
      </c>
      <c r="K175" s="4" t="s">
        <v>304</v>
      </c>
      <c r="L175" t="str">
        <f t="shared" si="4"/>
        <v>"Fauquier County School Board"</v>
      </c>
      <c r="M175" t="s">
        <v>302</v>
      </c>
      <c r="N175" t="s">
        <v>303</v>
      </c>
      <c r="O175" s="4" t="s">
        <v>300</v>
      </c>
      <c r="P175" t="str">
        <f t="shared" si="5"/>
        <v>"40130"</v>
      </c>
    </row>
    <row r="176" spans="1:16" x14ac:dyDescent="0.2">
      <c r="A176" t="s">
        <v>301</v>
      </c>
      <c r="B176" s="5" t="s">
        <v>30</v>
      </c>
      <c r="C176" t="s">
        <v>301</v>
      </c>
      <c r="E176" s="4" t="s">
        <v>301</v>
      </c>
      <c r="F176" t="s">
        <v>62</v>
      </c>
      <c r="G176" t="s">
        <v>301</v>
      </c>
      <c r="I176" t="s">
        <v>298</v>
      </c>
      <c r="J176" t="s">
        <v>299</v>
      </c>
      <c r="K176" s="4" t="s">
        <v>304</v>
      </c>
      <c r="L176" t="str">
        <f t="shared" si="4"/>
        <v>"Floyd County School Board"</v>
      </c>
      <c r="M176" t="s">
        <v>302</v>
      </c>
      <c r="N176" t="s">
        <v>303</v>
      </c>
      <c r="O176" s="4" t="s">
        <v>300</v>
      </c>
      <c r="P176" t="str">
        <f t="shared" si="5"/>
        <v>"40131"</v>
      </c>
    </row>
    <row r="177" spans="1:16" x14ac:dyDescent="0.2">
      <c r="A177" t="s">
        <v>301</v>
      </c>
      <c r="B177" s="5" t="s">
        <v>31</v>
      </c>
      <c r="C177" t="s">
        <v>301</v>
      </c>
      <c r="E177" s="4" t="s">
        <v>301</v>
      </c>
      <c r="F177" t="s">
        <v>63</v>
      </c>
      <c r="G177" t="s">
        <v>301</v>
      </c>
      <c r="I177" t="s">
        <v>298</v>
      </c>
      <c r="J177" t="s">
        <v>299</v>
      </c>
      <c r="K177" s="4" t="s">
        <v>304</v>
      </c>
      <c r="L177" t="str">
        <f t="shared" si="4"/>
        <v>"Fluvanna County Public Schools"</v>
      </c>
      <c r="M177" t="s">
        <v>302</v>
      </c>
      <c r="N177" t="s">
        <v>303</v>
      </c>
      <c r="O177" s="4" t="s">
        <v>300</v>
      </c>
      <c r="P177" t="str">
        <f t="shared" si="5"/>
        <v>"40132"</v>
      </c>
    </row>
    <row r="178" spans="1:16" x14ac:dyDescent="0.2">
      <c r="A178" t="s">
        <v>301</v>
      </c>
      <c r="B178" s="5" t="s">
        <v>64</v>
      </c>
      <c r="C178" t="s">
        <v>301</v>
      </c>
      <c r="E178" s="4" t="s">
        <v>301</v>
      </c>
      <c r="F178" t="s">
        <v>97</v>
      </c>
      <c r="G178" t="s">
        <v>301</v>
      </c>
      <c r="I178" t="s">
        <v>298</v>
      </c>
      <c r="J178" t="s">
        <v>299</v>
      </c>
      <c r="K178" s="4" t="s">
        <v>304</v>
      </c>
      <c r="L178" t="str">
        <f t="shared" si="4"/>
        <v>"Franklin County Public Schools"</v>
      </c>
      <c r="M178" t="s">
        <v>302</v>
      </c>
      <c r="N178" t="s">
        <v>303</v>
      </c>
      <c r="O178" s="4" t="s">
        <v>300</v>
      </c>
      <c r="P178" t="str">
        <f t="shared" si="5"/>
        <v>"40133"</v>
      </c>
    </row>
    <row r="179" spans="1:16" x14ac:dyDescent="0.2">
      <c r="A179" t="s">
        <v>301</v>
      </c>
      <c r="B179" s="5" t="s">
        <v>65</v>
      </c>
      <c r="C179" t="s">
        <v>301</v>
      </c>
      <c r="E179" s="4" t="s">
        <v>301</v>
      </c>
      <c r="F179" t="s">
        <v>98</v>
      </c>
      <c r="G179" t="s">
        <v>301</v>
      </c>
      <c r="I179" t="s">
        <v>298</v>
      </c>
      <c r="J179" t="s">
        <v>299</v>
      </c>
      <c r="K179" s="4" t="s">
        <v>304</v>
      </c>
      <c r="L179" t="str">
        <f t="shared" si="4"/>
        <v>"Frederick County School Board"</v>
      </c>
      <c r="M179" t="s">
        <v>302</v>
      </c>
      <c r="N179" t="s">
        <v>303</v>
      </c>
      <c r="O179" s="4" t="s">
        <v>300</v>
      </c>
      <c r="P179" t="str">
        <f t="shared" si="5"/>
        <v>"40134"</v>
      </c>
    </row>
    <row r="180" spans="1:16" x14ac:dyDescent="0.2">
      <c r="A180" t="s">
        <v>301</v>
      </c>
      <c r="B180" s="5" t="s">
        <v>66</v>
      </c>
      <c r="C180" t="s">
        <v>301</v>
      </c>
      <c r="E180" s="4" t="s">
        <v>301</v>
      </c>
      <c r="F180" t="s">
        <v>99</v>
      </c>
      <c r="G180" t="s">
        <v>301</v>
      </c>
      <c r="I180" t="s">
        <v>298</v>
      </c>
      <c r="J180" t="s">
        <v>299</v>
      </c>
      <c r="K180" s="4" t="s">
        <v>304</v>
      </c>
      <c r="L180" t="str">
        <f t="shared" si="4"/>
        <v>"Giles County Schools"</v>
      </c>
      <c r="M180" t="s">
        <v>302</v>
      </c>
      <c r="N180" t="s">
        <v>303</v>
      </c>
      <c r="O180" s="4" t="s">
        <v>300</v>
      </c>
      <c r="P180" t="str">
        <f t="shared" si="5"/>
        <v>"40135"</v>
      </c>
    </row>
    <row r="181" spans="1:16" x14ac:dyDescent="0.2">
      <c r="A181" t="s">
        <v>301</v>
      </c>
      <c r="B181" s="5" t="s">
        <v>67</v>
      </c>
      <c r="C181" t="s">
        <v>301</v>
      </c>
      <c r="E181" s="4" t="s">
        <v>301</v>
      </c>
      <c r="F181" t="s">
        <v>100</v>
      </c>
      <c r="G181" t="s">
        <v>301</v>
      </c>
      <c r="I181" t="s">
        <v>298</v>
      </c>
      <c r="J181" t="s">
        <v>299</v>
      </c>
      <c r="K181" s="4" t="s">
        <v>304</v>
      </c>
      <c r="L181" t="str">
        <f t="shared" si="4"/>
        <v>"Gloucester County School Board"</v>
      </c>
      <c r="M181" t="s">
        <v>302</v>
      </c>
      <c r="N181" t="s">
        <v>303</v>
      </c>
      <c r="O181" s="4" t="s">
        <v>300</v>
      </c>
      <c r="P181" t="str">
        <f t="shared" si="5"/>
        <v>"40136"</v>
      </c>
    </row>
    <row r="182" spans="1:16" x14ac:dyDescent="0.2">
      <c r="A182" t="s">
        <v>301</v>
      </c>
      <c r="B182" s="5" t="s">
        <v>68</v>
      </c>
      <c r="C182" t="s">
        <v>301</v>
      </c>
      <c r="E182" s="4" t="s">
        <v>301</v>
      </c>
      <c r="F182" t="s">
        <v>101</v>
      </c>
      <c r="G182" t="s">
        <v>301</v>
      </c>
      <c r="I182" t="s">
        <v>298</v>
      </c>
      <c r="J182" t="s">
        <v>299</v>
      </c>
      <c r="K182" s="4" t="s">
        <v>304</v>
      </c>
      <c r="L182" t="str">
        <f t="shared" si="4"/>
        <v>"Goochland County School Board"</v>
      </c>
      <c r="M182" t="s">
        <v>302</v>
      </c>
      <c r="N182" t="s">
        <v>303</v>
      </c>
      <c r="O182" s="4" t="s">
        <v>300</v>
      </c>
      <c r="P182" t="str">
        <f t="shared" si="5"/>
        <v>"40137"</v>
      </c>
    </row>
    <row r="183" spans="1:16" x14ac:dyDescent="0.2">
      <c r="A183" t="s">
        <v>301</v>
      </c>
      <c r="B183" s="5" t="s">
        <v>69</v>
      </c>
      <c r="C183" t="s">
        <v>301</v>
      </c>
      <c r="E183" s="4" t="s">
        <v>301</v>
      </c>
      <c r="F183" t="s">
        <v>102</v>
      </c>
      <c r="G183" t="s">
        <v>301</v>
      </c>
      <c r="I183" t="s">
        <v>298</v>
      </c>
      <c r="J183" t="s">
        <v>299</v>
      </c>
      <c r="K183" s="4" t="s">
        <v>304</v>
      </c>
      <c r="L183" t="str">
        <f t="shared" si="4"/>
        <v>"Grayson County School Board"</v>
      </c>
      <c r="M183" t="s">
        <v>302</v>
      </c>
      <c r="N183" t="s">
        <v>303</v>
      </c>
      <c r="O183" s="4" t="s">
        <v>300</v>
      </c>
      <c r="P183" t="str">
        <f t="shared" si="5"/>
        <v>"40138"</v>
      </c>
    </row>
    <row r="184" spans="1:16" x14ac:dyDescent="0.2">
      <c r="A184" t="s">
        <v>301</v>
      </c>
      <c r="B184" s="5" t="s">
        <v>70</v>
      </c>
      <c r="C184" t="s">
        <v>301</v>
      </c>
      <c r="E184" s="4" t="s">
        <v>301</v>
      </c>
      <c r="F184" t="s">
        <v>103</v>
      </c>
      <c r="G184" t="s">
        <v>301</v>
      </c>
      <c r="I184" t="s">
        <v>298</v>
      </c>
      <c r="J184" t="s">
        <v>299</v>
      </c>
      <c r="K184" s="4" t="s">
        <v>304</v>
      </c>
      <c r="L184" t="str">
        <f t="shared" si="4"/>
        <v>"Greene County Public Schools"</v>
      </c>
      <c r="M184" t="s">
        <v>302</v>
      </c>
      <c r="N184" t="s">
        <v>303</v>
      </c>
      <c r="O184" s="4" t="s">
        <v>300</v>
      </c>
      <c r="P184" t="str">
        <f t="shared" si="5"/>
        <v>"40139"</v>
      </c>
    </row>
    <row r="185" spans="1:16" x14ac:dyDescent="0.2">
      <c r="A185" t="s">
        <v>301</v>
      </c>
      <c r="B185" s="5" t="s">
        <v>71</v>
      </c>
      <c r="C185" t="s">
        <v>301</v>
      </c>
      <c r="E185" s="4" t="s">
        <v>301</v>
      </c>
      <c r="F185" t="s">
        <v>104</v>
      </c>
      <c r="G185" t="s">
        <v>301</v>
      </c>
      <c r="I185" t="s">
        <v>298</v>
      </c>
      <c r="J185" t="s">
        <v>299</v>
      </c>
      <c r="K185" s="4" t="s">
        <v>304</v>
      </c>
      <c r="L185" t="str">
        <f t="shared" si="4"/>
        <v>"Greensville County School Board"</v>
      </c>
      <c r="M185" t="s">
        <v>302</v>
      </c>
      <c r="N185" t="s">
        <v>303</v>
      </c>
      <c r="O185" s="4" t="s">
        <v>300</v>
      </c>
      <c r="P185" t="str">
        <f t="shared" si="5"/>
        <v>"40140"</v>
      </c>
    </row>
    <row r="186" spans="1:16" x14ac:dyDescent="0.2">
      <c r="A186" t="s">
        <v>301</v>
      </c>
      <c r="B186" s="5" t="s">
        <v>72</v>
      </c>
      <c r="C186" t="s">
        <v>301</v>
      </c>
      <c r="E186" s="4" t="s">
        <v>301</v>
      </c>
      <c r="F186" t="s">
        <v>105</v>
      </c>
      <c r="G186" t="s">
        <v>301</v>
      </c>
      <c r="I186" t="s">
        <v>298</v>
      </c>
      <c r="J186" t="s">
        <v>299</v>
      </c>
      <c r="K186" s="4" t="s">
        <v>304</v>
      </c>
      <c r="L186" t="str">
        <f t="shared" si="4"/>
        <v>"Halifax County School Board"</v>
      </c>
      <c r="M186" t="s">
        <v>302</v>
      </c>
      <c r="N186" t="s">
        <v>303</v>
      </c>
      <c r="O186" s="4" t="s">
        <v>300</v>
      </c>
      <c r="P186" t="str">
        <f t="shared" si="5"/>
        <v>"40141"</v>
      </c>
    </row>
    <row r="187" spans="1:16" x14ac:dyDescent="0.2">
      <c r="A187" t="s">
        <v>301</v>
      </c>
      <c r="B187" s="5" t="s">
        <v>73</v>
      </c>
      <c r="C187" t="s">
        <v>301</v>
      </c>
      <c r="E187" s="4" t="s">
        <v>301</v>
      </c>
      <c r="F187" t="s">
        <v>106</v>
      </c>
      <c r="G187" t="s">
        <v>301</v>
      </c>
      <c r="I187" t="s">
        <v>298</v>
      </c>
      <c r="J187" t="s">
        <v>299</v>
      </c>
      <c r="K187" s="4" t="s">
        <v>304</v>
      </c>
      <c r="L187" t="str">
        <f t="shared" si="4"/>
        <v>"Hanover County School Board"</v>
      </c>
      <c r="M187" t="s">
        <v>302</v>
      </c>
      <c r="N187" t="s">
        <v>303</v>
      </c>
      <c r="O187" s="4" t="s">
        <v>300</v>
      </c>
      <c r="P187" t="str">
        <f t="shared" si="5"/>
        <v>"40142"</v>
      </c>
    </row>
    <row r="188" spans="1:16" x14ac:dyDescent="0.2">
      <c r="A188" t="s">
        <v>301</v>
      </c>
      <c r="B188" s="5" t="s">
        <v>74</v>
      </c>
      <c r="C188" t="s">
        <v>301</v>
      </c>
      <c r="E188" s="4" t="s">
        <v>301</v>
      </c>
      <c r="F188" t="s">
        <v>107</v>
      </c>
      <c r="G188" t="s">
        <v>301</v>
      </c>
      <c r="I188" t="s">
        <v>298</v>
      </c>
      <c r="J188" t="s">
        <v>299</v>
      </c>
      <c r="K188" s="4" t="s">
        <v>304</v>
      </c>
      <c r="L188" t="str">
        <f t="shared" si="4"/>
        <v>"Henrico County School Board"</v>
      </c>
      <c r="M188" t="s">
        <v>302</v>
      </c>
      <c r="N188" t="s">
        <v>303</v>
      </c>
      <c r="O188" s="4" t="s">
        <v>300</v>
      </c>
      <c r="P188" t="str">
        <f t="shared" si="5"/>
        <v>"40143"</v>
      </c>
    </row>
    <row r="189" spans="1:16" x14ac:dyDescent="0.2">
      <c r="A189" t="s">
        <v>301</v>
      </c>
      <c r="B189" s="5" t="s">
        <v>75</v>
      </c>
      <c r="C189" t="s">
        <v>301</v>
      </c>
      <c r="E189" s="4" t="s">
        <v>301</v>
      </c>
      <c r="F189" t="s">
        <v>108</v>
      </c>
      <c r="G189" t="s">
        <v>301</v>
      </c>
      <c r="I189" t="s">
        <v>298</v>
      </c>
      <c r="J189" t="s">
        <v>299</v>
      </c>
      <c r="K189" s="4" t="s">
        <v>304</v>
      </c>
      <c r="L189" t="str">
        <f t="shared" si="4"/>
        <v>"Henry County Public Schools"</v>
      </c>
      <c r="M189" t="s">
        <v>302</v>
      </c>
      <c r="N189" t="s">
        <v>303</v>
      </c>
      <c r="O189" s="4" t="s">
        <v>300</v>
      </c>
      <c r="P189" t="str">
        <f t="shared" si="5"/>
        <v>"40144"</v>
      </c>
    </row>
    <row r="190" spans="1:16" x14ac:dyDescent="0.2">
      <c r="A190" t="s">
        <v>301</v>
      </c>
      <c r="B190" s="5" t="s">
        <v>76</v>
      </c>
      <c r="C190" t="s">
        <v>301</v>
      </c>
      <c r="E190" s="4" t="s">
        <v>301</v>
      </c>
      <c r="F190" t="s">
        <v>109</v>
      </c>
      <c r="G190" t="s">
        <v>301</v>
      </c>
      <c r="I190" t="s">
        <v>298</v>
      </c>
      <c r="J190" t="s">
        <v>299</v>
      </c>
      <c r="K190" s="4" t="s">
        <v>304</v>
      </c>
      <c r="L190" t="str">
        <f t="shared" si="4"/>
        <v>"Highland County Public Schools"</v>
      </c>
      <c r="M190" t="s">
        <v>302</v>
      </c>
      <c r="N190" t="s">
        <v>303</v>
      </c>
      <c r="O190" s="4" t="s">
        <v>300</v>
      </c>
      <c r="P190" t="str">
        <f t="shared" si="5"/>
        <v>"40145"</v>
      </c>
    </row>
    <row r="191" spans="1:16" x14ac:dyDescent="0.2">
      <c r="A191" t="s">
        <v>301</v>
      </c>
      <c r="B191" s="5" t="s">
        <v>77</v>
      </c>
      <c r="C191" t="s">
        <v>301</v>
      </c>
      <c r="E191" s="4" t="s">
        <v>301</v>
      </c>
      <c r="F191" t="s">
        <v>110</v>
      </c>
      <c r="G191" t="s">
        <v>301</v>
      </c>
      <c r="I191" t="s">
        <v>298</v>
      </c>
      <c r="J191" t="s">
        <v>299</v>
      </c>
      <c r="K191" s="4" t="s">
        <v>304</v>
      </c>
      <c r="L191" t="str">
        <f t="shared" si="4"/>
        <v>"Isle of Wight County Schools"</v>
      </c>
      <c r="M191" t="s">
        <v>302</v>
      </c>
      <c r="N191" t="s">
        <v>303</v>
      </c>
      <c r="O191" s="4" t="s">
        <v>300</v>
      </c>
      <c r="P191" t="str">
        <f t="shared" si="5"/>
        <v>"40146"</v>
      </c>
    </row>
    <row r="192" spans="1:16" x14ac:dyDescent="0.2">
      <c r="A192" t="s">
        <v>301</v>
      </c>
      <c r="B192" s="5" t="s">
        <v>78</v>
      </c>
      <c r="C192" t="s">
        <v>301</v>
      </c>
      <c r="E192" s="4" t="s">
        <v>301</v>
      </c>
      <c r="F192" t="s">
        <v>111</v>
      </c>
      <c r="G192" t="s">
        <v>301</v>
      </c>
      <c r="I192" t="s">
        <v>298</v>
      </c>
      <c r="J192" t="s">
        <v>299</v>
      </c>
      <c r="K192" s="4" t="s">
        <v>304</v>
      </c>
      <c r="L192" t="str">
        <f t="shared" si="4"/>
        <v>"King George County School Board"</v>
      </c>
      <c r="M192" t="s">
        <v>302</v>
      </c>
      <c r="N192" t="s">
        <v>303</v>
      </c>
      <c r="O192" s="4" t="s">
        <v>300</v>
      </c>
      <c r="P192" t="str">
        <f t="shared" si="5"/>
        <v>"40148"</v>
      </c>
    </row>
    <row r="193" spans="1:16" x14ac:dyDescent="0.2">
      <c r="A193" t="s">
        <v>301</v>
      </c>
      <c r="B193" s="5" t="s">
        <v>79</v>
      </c>
      <c r="C193" t="s">
        <v>301</v>
      </c>
      <c r="E193" s="4" t="s">
        <v>301</v>
      </c>
      <c r="F193" t="s">
        <v>112</v>
      </c>
      <c r="G193" t="s">
        <v>301</v>
      </c>
      <c r="I193" t="s">
        <v>298</v>
      </c>
      <c r="J193" t="s">
        <v>299</v>
      </c>
      <c r="K193" s="4" t="s">
        <v>304</v>
      </c>
      <c r="L193" t="str">
        <f t="shared" si="4"/>
        <v>"King &amp; Queen County School Board"</v>
      </c>
      <c r="M193" t="s">
        <v>302</v>
      </c>
      <c r="N193" t="s">
        <v>303</v>
      </c>
      <c r="O193" s="4" t="s">
        <v>300</v>
      </c>
      <c r="P193" t="str">
        <f t="shared" si="5"/>
        <v>"40149"</v>
      </c>
    </row>
    <row r="194" spans="1:16" x14ac:dyDescent="0.2">
      <c r="A194" t="s">
        <v>301</v>
      </c>
      <c r="B194" s="5" t="s">
        <v>80</v>
      </c>
      <c r="C194" t="s">
        <v>301</v>
      </c>
      <c r="E194" s="4" t="s">
        <v>301</v>
      </c>
      <c r="F194" t="s">
        <v>113</v>
      </c>
      <c r="G194" t="s">
        <v>301</v>
      </c>
      <c r="I194" t="s">
        <v>298</v>
      </c>
      <c r="J194" t="s">
        <v>299</v>
      </c>
      <c r="K194" s="4" t="s">
        <v>304</v>
      </c>
      <c r="L194" t="str">
        <f t="shared" ref="L194:L257" si="6">_xlfn.TEXTJOIN("",TRUE,A194:C194)</f>
        <v>"King William County School Board"</v>
      </c>
      <c r="M194" t="s">
        <v>302</v>
      </c>
      <c r="N194" t="s">
        <v>303</v>
      </c>
      <c r="O194" s="4" t="s">
        <v>300</v>
      </c>
      <c r="P194" t="str">
        <f t="shared" ref="P194:P257" si="7">_xlfn.TEXTJOIN("",TRUE,E194:G194)</f>
        <v>"40150"</v>
      </c>
    </row>
    <row r="195" spans="1:16" x14ac:dyDescent="0.2">
      <c r="A195" t="s">
        <v>301</v>
      </c>
      <c r="B195" s="5" t="s">
        <v>81</v>
      </c>
      <c r="C195" t="s">
        <v>301</v>
      </c>
      <c r="E195" s="4" t="s">
        <v>301</v>
      </c>
      <c r="F195" t="s">
        <v>114</v>
      </c>
      <c r="G195" t="s">
        <v>301</v>
      </c>
      <c r="I195" t="s">
        <v>298</v>
      </c>
      <c r="J195" t="s">
        <v>299</v>
      </c>
      <c r="K195" s="4" t="s">
        <v>304</v>
      </c>
      <c r="L195" t="str">
        <f t="shared" si="6"/>
        <v>"Lancaster County Public Schools"</v>
      </c>
      <c r="M195" t="s">
        <v>302</v>
      </c>
      <c r="N195" t="s">
        <v>303</v>
      </c>
      <c r="O195" s="4" t="s">
        <v>300</v>
      </c>
      <c r="P195" t="str">
        <f t="shared" si="7"/>
        <v>"40151"</v>
      </c>
    </row>
    <row r="196" spans="1:16" x14ac:dyDescent="0.2">
      <c r="A196" t="s">
        <v>301</v>
      </c>
      <c r="B196" s="5" t="s">
        <v>82</v>
      </c>
      <c r="C196" t="s">
        <v>301</v>
      </c>
      <c r="E196" s="4" t="s">
        <v>301</v>
      </c>
      <c r="F196" t="s">
        <v>115</v>
      </c>
      <c r="G196" t="s">
        <v>301</v>
      </c>
      <c r="I196" t="s">
        <v>298</v>
      </c>
      <c r="J196" t="s">
        <v>299</v>
      </c>
      <c r="K196" s="4" t="s">
        <v>304</v>
      </c>
      <c r="L196" t="str">
        <f t="shared" si="6"/>
        <v>"Lee County School Board"</v>
      </c>
      <c r="M196" t="s">
        <v>302</v>
      </c>
      <c r="N196" t="s">
        <v>303</v>
      </c>
      <c r="O196" s="4" t="s">
        <v>300</v>
      </c>
      <c r="P196" t="str">
        <f t="shared" si="7"/>
        <v>"40152"</v>
      </c>
    </row>
    <row r="197" spans="1:16" x14ac:dyDescent="0.2">
      <c r="A197" t="s">
        <v>301</v>
      </c>
      <c r="B197" s="5" t="s">
        <v>83</v>
      </c>
      <c r="C197" t="s">
        <v>301</v>
      </c>
      <c r="E197" s="4" t="s">
        <v>301</v>
      </c>
      <c r="F197" t="s">
        <v>116</v>
      </c>
      <c r="G197" t="s">
        <v>301</v>
      </c>
      <c r="I197" t="s">
        <v>298</v>
      </c>
      <c r="J197" t="s">
        <v>299</v>
      </c>
      <c r="K197" s="4" t="s">
        <v>304</v>
      </c>
      <c r="L197" t="str">
        <f t="shared" si="6"/>
        <v>"Loudoun County School Board"</v>
      </c>
      <c r="M197" t="s">
        <v>302</v>
      </c>
      <c r="N197" t="s">
        <v>303</v>
      </c>
      <c r="O197" s="4" t="s">
        <v>300</v>
      </c>
      <c r="P197" t="str">
        <f t="shared" si="7"/>
        <v>"40153"</v>
      </c>
    </row>
    <row r="198" spans="1:16" x14ac:dyDescent="0.2">
      <c r="A198" t="s">
        <v>301</v>
      </c>
      <c r="B198" s="5" t="s">
        <v>84</v>
      </c>
      <c r="C198" t="s">
        <v>301</v>
      </c>
      <c r="E198" s="4" t="s">
        <v>301</v>
      </c>
      <c r="F198" t="s">
        <v>117</v>
      </c>
      <c r="G198" t="s">
        <v>301</v>
      </c>
      <c r="I198" t="s">
        <v>298</v>
      </c>
      <c r="J198" t="s">
        <v>299</v>
      </c>
      <c r="K198" s="4" t="s">
        <v>304</v>
      </c>
      <c r="L198" t="str">
        <f t="shared" si="6"/>
        <v>"Louisa County Public Schools"</v>
      </c>
      <c r="M198" t="s">
        <v>302</v>
      </c>
      <c r="N198" t="s">
        <v>303</v>
      </c>
      <c r="O198" s="4" t="s">
        <v>300</v>
      </c>
      <c r="P198" t="str">
        <f t="shared" si="7"/>
        <v>"40154"</v>
      </c>
    </row>
    <row r="199" spans="1:16" x14ac:dyDescent="0.2">
      <c r="A199" t="s">
        <v>301</v>
      </c>
      <c r="B199" s="5" t="s">
        <v>85</v>
      </c>
      <c r="C199" t="s">
        <v>301</v>
      </c>
      <c r="E199" s="4" t="s">
        <v>301</v>
      </c>
      <c r="F199" t="s">
        <v>118</v>
      </c>
      <c r="G199" t="s">
        <v>301</v>
      </c>
      <c r="I199" t="s">
        <v>298</v>
      </c>
      <c r="J199" t="s">
        <v>299</v>
      </c>
      <c r="K199" s="4" t="s">
        <v>304</v>
      </c>
      <c r="L199" t="str">
        <f t="shared" si="6"/>
        <v>"Lunenburg County School Board"</v>
      </c>
      <c r="M199" t="s">
        <v>302</v>
      </c>
      <c r="N199" t="s">
        <v>303</v>
      </c>
      <c r="O199" s="4" t="s">
        <v>300</v>
      </c>
      <c r="P199" t="str">
        <f t="shared" si="7"/>
        <v>"40155"</v>
      </c>
    </row>
    <row r="200" spans="1:16" x14ac:dyDescent="0.2">
      <c r="A200" t="s">
        <v>301</v>
      </c>
      <c r="B200" s="5" t="s">
        <v>86</v>
      </c>
      <c r="C200" t="s">
        <v>301</v>
      </c>
      <c r="E200" s="4" t="s">
        <v>301</v>
      </c>
      <c r="F200" t="s">
        <v>119</v>
      </c>
      <c r="G200" t="s">
        <v>301</v>
      </c>
      <c r="I200" t="s">
        <v>298</v>
      </c>
      <c r="J200" t="s">
        <v>299</v>
      </c>
      <c r="K200" s="4" t="s">
        <v>304</v>
      </c>
      <c r="L200" t="str">
        <f t="shared" si="6"/>
        <v>"Madison County School Board"</v>
      </c>
      <c r="M200" t="s">
        <v>302</v>
      </c>
      <c r="N200" t="s">
        <v>303</v>
      </c>
      <c r="O200" s="4" t="s">
        <v>300</v>
      </c>
      <c r="P200" t="str">
        <f t="shared" si="7"/>
        <v>"40156"</v>
      </c>
    </row>
    <row r="201" spans="1:16" x14ac:dyDescent="0.2">
      <c r="A201" t="s">
        <v>301</v>
      </c>
      <c r="B201" s="5" t="s">
        <v>87</v>
      </c>
      <c r="C201" t="s">
        <v>301</v>
      </c>
      <c r="E201" s="4" t="s">
        <v>301</v>
      </c>
      <c r="F201" t="s">
        <v>120</v>
      </c>
      <c r="G201" t="s">
        <v>301</v>
      </c>
      <c r="I201" t="s">
        <v>298</v>
      </c>
      <c r="J201" t="s">
        <v>299</v>
      </c>
      <c r="K201" s="4" t="s">
        <v>304</v>
      </c>
      <c r="L201" t="str">
        <f t="shared" si="6"/>
        <v>"Mathews County School Board"</v>
      </c>
      <c r="M201" t="s">
        <v>302</v>
      </c>
      <c r="N201" t="s">
        <v>303</v>
      </c>
      <c r="O201" s="4" t="s">
        <v>300</v>
      </c>
      <c r="P201" t="str">
        <f t="shared" si="7"/>
        <v>"40157"</v>
      </c>
    </row>
    <row r="202" spans="1:16" x14ac:dyDescent="0.2">
      <c r="A202" t="s">
        <v>301</v>
      </c>
      <c r="B202" s="5" t="s">
        <v>88</v>
      </c>
      <c r="C202" t="s">
        <v>301</v>
      </c>
      <c r="E202" s="4" t="s">
        <v>301</v>
      </c>
      <c r="F202" t="s">
        <v>121</v>
      </c>
      <c r="G202" t="s">
        <v>301</v>
      </c>
      <c r="I202" t="s">
        <v>298</v>
      </c>
      <c r="J202" t="s">
        <v>299</v>
      </c>
      <c r="K202" s="4" t="s">
        <v>304</v>
      </c>
      <c r="L202" t="str">
        <f t="shared" si="6"/>
        <v>"Mecklenburg County School Board"</v>
      </c>
      <c r="M202" t="s">
        <v>302</v>
      </c>
      <c r="N202" t="s">
        <v>303</v>
      </c>
      <c r="O202" s="4" t="s">
        <v>300</v>
      </c>
      <c r="P202" t="str">
        <f t="shared" si="7"/>
        <v>"40158"</v>
      </c>
    </row>
    <row r="203" spans="1:16" x14ac:dyDescent="0.2">
      <c r="A203" t="s">
        <v>301</v>
      </c>
      <c r="B203" s="5" t="s">
        <v>89</v>
      </c>
      <c r="C203" t="s">
        <v>301</v>
      </c>
      <c r="E203" s="4" t="s">
        <v>301</v>
      </c>
      <c r="F203" t="s">
        <v>122</v>
      </c>
      <c r="G203" t="s">
        <v>301</v>
      </c>
      <c r="I203" t="s">
        <v>298</v>
      </c>
      <c r="J203" t="s">
        <v>299</v>
      </c>
      <c r="K203" s="4" t="s">
        <v>304</v>
      </c>
      <c r="L203" t="str">
        <f t="shared" si="6"/>
        <v>"Middlesex County School Board"</v>
      </c>
      <c r="M203" t="s">
        <v>302</v>
      </c>
      <c r="N203" t="s">
        <v>303</v>
      </c>
      <c r="O203" s="4" t="s">
        <v>300</v>
      </c>
      <c r="P203" t="str">
        <f t="shared" si="7"/>
        <v>"40159"</v>
      </c>
    </row>
    <row r="204" spans="1:16" x14ac:dyDescent="0.2">
      <c r="A204" t="s">
        <v>301</v>
      </c>
      <c r="B204" s="5" t="s">
        <v>90</v>
      </c>
      <c r="C204" t="s">
        <v>301</v>
      </c>
      <c r="E204" s="4" t="s">
        <v>301</v>
      </c>
      <c r="F204" t="s">
        <v>123</v>
      </c>
      <c r="G204" t="s">
        <v>301</v>
      </c>
      <c r="I204" t="s">
        <v>298</v>
      </c>
      <c r="J204" t="s">
        <v>299</v>
      </c>
      <c r="K204" s="4" t="s">
        <v>304</v>
      </c>
      <c r="L204" t="str">
        <f t="shared" si="6"/>
        <v>"Montgomery County School Board"</v>
      </c>
      <c r="M204" t="s">
        <v>302</v>
      </c>
      <c r="N204" t="s">
        <v>303</v>
      </c>
      <c r="O204" s="4" t="s">
        <v>300</v>
      </c>
      <c r="P204" t="str">
        <f t="shared" si="7"/>
        <v>"40160"</v>
      </c>
    </row>
    <row r="205" spans="1:16" x14ac:dyDescent="0.2">
      <c r="A205" t="s">
        <v>301</v>
      </c>
      <c r="B205" s="5" t="s">
        <v>91</v>
      </c>
      <c r="C205" t="s">
        <v>301</v>
      </c>
      <c r="E205" s="4" t="s">
        <v>301</v>
      </c>
      <c r="F205" t="s">
        <v>124</v>
      </c>
      <c r="G205" t="s">
        <v>301</v>
      </c>
      <c r="I205" t="s">
        <v>298</v>
      </c>
      <c r="J205" t="s">
        <v>299</v>
      </c>
      <c r="K205" s="4" t="s">
        <v>304</v>
      </c>
      <c r="L205" t="str">
        <f t="shared" si="6"/>
        <v>"Nelson County Public Schools"</v>
      </c>
      <c r="M205" t="s">
        <v>302</v>
      </c>
      <c r="N205" t="s">
        <v>303</v>
      </c>
      <c r="O205" s="4" t="s">
        <v>300</v>
      </c>
      <c r="P205" t="str">
        <f t="shared" si="7"/>
        <v>"40162"</v>
      </c>
    </row>
    <row r="206" spans="1:16" x14ac:dyDescent="0.2">
      <c r="A206" t="s">
        <v>301</v>
      </c>
      <c r="B206" s="5" t="s">
        <v>92</v>
      </c>
      <c r="C206" t="s">
        <v>301</v>
      </c>
      <c r="E206" s="4" t="s">
        <v>301</v>
      </c>
      <c r="F206" t="s">
        <v>125</v>
      </c>
      <c r="G206" t="s">
        <v>301</v>
      </c>
      <c r="I206" t="s">
        <v>298</v>
      </c>
      <c r="J206" t="s">
        <v>299</v>
      </c>
      <c r="K206" s="4" t="s">
        <v>304</v>
      </c>
      <c r="L206" t="str">
        <f t="shared" si="6"/>
        <v>"New Kent County School Board"</v>
      </c>
      <c r="M206" t="s">
        <v>302</v>
      </c>
      <c r="N206" t="s">
        <v>303</v>
      </c>
      <c r="O206" s="4" t="s">
        <v>300</v>
      </c>
      <c r="P206" t="str">
        <f t="shared" si="7"/>
        <v>"40163"</v>
      </c>
    </row>
    <row r="207" spans="1:16" x14ac:dyDescent="0.2">
      <c r="A207" t="s">
        <v>301</v>
      </c>
      <c r="B207" s="5" t="s">
        <v>93</v>
      </c>
      <c r="C207" t="s">
        <v>301</v>
      </c>
      <c r="E207" s="4" t="s">
        <v>301</v>
      </c>
      <c r="F207" t="s">
        <v>126</v>
      </c>
      <c r="G207" t="s">
        <v>301</v>
      </c>
      <c r="I207" t="s">
        <v>298</v>
      </c>
      <c r="J207" t="s">
        <v>299</v>
      </c>
      <c r="K207" s="4" t="s">
        <v>304</v>
      </c>
      <c r="L207" t="str">
        <f t="shared" si="6"/>
        <v>"Northampton County Schools"</v>
      </c>
      <c r="M207" t="s">
        <v>302</v>
      </c>
      <c r="N207" t="s">
        <v>303</v>
      </c>
      <c r="O207" s="4" t="s">
        <v>300</v>
      </c>
      <c r="P207" t="str">
        <f t="shared" si="7"/>
        <v>"40165"</v>
      </c>
    </row>
    <row r="208" spans="1:16" x14ac:dyDescent="0.2">
      <c r="A208" t="s">
        <v>301</v>
      </c>
      <c r="B208" s="5" t="s">
        <v>94</v>
      </c>
      <c r="C208" t="s">
        <v>301</v>
      </c>
      <c r="E208" s="4" t="s">
        <v>301</v>
      </c>
      <c r="F208" t="s">
        <v>127</v>
      </c>
      <c r="G208" t="s">
        <v>301</v>
      </c>
      <c r="I208" t="s">
        <v>298</v>
      </c>
      <c r="J208" t="s">
        <v>299</v>
      </c>
      <c r="K208" s="4" t="s">
        <v>304</v>
      </c>
      <c r="L208" t="str">
        <f t="shared" si="6"/>
        <v>"Northumberland County School Board"</v>
      </c>
      <c r="M208" t="s">
        <v>302</v>
      </c>
      <c r="N208" t="s">
        <v>303</v>
      </c>
      <c r="O208" s="4" t="s">
        <v>300</v>
      </c>
      <c r="P208" t="str">
        <f t="shared" si="7"/>
        <v>"40166"</v>
      </c>
    </row>
    <row r="209" spans="1:16" x14ac:dyDescent="0.2">
      <c r="A209" t="s">
        <v>301</v>
      </c>
      <c r="B209" s="5" t="s">
        <v>95</v>
      </c>
      <c r="C209" t="s">
        <v>301</v>
      </c>
      <c r="E209" s="4" t="s">
        <v>301</v>
      </c>
      <c r="F209" t="s">
        <v>128</v>
      </c>
      <c r="G209" t="s">
        <v>301</v>
      </c>
      <c r="I209" t="s">
        <v>298</v>
      </c>
      <c r="J209" t="s">
        <v>299</v>
      </c>
      <c r="K209" s="4" t="s">
        <v>304</v>
      </c>
      <c r="L209" t="str">
        <f t="shared" si="6"/>
        <v>"Nottoway County School Board"</v>
      </c>
      <c r="M209" t="s">
        <v>302</v>
      </c>
      <c r="N209" t="s">
        <v>303</v>
      </c>
      <c r="O209" s="4" t="s">
        <v>300</v>
      </c>
      <c r="P209" t="str">
        <f t="shared" si="7"/>
        <v>"40167"</v>
      </c>
    </row>
    <row r="210" spans="1:16" x14ac:dyDescent="0.2">
      <c r="A210" t="s">
        <v>301</v>
      </c>
      <c r="B210" s="5" t="s">
        <v>96</v>
      </c>
      <c r="C210" t="s">
        <v>301</v>
      </c>
      <c r="E210" s="4" t="s">
        <v>301</v>
      </c>
      <c r="F210" t="s">
        <v>129</v>
      </c>
      <c r="G210" t="s">
        <v>301</v>
      </c>
      <c r="I210" t="s">
        <v>298</v>
      </c>
      <c r="J210" t="s">
        <v>299</v>
      </c>
      <c r="K210" s="4" t="s">
        <v>304</v>
      </c>
      <c r="L210" t="str">
        <f t="shared" si="6"/>
        <v>"Orange County Public Schools"</v>
      </c>
      <c r="M210" t="s">
        <v>302</v>
      </c>
      <c r="N210" t="s">
        <v>303</v>
      </c>
      <c r="O210" s="4" t="s">
        <v>300</v>
      </c>
      <c r="P210" t="str">
        <f t="shared" si="7"/>
        <v>"40168"</v>
      </c>
    </row>
    <row r="211" spans="1:16" x14ac:dyDescent="0.2">
      <c r="A211" t="s">
        <v>301</v>
      </c>
      <c r="B211" s="5" t="s">
        <v>130</v>
      </c>
      <c r="C211" t="s">
        <v>301</v>
      </c>
      <c r="E211" s="4" t="s">
        <v>301</v>
      </c>
      <c r="F211" t="s">
        <v>163</v>
      </c>
      <c r="G211" t="s">
        <v>301</v>
      </c>
      <c r="I211" t="s">
        <v>298</v>
      </c>
      <c r="J211" t="s">
        <v>299</v>
      </c>
      <c r="K211" s="4" t="s">
        <v>304</v>
      </c>
      <c r="L211" t="str">
        <f t="shared" si="6"/>
        <v>"Page County Public Schools"</v>
      </c>
      <c r="M211" t="s">
        <v>302</v>
      </c>
      <c r="N211" t="s">
        <v>303</v>
      </c>
      <c r="O211" s="4" t="s">
        <v>300</v>
      </c>
      <c r="P211" t="str">
        <f t="shared" si="7"/>
        <v>"40169"</v>
      </c>
    </row>
    <row r="212" spans="1:16" x14ac:dyDescent="0.2">
      <c r="A212" t="s">
        <v>301</v>
      </c>
      <c r="B212" s="5" t="s">
        <v>131</v>
      </c>
      <c r="C212" t="s">
        <v>301</v>
      </c>
      <c r="E212" s="4" t="s">
        <v>301</v>
      </c>
      <c r="F212" t="s">
        <v>164</v>
      </c>
      <c r="G212" t="s">
        <v>301</v>
      </c>
      <c r="I212" t="s">
        <v>298</v>
      </c>
      <c r="J212" t="s">
        <v>299</v>
      </c>
      <c r="K212" s="4" t="s">
        <v>304</v>
      </c>
      <c r="L212" t="str">
        <f t="shared" si="6"/>
        <v>"Patrick County School Board"</v>
      </c>
      <c r="M212" t="s">
        <v>302</v>
      </c>
      <c r="N212" t="s">
        <v>303</v>
      </c>
      <c r="O212" s="4" t="s">
        <v>300</v>
      </c>
      <c r="P212" t="str">
        <f t="shared" si="7"/>
        <v>"40170"</v>
      </c>
    </row>
    <row r="213" spans="1:16" x14ac:dyDescent="0.2">
      <c r="A213" t="s">
        <v>301</v>
      </c>
      <c r="B213" s="5" t="s">
        <v>132</v>
      </c>
      <c r="C213" t="s">
        <v>301</v>
      </c>
      <c r="E213" s="4" t="s">
        <v>301</v>
      </c>
      <c r="F213" t="s">
        <v>165</v>
      </c>
      <c r="G213" t="s">
        <v>301</v>
      </c>
      <c r="I213" t="s">
        <v>298</v>
      </c>
      <c r="J213" t="s">
        <v>299</v>
      </c>
      <c r="K213" s="4" t="s">
        <v>304</v>
      </c>
      <c r="L213" t="str">
        <f t="shared" si="6"/>
        <v>"Pittsylvania County School Board"</v>
      </c>
      <c r="M213" t="s">
        <v>302</v>
      </c>
      <c r="N213" t="s">
        <v>303</v>
      </c>
      <c r="O213" s="4" t="s">
        <v>300</v>
      </c>
      <c r="P213" t="str">
        <f t="shared" si="7"/>
        <v>"40171"</v>
      </c>
    </row>
    <row r="214" spans="1:16" x14ac:dyDescent="0.2">
      <c r="A214" t="s">
        <v>301</v>
      </c>
      <c r="B214" s="5" t="s">
        <v>133</v>
      </c>
      <c r="C214" t="s">
        <v>301</v>
      </c>
      <c r="E214" s="4" t="s">
        <v>301</v>
      </c>
      <c r="F214" t="s">
        <v>166</v>
      </c>
      <c r="G214" t="s">
        <v>301</v>
      </c>
      <c r="I214" t="s">
        <v>298</v>
      </c>
      <c r="J214" t="s">
        <v>299</v>
      </c>
      <c r="K214" s="4" t="s">
        <v>304</v>
      </c>
      <c r="L214" t="str">
        <f t="shared" si="6"/>
        <v>"Powhatan County School Board"</v>
      </c>
      <c r="M214" t="s">
        <v>302</v>
      </c>
      <c r="N214" t="s">
        <v>303</v>
      </c>
      <c r="O214" s="4" t="s">
        <v>300</v>
      </c>
      <c r="P214" t="str">
        <f t="shared" si="7"/>
        <v>"40172"</v>
      </c>
    </row>
    <row r="215" spans="1:16" x14ac:dyDescent="0.2">
      <c r="A215" t="s">
        <v>301</v>
      </c>
      <c r="B215" s="5" t="s">
        <v>134</v>
      </c>
      <c r="C215" t="s">
        <v>301</v>
      </c>
      <c r="E215" s="4" t="s">
        <v>301</v>
      </c>
      <c r="F215" t="s">
        <v>167</v>
      </c>
      <c r="G215" t="s">
        <v>301</v>
      </c>
      <c r="I215" t="s">
        <v>298</v>
      </c>
      <c r="J215" t="s">
        <v>299</v>
      </c>
      <c r="K215" s="4" t="s">
        <v>304</v>
      </c>
      <c r="L215" t="str">
        <f t="shared" si="6"/>
        <v>"Prince Edward County School Board"</v>
      </c>
      <c r="M215" t="s">
        <v>302</v>
      </c>
      <c r="N215" t="s">
        <v>303</v>
      </c>
      <c r="O215" s="4" t="s">
        <v>300</v>
      </c>
      <c r="P215" t="str">
        <f t="shared" si="7"/>
        <v>"40173"</v>
      </c>
    </row>
    <row r="216" spans="1:16" x14ac:dyDescent="0.2">
      <c r="A216" t="s">
        <v>301</v>
      </c>
      <c r="B216" s="5" t="s">
        <v>135</v>
      </c>
      <c r="C216" t="s">
        <v>301</v>
      </c>
      <c r="E216" s="4" t="s">
        <v>301</v>
      </c>
      <c r="F216" t="s">
        <v>168</v>
      </c>
      <c r="G216" t="s">
        <v>301</v>
      </c>
      <c r="I216" t="s">
        <v>298</v>
      </c>
      <c r="J216" t="s">
        <v>299</v>
      </c>
      <c r="K216" s="4" t="s">
        <v>304</v>
      </c>
      <c r="L216" t="str">
        <f t="shared" si="6"/>
        <v>"Prince George County School Board"</v>
      </c>
      <c r="M216" t="s">
        <v>302</v>
      </c>
      <c r="N216" t="s">
        <v>303</v>
      </c>
      <c r="O216" s="4" t="s">
        <v>300</v>
      </c>
      <c r="P216" t="str">
        <f t="shared" si="7"/>
        <v>"40174"</v>
      </c>
    </row>
    <row r="217" spans="1:16" x14ac:dyDescent="0.2">
      <c r="A217" t="s">
        <v>301</v>
      </c>
      <c r="B217" s="5" t="s">
        <v>136</v>
      </c>
      <c r="C217" t="s">
        <v>301</v>
      </c>
      <c r="E217" s="4" t="s">
        <v>301</v>
      </c>
      <c r="F217" t="s">
        <v>169</v>
      </c>
      <c r="G217" t="s">
        <v>301</v>
      </c>
      <c r="I217" t="s">
        <v>298</v>
      </c>
      <c r="J217" t="s">
        <v>299</v>
      </c>
      <c r="K217" s="4" t="s">
        <v>304</v>
      </c>
      <c r="L217" t="str">
        <f t="shared" si="6"/>
        <v>"Prince William County School Board"</v>
      </c>
      <c r="M217" t="s">
        <v>302</v>
      </c>
      <c r="N217" t="s">
        <v>303</v>
      </c>
      <c r="O217" s="4" t="s">
        <v>300</v>
      </c>
      <c r="P217" t="str">
        <f t="shared" si="7"/>
        <v>"40176"</v>
      </c>
    </row>
    <row r="218" spans="1:16" x14ac:dyDescent="0.2">
      <c r="A218" t="s">
        <v>301</v>
      </c>
      <c r="B218" s="5" t="s">
        <v>137</v>
      </c>
      <c r="C218" t="s">
        <v>301</v>
      </c>
      <c r="E218" s="4" t="s">
        <v>301</v>
      </c>
      <c r="F218" t="s">
        <v>170</v>
      </c>
      <c r="G218" t="s">
        <v>301</v>
      </c>
      <c r="I218" t="s">
        <v>298</v>
      </c>
      <c r="J218" t="s">
        <v>299</v>
      </c>
      <c r="K218" s="4" t="s">
        <v>304</v>
      </c>
      <c r="L218" t="str">
        <f t="shared" si="6"/>
        <v>"Pulaski County School Board"</v>
      </c>
      <c r="M218" t="s">
        <v>302</v>
      </c>
      <c r="N218" t="s">
        <v>303</v>
      </c>
      <c r="O218" s="4" t="s">
        <v>300</v>
      </c>
      <c r="P218" t="str">
        <f t="shared" si="7"/>
        <v>"40177"</v>
      </c>
    </row>
    <row r="219" spans="1:16" x14ac:dyDescent="0.2">
      <c r="A219" t="s">
        <v>301</v>
      </c>
      <c r="B219" s="5" t="s">
        <v>138</v>
      </c>
      <c r="C219" t="s">
        <v>301</v>
      </c>
      <c r="E219" s="4" t="s">
        <v>301</v>
      </c>
      <c r="F219" t="s">
        <v>171</v>
      </c>
      <c r="G219" t="s">
        <v>301</v>
      </c>
      <c r="I219" t="s">
        <v>298</v>
      </c>
      <c r="J219" t="s">
        <v>299</v>
      </c>
      <c r="K219" s="4" t="s">
        <v>304</v>
      </c>
      <c r="L219" t="str">
        <f t="shared" si="6"/>
        <v>"Rappahannock County School Board"</v>
      </c>
      <c r="M219" t="s">
        <v>302</v>
      </c>
      <c r="N219" t="s">
        <v>303</v>
      </c>
      <c r="O219" s="4" t="s">
        <v>300</v>
      </c>
      <c r="P219" t="str">
        <f t="shared" si="7"/>
        <v>"40178"</v>
      </c>
    </row>
    <row r="220" spans="1:16" x14ac:dyDescent="0.2">
      <c r="A220" t="s">
        <v>301</v>
      </c>
      <c r="B220" s="5" t="s">
        <v>139</v>
      </c>
      <c r="C220" t="s">
        <v>301</v>
      </c>
      <c r="E220" s="4" t="s">
        <v>301</v>
      </c>
      <c r="F220" t="s">
        <v>172</v>
      </c>
      <c r="G220" t="s">
        <v>301</v>
      </c>
      <c r="I220" t="s">
        <v>298</v>
      </c>
      <c r="J220" t="s">
        <v>299</v>
      </c>
      <c r="K220" s="4" t="s">
        <v>304</v>
      </c>
      <c r="L220" t="str">
        <f t="shared" si="6"/>
        <v>"Richmond County School Board"</v>
      </c>
      <c r="M220" t="s">
        <v>302</v>
      </c>
      <c r="N220" t="s">
        <v>303</v>
      </c>
      <c r="O220" s="4" t="s">
        <v>300</v>
      </c>
      <c r="P220" t="str">
        <f t="shared" si="7"/>
        <v>"40179"</v>
      </c>
    </row>
    <row r="221" spans="1:16" x14ac:dyDescent="0.2">
      <c r="A221" t="s">
        <v>301</v>
      </c>
      <c r="B221" s="5" t="s">
        <v>140</v>
      </c>
      <c r="C221" t="s">
        <v>301</v>
      </c>
      <c r="E221" s="4" t="s">
        <v>301</v>
      </c>
      <c r="F221" t="s">
        <v>173</v>
      </c>
      <c r="G221" t="s">
        <v>301</v>
      </c>
      <c r="I221" t="s">
        <v>298</v>
      </c>
      <c r="J221" t="s">
        <v>299</v>
      </c>
      <c r="K221" s="4" t="s">
        <v>304</v>
      </c>
      <c r="L221" t="str">
        <f t="shared" si="6"/>
        <v>"Roanoke County School Board"</v>
      </c>
      <c r="M221" t="s">
        <v>302</v>
      </c>
      <c r="N221" t="s">
        <v>303</v>
      </c>
      <c r="O221" s="4" t="s">
        <v>300</v>
      </c>
      <c r="P221" t="str">
        <f t="shared" si="7"/>
        <v>"40180"</v>
      </c>
    </row>
    <row r="222" spans="1:16" x14ac:dyDescent="0.2">
      <c r="A222" t="s">
        <v>301</v>
      </c>
      <c r="B222" s="5" t="s">
        <v>141</v>
      </c>
      <c r="C222" t="s">
        <v>301</v>
      </c>
      <c r="E222" s="4" t="s">
        <v>301</v>
      </c>
      <c r="F222" t="s">
        <v>174</v>
      </c>
      <c r="G222" t="s">
        <v>301</v>
      </c>
      <c r="I222" t="s">
        <v>298</v>
      </c>
      <c r="J222" t="s">
        <v>299</v>
      </c>
      <c r="K222" s="4" t="s">
        <v>304</v>
      </c>
      <c r="L222" t="str">
        <f t="shared" si="6"/>
        <v>"Rockbridge County School Board"</v>
      </c>
      <c r="M222" t="s">
        <v>302</v>
      </c>
      <c r="N222" t="s">
        <v>303</v>
      </c>
      <c r="O222" s="4" t="s">
        <v>300</v>
      </c>
      <c r="P222" t="str">
        <f t="shared" si="7"/>
        <v>"40181"</v>
      </c>
    </row>
    <row r="223" spans="1:16" x14ac:dyDescent="0.2">
      <c r="A223" t="s">
        <v>301</v>
      </c>
      <c r="B223" s="5" t="s">
        <v>142</v>
      </c>
      <c r="C223" t="s">
        <v>301</v>
      </c>
      <c r="E223" s="4" t="s">
        <v>301</v>
      </c>
      <c r="F223" t="s">
        <v>175</v>
      </c>
      <c r="G223" t="s">
        <v>301</v>
      </c>
      <c r="I223" t="s">
        <v>298</v>
      </c>
      <c r="J223" t="s">
        <v>299</v>
      </c>
      <c r="K223" s="4" t="s">
        <v>304</v>
      </c>
      <c r="L223" t="str">
        <f t="shared" si="6"/>
        <v>"Rockingham County School Board"</v>
      </c>
      <c r="M223" t="s">
        <v>302</v>
      </c>
      <c r="N223" t="s">
        <v>303</v>
      </c>
      <c r="O223" s="4" t="s">
        <v>300</v>
      </c>
      <c r="P223" t="str">
        <f t="shared" si="7"/>
        <v>"40182"</v>
      </c>
    </row>
    <row r="224" spans="1:16" x14ac:dyDescent="0.2">
      <c r="A224" t="s">
        <v>301</v>
      </c>
      <c r="B224" s="5" t="s">
        <v>143</v>
      </c>
      <c r="C224" t="s">
        <v>301</v>
      </c>
      <c r="E224" s="4" t="s">
        <v>301</v>
      </c>
      <c r="F224" t="s">
        <v>176</v>
      </c>
      <c r="G224" t="s">
        <v>301</v>
      </c>
      <c r="I224" t="s">
        <v>298</v>
      </c>
      <c r="J224" t="s">
        <v>299</v>
      </c>
      <c r="K224" s="4" t="s">
        <v>304</v>
      </c>
      <c r="L224" t="str">
        <f t="shared" si="6"/>
        <v>"Russell County School Board"</v>
      </c>
      <c r="M224" t="s">
        <v>302</v>
      </c>
      <c r="N224" t="s">
        <v>303</v>
      </c>
      <c r="O224" s="4" t="s">
        <v>300</v>
      </c>
      <c r="P224" t="str">
        <f t="shared" si="7"/>
        <v>"40183"</v>
      </c>
    </row>
    <row r="225" spans="1:16" x14ac:dyDescent="0.2">
      <c r="A225" t="s">
        <v>301</v>
      </c>
      <c r="B225" s="5" t="s">
        <v>144</v>
      </c>
      <c r="C225" t="s">
        <v>301</v>
      </c>
      <c r="E225" s="4" t="s">
        <v>301</v>
      </c>
      <c r="F225" t="s">
        <v>177</v>
      </c>
      <c r="G225" t="s">
        <v>301</v>
      </c>
      <c r="I225" t="s">
        <v>298</v>
      </c>
      <c r="J225" t="s">
        <v>299</v>
      </c>
      <c r="K225" s="4" t="s">
        <v>304</v>
      </c>
      <c r="L225" t="str">
        <f t="shared" si="6"/>
        <v>"Scott County School Board"</v>
      </c>
      <c r="M225" t="s">
        <v>302</v>
      </c>
      <c r="N225" t="s">
        <v>303</v>
      </c>
      <c r="O225" s="4" t="s">
        <v>300</v>
      </c>
      <c r="P225" t="str">
        <f t="shared" si="7"/>
        <v>"40184"</v>
      </c>
    </row>
    <row r="226" spans="1:16" x14ac:dyDescent="0.2">
      <c r="A226" t="s">
        <v>301</v>
      </c>
      <c r="B226" s="5" t="s">
        <v>145</v>
      </c>
      <c r="C226" t="s">
        <v>301</v>
      </c>
      <c r="E226" s="4" t="s">
        <v>301</v>
      </c>
      <c r="F226" t="s">
        <v>178</v>
      </c>
      <c r="G226" t="s">
        <v>301</v>
      </c>
      <c r="I226" t="s">
        <v>298</v>
      </c>
      <c r="J226" t="s">
        <v>299</v>
      </c>
      <c r="K226" s="4" t="s">
        <v>304</v>
      </c>
      <c r="L226" t="str">
        <f t="shared" si="6"/>
        <v>"Shenandoah County School Board"</v>
      </c>
      <c r="M226" t="s">
        <v>302</v>
      </c>
      <c r="N226" t="s">
        <v>303</v>
      </c>
      <c r="O226" s="4" t="s">
        <v>300</v>
      </c>
      <c r="P226" t="str">
        <f t="shared" si="7"/>
        <v>"40185"</v>
      </c>
    </row>
    <row r="227" spans="1:16" x14ac:dyDescent="0.2">
      <c r="A227" t="s">
        <v>301</v>
      </c>
      <c r="B227" s="5" t="s">
        <v>146</v>
      </c>
      <c r="C227" t="s">
        <v>301</v>
      </c>
      <c r="E227" s="4" t="s">
        <v>301</v>
      </c>
      <c r="F227" t="s">
        <v>179</v>
      </c>
      <c r="G227" t="s">
        <v>301</v>
      </c>
      <c r="I227" t="s">
        <v>298</v>
      </c>
      <c r="J227" t="s">
        <v>299</v>
      </c>
      <c r="K227" s="4" t="s">
        <v>304</v>
      </c>
      <c r="L227" t="str">
        <f t="shared" si="6"/>
        <v>"Smyth County School Board"</v>
      </c>
      <c r="M227" t="s">
        <v>302</v>
      </c>
      <c r="N227" t="s">
        <v>303</v>
      </c>
      <c r="O227" s="4" t="s">
        <v>300</v>
      </c>
      <c r="P227" t="str">
        <f t="shared" si="7"/>
        <v>"40186"</v>
      </c>
    </row>
    <row r="228" spans="1:16" x14ac:dyDescent="0.2">
      <c r="A228" t="s">
        <v>301</v>
      </c>
      <c r="B228" s="5" t="s">
        <v>147</v>
      </c>
      <c r="C228" t="s">
        <v>301</v>
      </c>
      <c r="E228" s="4" t="s">
        <v>301</v>
      </c>
      <c r="F228" t="s">
        <v>180</v>
      </c>
      <c r="G228" t="s">
        <v>301</v>
      </c>
      <c r="I228" t="s">
        <v>298</v>
      </c>
      <c r="J228" t="s">
        <v>299</v>
      </c>
      <c r="K228" s="4" t="s">
        <v>304</v>
      </c>
      <c r="L228" t="str">
        <f t="shared" si="6"/>
        <v>"Southampton County School Board"</v>
      </c>
      <c r="M228" t="s">
        <v>302</v>
      </c>
      <c r="N228" t="s">
        <v>303</v>
      </c>
      <c r="O228" s="4" t="s">
        <v>300</v>
      </c>
      <c r="P228" t="str">
        <f t="shared" si="7"/>
        <v>"40187"</v>
      </c>
    </row>
    <row r="229" spans="1:16" x14ac:dyDescent="0.2">
      <c r="A229" t="s">
        <v>301</v>
      </c>
      <c r="B229" s="5" t="s">
        <v>148</v>
      </c>
      <c r="C229" t="s">
        <v>301</v>
      </c>
      <c r="E229" s="4" t="s">
        <v>301</v>
      </c>
      <c r="F229" t="s">
        <v>181</v>
      </c>
      <c r="G229" t="s">
        <v>301</v>
      </c>
      <c r="I229" t="s">
        <v>298</v>
      </c>
      <c r="J229" t="s">
        <v>299</v>
      </c>
      <c r="K229" s="4" t="s">
        <v>304</v>
      </c>
      <c r="L229" t="str">
        <f t="shared" si="6"/>
        <v>"Spotsylvania County School Board"</v>
      </c>
      <c r="M229" t="s">
        <v>302</v>
      </c>
      <c r="N229" t="s">
        <v>303</v>
      </c>
      <c r="O229" s="4" t="s">
        <v>300</v>
      </c>
      <c r="P229" t="str">
        <f t="shared" si="7"/>
        <v>"40188"</v>
      </c>
    </row>
    <row r="230" spans="1:16" x14ac:dyDescent="0.2">
      <c r="A230" t="s">
        <v>301</v>
      </c>
      <c r="B230" s="5" t="s">
        <v>149</v>
      </c>
      <c r="C230" t="s">
        <v>301</v>
      </c>
      <c r="E230" s="4" t="s">
        <v>301</v>
      </c>
      <c r="F230" t="s">
        <v>182</v>
      </c>
      <c r="G230" t="s">
        <v>301</v>
      </c>
      <c r="I230" t="s">
        <v>298</v>
      </c>
      <c r="J230" t="s">
        <v>299</v>
      </c>
      <c r="K230" s="4" t="s">
        <v>304</v>
      </c>
      <c r="L230" t="str">
        <f t="shared" si="6"/>
        <v>"Stafford County School Board"</v>
      </c>
      <c r="M230" t="s">
        <v>302</v>
      </c>
      <c r="N230" t="s">
        <v>303</v>
      </c>
      <c r="O230" s="4" t="s">
        <v>300</v>
      </c>
      <c r="P230" t="str">
        <f t="shared" si="7"/>
        <v>"40189"</v>
      </c>
    </row>
    <row r="231" spans="1:16" x14ac:dyDescent="0.2">
      <c r="A231" t="s">
        <v>301</v>
      </c>
      <c r="B231" s="5" t="s">
        <v>150</v>
      </c>
      <c r="C231" t="s">
        <v>301</v>
      </c>
      <c r="E231" s="4" t="s">
        <v>301</v>
      </c>
      <c r="F231" t="s">
        <v>183</v>
      </c>
      <c r="G231" t="s">
        <v>301</v>
      </c>
      <c r="I231" t="s">
        <v>298</v>
      </c>
      <c r="J231" t="s">
        <v>299</v>
      </c>
      <c r="K231" s="4" t="s">
        <v>304</v>
      </c>
      <c r="L231" t="str">
        <f t="shared" si="6"/>
        <v>"Surry County Schools"</v>
      </c>
      <c r="M231" t="s">
        <v>302</v>
      </c>
      <c r="N231" t="s">
        <v>303</v>
      </c>
      <c r="O231" s="4" t="s">
        <v>300</v>
      </c>
      <c r="P231" t="str">
        <f t="shared" si="7"/>
        <v>"40190"</v>
      </c>
    </row>
    <row r="232" spans="1:16" x14ac:dyDescent="0.2">
      <c r="A232" t="s">
        <v>301</v>
      </c>
      <c r="B232" s="5" t="s">
        <v>151</v>
      </c>
      <c r="C232" t="s">
        <v>301</v>
      </c>
      <c r="E232" s="4" t="s">
        <v>301</v>
      </c>
      <c r="F232" t="s">
        <v>184</v>
      </c>
      <c r="G232" t="s">
        <v>301</v>
      </c>
      <c r="I232" t="s">
        <v>298</v>
      </c>
      <c r="J232" t="s">
        <v>299</v>
      </c>
      <c r="K232" s="4" t="s">
        <v>304</v>
      </c>
      <c r="L232" t="str">
        <f t="shared" si="6"/>
        <v>"Sussex County School Board"</v>
      </c>
      <c r="M232" t="s">
        <v>302</v>
      </c>
      <c r="N232" t="s">
        <v>303</v>
      </c>
      <c r="O232" s="4" t="s">
        <v>300</v>
      </c>
      <c r="P232" t="str">
        <f t="shared" si="7"/>
        <v>"40191"</v>
      </c>
    </row>
    <row r="233" spans="1:16" x14ac:dyDescent="0.2">
      <c r="A233" t="s">
        <v>301</v>
      </c>
      <c r="B233" s="5" t="s">
        <v>152</v>
      </c>
      <c r="C233" t="s">
        <v>301</v>
      </c>
      <c r="E233" s="4" t="s">
        <v>301</v>
      </c>
      <c r="F233" t="s">
        <v>185</v>
      </c>
      <c r="G233" t="s">
        <v>301</v>
      </c>
      <c r="I233" t="s">
        <v>298</v>
      </c>
      <c r="J233" t="s">
        <v>299</v>
      </c>
      <c r="K233" s="4" t="s">
        <v>304</v>
      </c>
      <c r="L233" t="str">
        <f t="shared" si="6"/>
        <v>"Tazewell County Schools"</v>
      </c>
      <c r="M233" t="s">
        <v>302</v>
      </c>
      <c r="N233" t="s">
        <v>303</v>
      </c>
      <c r="O233" s="4" t="s">
        <v>300</v>
      </c>
      <c r="P233" t="str">
        <f t="shared" si="7"/>
        <v>"40192"</v>
      </c>
    </row>
    <row r="234" spans="1:16" x14ac:dyDescent="0.2">
      <c r="A234" t="s">
        <v>301</v>
      </c>
      <c r="B234" s="5" t="s">
        <v>153</v>
      </c>
      <c r="C234" t="s">
        <v>301</v>
      </c>
      <c r="E234" s="4" t="s">
        <v>301</v>
      </c>
      <c r="F234" t="s">
        <v>186</v>
      </c>
      <c r="G234" t="s">
        <v>301</v>
      </c>
      <c r="I234" t="s">
        <v>298</v>
      </c>
      <c r="J234" t="s">
        <v>299</v>
      </c>
      <c r="K234" s="4" t="s">
        <v>304</v>
      </c>
      <c r="L234" t="str">
        <f t="shared" si="6"/>
        <v>"Warren County School Board"</v>
      </c>
      <c r="M234" t="s">
        <v>302</v>
      </c>
      <c r="N234" t="s">
        <v>303</v>
      </c>
      <c r="O234" s="4" t="s">
        <v>300</v>
      </c>
      <c r="P234" t="str">
        <f t="shared" si="7"/>
        <v>"40193"</v>
      </c>
    </row>
    <row r="235" spans="1:16" x14ac:dyDescent="0.2">
      <c r="A235" t="s">
        <v>301</v>
      </c>
      <c r="B235" s="5" t="s">
        <v>154</v>
      </c>
      <c r="C235" t="s">
        <v>301</v>
      </c>
      <c r="E235" s="4" t="s">
        <v>301</v>
      </c>
      <c r="F235" t="s">
        <v>187</v>
      </c>
      <c r="G235" t="s">
        <v>301</v>
      </c>
      <c r="I235" t="s">
        <v>298</v>
      </c>
      <c r="J235" t="s">
        <v>299</v>
      </c>
      <c r="K235" s="4" t="s">
        <v>304</v>
      </c>
      <c r="L235" t="str">
        <f t="shared" si="6"/>
        <v>"Washington County School Board"</v>
      </c>
      <c r="M235" t="s">
        <v>302</v>
      </c>
      <c r="N235" t="s">
        <v>303</v>
      </c>
      <c r="O235" s="4" t="s">
        <v>300</v>
      </c>
      <c r="P235" t="str">
        <f t="shared" si="7"/>
        <v>"40195"</v>
      </c>
    </row>
    <row r="236" spans="1:16" x14ac:dyDescent="0.2">
      <c r="A236" t="s">
        <v>301</v>
      </c>
      <c r="B236" s="5" t="s">
        <v>155</v>
      </c>
      <c r="C236" t="s">
        <v>301</v>
      </c>
      <c r="E236" s="4" t="s">
        <v>301</v>
      </c>
      <c r="F236" t="s">
        <v>188</v>
      </c>
      <c r="G236" t="s">
        <v>301</v>
      </c>
      <c r="I236" t="s">
        <v>298</v>
      </c>
      <c r="J236" t="s">
        <v>299</v>
      </c>
      <c r="K236" s="4" t="s">
        <v>304</v>
      </c>
      <c r="L236" t="str">
        <f t="shared" si="6"/>
        <v>"Westmoreland County School Board"</v>
      </c>
      <c r="M236" t="s">
        <v>302</v>
      </c>
      <c r="N236" t="s">
        <v>303</v>
      </c>
      <c r="O236" s="4" t="s">
        <v>300</v>
      </c>
      <c r="P236" t="str">
        <f t="shared" si="7"/>
        <v>"40196"</v>
      </c>
    </row>
    <row r="237" spans="1:16" x14ac:dyDescent="0.2">
      <c r="A237" t="s">
        <v>301</v>
      </c>
      <c r="B237" s="5" t="s">
        <v>156</v>
      </c>
      <c r="C237" t="s">
        <v>301</v>
      </c>
      <c r="E237" s="4" t="s">
        <v>301</v>
      </c>
      <c r="F237" t="s">
        <v>189</v>
      </c>
      <c r="G237" t="s">
        <v>301</v>
      </c>
      <c r="I237" t="s">
        <v>298</v>
      </c>
      <c r="J237" t="s">
        <v>299</v>
      </c>
      <c r="K237" s="4" t="s">
        <v>304</v>
      </c>
      <c r="L237" t="str">
        <f t="shared" si="6"/>
        <v>"Wise County School Board"</v>
      </c>
      <c r="M237" t="s">
        <v>302</v>
      </c>
      <c r="N237" t="s">
        <v>303</v>
      </c>
      <c r="O237" s="4" t="s">
        <v>300</v>
      </c>
      <c r="P237" t="str">
        <f t="shared" si="7"/>
        <v>"40197"</v>
      </c>
    </row>
    <row r="238" spans="1:16" x14ac:dyDescent="0.2">
      <c r="A238" t="s">
        <v>301</v>
      </c>
      <c r="B238" s="5" t="s">
        <v>157</v>
      </c>
      <c r="C238" t="s">
        <v>301</v>
      </c>
      <c r="E238" s="4" t="s">
        <v>301</v>
      </c>
      <c r="F238" t="s">
        <v>190</v>
      </c>
      <c r="G238" t="s">
        <v>301</v>
      </c>
      <c r="I238" t="s">
        <v>298</v>
      </c>
      <c r="J238" t="s">
        <v>299</v>
      </c>
      <c r="K238" s="4" t="s">
        <v>304</v>
      </c>
      <c r="L238" t="str">
        <f t="shared" si="6"/>
        <v>"Wythe County School Board"</v>
      </c>
      <c r="M238" t="s">
        <v>302</v>
      </c>
      <c r="N238" t="s">
        <v>303</v>
      </c>
      <c r="O238" s="4" t="s">
        <v>300</v>
      </c>
      <c r="P238" t="str">
        <f t="shared" si="7"/>
        <v>"40198"</v>
      </c>
    </row>
    <row r="239" spans="1:16" x14ac:dyDescent="0.2">
      <c r="A239" t="s">
        <v>301</v>
      </c>
      <c r="B239" s="5" t="s">
        <v>158</v>
      </c>
      <c r="C239" t="s">
        <v>301</v>
      </c>
      <c r="E239" s="4" t="s">
        <v>301</v>
      </c>
      <c r="F239" t="s">
        <v>191</v>
      </c>
      <c r="G239" t="s">
        <v>301</v>
      </c>
      <c r="I239" t="s">
        <v>298</v>
      </c>
      <c r="J239" t="s">
        <v>299</v>
      </c>
      <c r="K239" s="4" t="s">
        <v>304</v>
      </c>
      <c r="L239" t="str">
        <f t="shared" si="6"/>
        <v>"York County School Board"</v>
      </c>
      <c r="M239" t="s">
        <v>302</v>
      </c>
      <c r="N239" t="s">
        <v>303</v>
      </c>
      <c r="O239" s="4" t="s">
        <v>300</v>
      </c>
      <c r="P239" t="str">
        <f t="shared" si="7"/>
        <v>"40199"</v>
      </c>
    </row>
    <row r="240" spans="1:16" x14ac:dyDescent="0.2">
      <c r="A240" t="s">
        <v>301</v>
      </c>
      <c r="B240" s="5" t="s">
        <v>159</v>
      </c>
      <c r="C240" t="s">
        <v>301</v>
      </c>
      <c r="E240" s="4" t="s">
        <v>301</v>
      </c>
      <c r="F240" t="s">
        <v>192</v>
      </c>
      <c r="G240" t="s">
        <v>301</v>
      </c>
      <c r="I240" t="s">
        <v>298</v>
      </c>
      <c r="J240" t="s">
        <v>299</v>
      </c>
      <c r="K240" s="4" t="s">
        <v>304</v>
      </c>
      <c r="L240" t="str">
        <f t="shared" si="6"/>
        <v>"Alexandria City School Board"</v>
      </c>
      <c r="M240" t="s">
        <v>302</v>
      </c>
      <c r="N240" t="s">
        <v>303</v>
      </c>
      <c r="O240" s="4" t="s">
        <v>300</v>
      </c>
      <c r="P240" t="str">
        <f t="shared" si="7"/>
        <v>"40200"</v>
      </c>
    </row>
    <row r="241" spans="1:16" x14ac:dyDescent="0.2">
      <c r="A241" t="s">
        <v>301</v>
      </c>
      <c r="B241" s="5" t="s">
        <v>160</v>
      </c>
      <c r="C241" t="s">
        <v>301</v>
      </c>
      <c r="E241" s="4" t="s">
        <v>301</v>
      </c>
      <c r="F241" t="s">
        <v>193</v>
      </c>
      <c r="G241" t="s">
        <v>301</v>
      </c>
      <c r="I241" t="s">
        <v>298</v>
      </c>
      <c r="J241" t="s">
        <v>299</v>
      </c>
      <c r="K241" s="4" t="s">
        <v>304</v>
      </c>
      <c r="L241" t="str">
        <f t="shared" si="6"/>
        <v>"Bristol City School Board"</v>
      </c>
      <c r="M241" t="s">
        <v>302</v>
      </c>
      <c r="N241" t="s">
        <v>303</v>
      </c>
      <c r="O241" s="4" t="s">
        <v>300</v>
      </c>
      <c r="P241" t="str">
        <f t="shared" si="7"/>
        <v>"40201"</v>
      </c>
    </row>
    <row r="242" spans="1:16" x14ac:dyDescent="0.2">
      <c r="A242" t="s">
        <v>301</v>
      </c>
      <c r="B242" s="5" t="s">
        <v>161</v>
      </c>
      <c r="C242" t="s">
        <v>301</v>
      </c>
      <c r="E242" s="4" t="s">
        <v>301</v>
      </c>
      <c r="F242" t="s">
        <v>194</v>
      </c>
      <c r="G242" t="s">
        <v>301</v>
      </c>
      <c r="I242" t="s">
        <v>298</v>
      </c>
      <c r="J242" t="s">
        <v>299</v>
      </c>
      <c r="K242" s="4" t="s">
        <v>304</v>
      </c>
      <c r="L242" t="str">
        <f t="shared" si="6"/>
        <v>"Buena Vista City Schools"</v>
      </c>
      <c r="M242" t="s">
        <v>302</v>
      </c>
      <c r="N242" t="s">
        <v>303</v>
      </c>
      <c r="O242" s="4" t="s">
        <v>300</v>
      </c>
      <c r="P242" t="str">
        <f t="shared" si="7"/>
        <v>"40202"</v>
      </c>
    </row>
    <row r="243" spans="1:16" x14ac:dyDescent="0.2">
      <c r="A243" t="s">
        <v>301</v>
      </c>
      <c r="B243" s="5" t="s">
        <v>162</v>
      </c>
      <c r="C243" t="s">
        <v>301</v>
      </c>
      <c r="E243" s="4" t="s">
        <v>301</v>
      </c>
      <c r="F243" t="s">
        <v>195</v>
      </c>
      <c r="G243" t="s">
        <v>301</v>
      </c>
      <c r="I243" t="s">
        <v>298</v>
      </c>
      <c r="J243" t="s">
        <v>299</v>
      </c>
      <c r="K243" s="4" t="s">
        <v>304</v>
      </c>
      <c r="L243" t="str">
        <f t="shared" si="6"/>
        <v>"Charlottesville Public Schools"</v>
      </c>
      <c r="M243" t="s">
        <v>302</v>
      </c>
      <c r="N243" t="s">
        <v>303</v>
      </c>
      <c r="O243" s="4" t="s">
        <v>300</v>
      </c>
      <c r="P243" t="str">
        <f t="shared" si="7"/>
        <v>"40203"</v>
      </c>
    </row>
    <row r="244" spans="1:16" x14ac:dyDescent="0.2">
      <c r="A244" t="s">
        <v>301</v>
      </c>
      <c r="B244" s="5" t="s">
        <v>196</v>
      </c>
      <c r="C244" t="s">
        <v>301</v>
      </c>
      <c r="E244" s="4" t="s">
        <v>301</v>
      </c>
      <c r="F244" t="s">
        <v>229</v>
      </c>
      <c r="G244" t="s">
        <v>301</v>
      </c>
      <c r="I244" t="s">
        <v>298</v>
      </c>
      <c r="J244" t="s">
        <v>299</v>
      </c>
      <c r="K244" s="4" t="s">
        <v>304</v>
      </c>
      <c r="L244" t="str">
        <f t="shared" si="6"/>
        <v>"Danville City Schools"</v>
      </c>
      <c r="M244" t="s">
        <v>302</v>
      </c>
      <c r="N244" t="s">
        <v>303</v>
      </c>
      <c r="O244" s="4" t="s">
        <v>300</v>
      </c>
      <c r="P244" t="str">
        <f t="shared" si="7"/>
        <v>"40205"</v>
      </c>
    </row>
    <row r="245" spans="1:16" x14ac:dyDescent="0.2">
      <c r="A245" t="s">
        <v>301</v>
      </c>
      <c r="B245" s="5" t="s">
        <v>197</v>
      </c>
      <c r="C245" t="s">
        <v>301</v>
      </c>
      <c r="E245" s="4" t="s">
        <v>301</v>
      </c>
      <c r="F245" t="s">
        <v>230</v>
      </c>
      <c r="G245" t="s">
        <v>301</v>
      </c>
      <c r="I245" t="s">
        <v>298</v>
      </c>
      <c r="J245" t="s">
        <v>299</v>
      </c>
      <c r="K245" s="4" t="s">
        <v>304</v>
      </c>
      <c r="L245" t="str">
        <f t="shared" si="6"/>
        <v>"Fredericksburg City Schools"</v>
      </c>
      <c r="M245" t="s">
        <v>302</v>
      </c>
      <c r="N245" t="s">
        <v>303</v>
      </c>
      <c r="O245" s="4" t="s">
        <v>300</v>
      </c>
      <c r="P245" t="str">
        <f t="shared" si="7"/>
        <v>"40206"</v>
      </c>
    </row>
    <row r="246" spans="1:16" x14ac:dyDescent="0.2">
      <c r="A246" t="s">
        <v>301</v>
      </c>
      <c r="B246" s="5" t="s">
        <v>198</v>
      </c>
      <c r="C246" t="s">
        <v>301</v>
      </c>
      <c r="E246" s="4" t="s">
        <v>301</v>
      </c>
      <c r="F246" t="s">
        <v>231</v>
      </c>
      <c r="G246" t="s">
        <v>301</v>
      </c>
      <c r="I246" t="s">
        <v>298</v>
      </c>
      <c r="J246" t="s">
        <v>299</v>
      </c>
      <c r="K246" s="4" t="s">
        <v>304</v>
      </c>
      <c r="L246" t="str">
        <f t="shared" si="6"/>
        <v>"Hampton City Schools"</v>
      </c>
      <c r="M246" t="s">
        <v>302</v>
      </c>
      <c r="N246" t="s">
        <v>303</v>
      </c>
      <c r="O246" s="4" t="s">
        <v>300</v>
      </c>
      <c r="P246" t="str">
        <f t="shared" si="7"/>
        <v>"40207"</v>
      </c>
    </row>
    <row r="247" spans="1:16" x14ac:dyDescent="0.2">
      <c r="A247" t="s">
        <v>301</v>
      </c>
      <c r="B247" s="5" t="s">
        <v>199</v>
      </c>
      <c r="C247" t="s">
        <v>301</v>
      </c>
      <c r="E247" s="4" t="s">
        <v>301</v>
      </c>
      <c r="F247" t="s">
        <v>232</v>
      </c>
      <c r="G247" t="s">
        <v>301</v>
      </c>
      <c r="I247" t="s">
        <v>298</v>
      </c>
      <c r="J247" t="s">
        <v>299</v>
      </c>
      <c r="K247" s="4" t="s">
        <v>304</v>
      </c>
      <c r="L247" t="str">
        <f t="shared" si="6"/>
        <v>"Harrisonburg City School Board"</v>
      </c>
      <c r="M247" t="s">
        <v>302</v>
      </c>
      <c r="N247" t="s">
        <v>303</v>
      </c>
      <c r="O247" s="4" t="s">
        <v>300</v>
      </c>
      <c r="P247" t="str">
        <f t="shared" si="7"/>
        <v>"40208"</v>
      </c>
    </row>
    <row r="248" spans="1:16" x14ac:dyDescent="0.2">
      <c r="A248" t="s">
        <v>301</v>
      </c>
      <c r="B248" s="5" t="s">
        <v>200</v>
      </c>
      <c r="C248" t="s">
        <v>301</v>
      </c>
      <c r="E248" s="4" t="s">
        <v>301</v>
      </c>
      <c r="F248" t="s">
        <v>233</v>
      </c>
      <c r="G248" t="s">
        <v>301</v>
      </c>
      <c r="I248" t="s">
        <v>298</v>
      </c>
      <c r="J248" t="s">
        <v>299</v>
      </c>
      <c r="K248" s="4" t="s">
        <v>304</v>
      </c>
      <c r="L248" t="str">
        <f t="shared" si="6"/>
        <v>"Hopewell City School Board"</v>
      </c>
      <c r="M248" t="s">
        <v>302</v>
      </c>
      <c r="N248" t="s">
        <v>303</v>
      </c>
      <c r="O248" s="4" t="s">
        <v>300</v>
      </c>
      <c r="P248" t="str">
        <f t="shared" si="7"/>
        <v>"40209"</v>
      </c>
    </row>
    <row r="249" spans="1:16" x14ac:dyDescent="0.2">
      <c r="A249" t="s">
        <v>301</v>
      </c>
      <c r="B249" s="5" t="s">
        <v>201</v>
      </c>
      <c r="C249" t="s">
        <v>301</v>
      </c>
      <c r="E249" s="4" t="s">
        <v>301</v>
      </c>
      <c r="F249" t="s">
        <v>234</v>
      </c>
      <c r="G249" t="s">
        <v>301</v>
      </c>
      <c r="I249" t="s">
        <v>298</v>
      </c>
      <c r="J249" t="s">
        <v>299</v>
      </c>
      <c r="K249" s="4" t="s">
        <v>304</v>
      </c>
      <c r="L249" t="str">
        <f t="shared" si="6"/>
        <v>"Lynchburg Public Schools"</v>
      </c>
      <c r="M249" t="s">
        <v>302</v>
      </c>
      <c r="N249" t="s">
        <v>303</v>
      </c>
      <c r="O249" s="4" t="s">
        <v>300</v>
      </c>
      <c r="P249" t="str">
        <f t="shared" si="7"/>
        <v>"40210"</v>
      </c>
    </row>
    <row r="250" spans="1:16" x14ac:dyDescent="0.2">
      <c r="A250" t="s">
        <v>301</v>
      </c>
      <c r="B250" s="5" t="s">
        <v>202</v>
      </c>
      <c r="C250" t="s">
        <v>301</v>
      </c>
      <c r="E250" s="4" t="s">
        <v>301</v>
      </c>
      <c r="F250" t="s">
        <v>235</v>
      </c>
      <c r="G250" t="s">
        <v>301</v>
      </c>
      <c r="I250" t="s">
        <v>298</v>
      </c>
      <c r="J250" t="s">
        <v>299</v>
      </c>
      <c r="K250" s="4" t="s">
        <v>304</v>
      </c>
      <c r="L250" t="str">
        <f t="shared" si="6"/>
        <v>"Newport News Public Schools"</v>
      </c>
      <c r="M250" t="s">
        <v>302</v>
      </c>
      <c r="N250" t="s">
        <v>303</v>
      </c>
      <c r="O250" s="4" t="s">
        <v>300</v>
      </c>
      <c r="P250" t="str">
        <f t="shared" si="7"/>
        <v>"40211"</v>
      </c>
    </row>
    <row r="251" spans="1:16" x14ac:dyDescent="0.2">
      <c r="A251" t="s">
        <v>301</v>
      </c>
      <c r="B251" s="5" t="s">
        <v>203</v>
      </c>
      <c r="C251" t="s">
        <v>301</v>
      </c>
      <c r="E251" s="4" t="s">
        <v>301</v>
      </c>
      <c r="F251" t="s">
        <v>236</v>
      </c>
      <c r="G251" t="s">
        <v>301</v>
      </c>
      <c r="I251" t="s">
        <v>298</v>
      </c>
      <c r="J251" t="s">
        <v>299</v>
      </c>
      <c r="K251" s="4" t="s">
        <v>304</v>
      </c>
      <c r="L251" t="str">
        <f t="shared" si="6"/>
        <v>"Norfolk Public Schools"</v>
      </c>
      <c r="M251" t="s">
        <v>302</v>
      </c>
      <c r="N251" t="s">
        <v>303</v>
      </c>
      <c r="O251" s="4" t="s">
        <v>300</v>
      </c>
      <c r="P251" t="str">
        <f t="shared" si="7"/>
        <v>"40212"</v>
      </c>
    </row>
    <row r="252" spans="1:16" x14ac:dyDescent="0.2">
      <c r="A252" t="s">
        <v>301</v>
      </c>
      <c r="B252" s="5" t="s">
        <v>204</v>
      </c>
      <c r="C252" t="s">
        <v>301</v>
      </c>
      <c r="E252" s="4" t="s">
        <v>301</v>
      </c>
      <c r="F252" t="s">
        <v>237</v>
      </c>
      <c r="G252" t="s">
        <v>301</v>
      </c>
      <c r="I252" t="s">
        <v>298</v>
      </c>
      <c r="J252" t="s">
        <v>299</v>
      </c>
      <c r="K252" s="4" t="s">
        <v>304</v>
      </c>
      <c r="L252" t="str">
        <f t="shared" si="6"/>
        <v>"Petersburg City Schools"</v>
      </c>
      <c r="M252" t="s">
        <v>302</v>
      </c>
      <c r="N252" t="s">
        <v>303</v>
      </c>
      <c r="O252" s="4" t="s">
        <v>300</v>
      </c>
      <c r="P252" t="str">
        <f t="shared" si="7"/>
        <v>"40213"</v>
      </c>
    </row>
    <row r="253" spans="1:16" x14ac:dyDescent="0.2">
      <c r="A253" t="s">
        <v>301</v>
      </c>
      <c r="B253" s="5" t="s">
        <v>205</v>
      </c>
      <c r="C253" t="s">
        <v>301</v>
      </c>
      <c r="E253" s="4" t="s">
        <v>301</v>
      </c>
      <c r="F253" t="s">
        <v>238</v>
      </c>
      <c r="G253" t="s">
        <v>301</v>
      </c>
      <c r="I253" t="s">
        <v>298</v>
      </c>
      <c r="J253" t="s">
        <v>299</v>
      </c>
      <c r="K253" s="4" t="s">
        <v>304</v>
      </c>
      <c r="L253" t="str">
        <f t="shared" si="6"/>
        <v>"Portsmouth School Board"</v>
      </c>
      <c r="M253" t="s">
        <v>302</v>
      </c>
      <c r="N253" t="s">
        <v>303</v>
      </c>
      <c r="O253" s="4" t="s">
        <v>300</v>
      </c>
      <c r="P253" t="str">
        <f t="shared" si="7"/>
        <v>"40214"</v>
      </c>
    </row>
    <row r="254" spans="1:16" x14ac:dyDescent="0.2">
      <c r="A254" t="s">
        <v>301</v>
      </c>
      <c r="B254" s="5" t="s">
        <v>206</v>
      </c>
      <c r="C254" t="s">
        <v>301</v>
      </c>
      <c r="E254" s="4" t="s">
        <v>301</v>
      </c>
      <c r="F254" t="s">
        <v>239</v>
      </c>
      <c r="G254" t="s">
        <v>301</v>
      </c>
      <c r="I254" t="s">
        <v>298</v>
      </c>
      <c r="J254" t="s">
        <v>299</v>
      </c>
      <c r="K254" s="4" t="s">
        <v>304</v>
      </c>
      <c r="L254" t="str">
        <f t="shared" si="6"/>
        <v>"Radford City School Board"</v>
      </c>
      <c r="M254" t="s">
        <v>302</v>
      </c>
      <c r="N254" t="s">
        <v>303</v>
      </c>
      <c r="O254" s="4" t="s">
        <v>300</v>
      </c>
      <c r="P254" t="str">
        <f t="shared" si="7"/>
        <v>"40215"</v>
      </c>
    </row>
    <row r="255" spans="1:16" x14ac:dyDescent="0.2">
      <c r="A255" t="s">
        <v>301</v>
      </c>
      <c r="B255" s="5" t="s">
        <v>207</v>
      </c>
      <c r="C255" t="s">
        <v>301</v>
      </c>
      <c r="E255" s="4" t="s">
        <v>301</v>
      </c>
      <c r="F255" t="s">
        <v>240</v>
      </c>
      <c r="G255" t="s">
        <v>301</v>
      </c>
      <c r="I255" t="s">
        <v>298</v>
      </c>
      <c r="J255" t="s">
        <v>299</v>
      </c>
      <c r="K255" s="4" t="s">
        <v>304</v>
      </c>
      <c r="L255" t="str">
        <f t="shared" si="6"/>
        <v>"Richmond Public Schools"</v>
      </c>
      <c r="M255" t="s">
        <v>302</v>
      </c>
      <c r="N255" t="s">
        <v>303</v>
      </c>
      <c r="O255" s="4" t="s">
        <v>300</v>
      </c>
      <c r="P255" t="str">
        <f t="shared" si="7"/>
        <v>"40216"</v>
      </c>
    </row>
    <row r="256" spans="1:16" x14ac:dyDescent="0.2">
      <c r="A256" t="s">
        <v>301</v>
      </c>
      <c r="B256" s="5" t="s">
        <v>208</v>
      </c>
      <c r="C256" t="s">
        <v>301</v>
      </c>
      <c r="E256" s="4" t="s">
        <v>301</v>
      </c>
      <c r="F256" t="s">
        <v>241</v>
      </c>
      <c r="G256" t="s">
        <v>301</v>
      </c>
      <c r="I256" t="s">
        <v>298</v>
      </c>
      <c r="J256" t="s">
        <v>299</v>
      </c>
      <c r="K256" s="4" t="s">
        <v>304</v>
      </c>
      <c r="L256" t="str">
        <f t="shared" si="6"/>
        <v>"Roanoke City School Board"</v>
      </c>
      <c r="M256" t="s">
        <v>302</v>
      </c>
      <c r="N256" t="s">
        <v>303</v>
      </c>
      <c r="O256" s="4" t="s">
        <v>300</v>
      </c>
      <c r="P256" t="str">
        <f t="shared" si="7"/>
        <v>"40217"</v>
      </c>
    </row>
    <row r="257" spans="1:16" x14ac:dyDescent="0.2">
      <c r="A257" t="s">
        <v>301</v>
      </c>
      <c r="B257" s="5" t="s">
        <v>209</v>
      </c>
      <c r="C257" t="s">
        <v>301</v>
      </c>
      <c r="E257" s="4" t="s">
        <v>301</v>
      </c>
      <c r="F257" t="s">
        <v>242</v>
      </c>
      <c r="G257" t="s">
        <v>301</v>
      </c>
      <c r="I257" t="s">
        <v>298</v>
      </c>
      <c r="J257" t="s">
        <v>299</v>
      </c>
      <c r="K257" s="4" t="s">
        <v>304</v>
      </c>
      <c r="L257" t="str">
        <f t="shared" si="6"/>
        <v>"Staunton City Schools"</v>
      </c>
      <c r="M257" t="s">
        <v>302</v>
      </c>
      <c r="N257" t="s">
        <v>303</v>
      </c>
      <c r="O257" s="4" t="s">
        <v>300</v>
      </c>
      <c r="P257" t="str">
        <f t="shared" si="7"/>
        <v>"40219"</v>
      </c>
    </row>
    <row r="258" spans="1:16" x14ac:dyDescent="0.2">
      <c r="A258" t="s">
        <v>301</v>
      </c>
      <c r="B258" s="5" t="s">
        <v>210</v>
      </c>
      <c r="C258" t="s">
        <v>301</v>
      </c>
      <c r="E258" s="4" t="s">
        <v>301</v>
      </c>
      <c r="F258" t="s">
        <v>243</v>
      </c>
      <c r="G258" t="s">
        <v>301</v>
      </c>
      <c r="I258" t="s">
        <v>298</v>
      </c>
      <c r="J258" t="s">
        <v>299</v>
      </c>
      <c r="K258" s="4" t="s">
        <v>304</v>
      </c>
      <c r="L258" t="str">
        <f t="shared" ref="L258:L321" si="8">_xlfn.TEXTJOIN("",TRUE,A258:C258)</f>
        <v>"Suffolk City School Board"</v>
      </c>
      <c r="M258" t="s">
        <v>302</v>
      </c>
      <c r="N258" t="s">
        <v>303</v>
      </c>
      <c r="O258" s="4" t="s">
        <v>300</v>
      </c>
      <c r="P258" t="str">
        <f t="shared" ref="P258:P321" si="9">_xlfn.TEXTJOIN("",TRUE,E258:G258)</f>
        <v>"40220"</v>
      </c>
    </row>
    <row r="259" spans="1:16" x14ac:dyDescent="0.2">
      <c r="A259" t="s">
        <v>301</v>
      </c>
      <c r="B259" s="5" t="s">
        <v>211</v>
      </c>
      <c r="C259" t="s">
        <v>301</v>
      </c>
      <c r="E259" s="4" t="s">
        <v>301</v>
      </c>
      <c r="F259" t="s">
        <v>244</v>
      </c>
      <c r="G259" t="s">
        <v>301</v>
      </c>
      <c r="I259" t="s">
        <v>298</v>
      </c>
      <c r="J259" t="s">
        <v>299</v>
      </c>
      <c r="K259" s="4" t="s">
        <v>304</v>
      </c>
      <c r="L259" t="str">
        <f t="shared" si="8"/>
        <v>"Winchester Public Schools"</v>
      </c>
      <c r="M259" t="s">
        <v>302</v>
      </c>
      <c r="N259" t="s">
        <v>303</v>
      </c>
      <c r="O259" s="4" t="s">
        <v>300</v>
      </c>
      <c r="P259" t="str">
        <f t="shared" si="9"/>
        <v>"40222"</v>
      </c>
    </row>
    <row r="260" spans="1:16" x14ac:dyDescent="0.2">
      <c r="A260" t="s">
        <v>301</v>
      </c>
      <c r="B260" s="5" t="s">
        <v>212</v>
      </c>
      <c r="C260" t="s">
        <v>301</v>
      </c>
      <c r="E260" s="4" t="s">
        <v>301</v>
      </c>
      <c r="F260" t="s">
        <v>245</v>
      </c>
      <c r="G260" t="s">
        <v>301</v>
      </c>
      <c r="I260" t="s">
        <v>298</v>
      </c>
      <c r="J260" t="s">
        <v>299</v>
      </c>
      <c r="K260" s="4" t="s">
        <v>304</v>
      </c>
      <c r="L260" t="str">
        <f t="shared" si="8"/>
        <v>"Martinsville City Schools"</v>
      </c>
      <c r="M260" t="s">
        <v>302</v>
      </c>
      <c r="N260" t="s">
        <v>303</v>
      </c>
      <c r="O260" s="4" t="s">
        <v>300</v>
      </c>
      <c r="P260" t="str">
        <f t="shared" si="9"/>
        <v>"40223"</v>
      </c>
    </row>
    <row r="261" spans="1:16" x14ac:dyDescent="0.2">
      <c r="A261" t="s">
        <v>301</v>
      </c>
      <c r="B261" s="5" t="s">
        <v>213</v>
      </c>
      <c r="C261" t="s">
        <v>301</v>
      </c>
      <c r="E261" s="4" t="s">
        <v>301</v>
      </c>
      <c r="F261" t="s">
        <v>246</v>
      </c>
      <c r="G261" t="s">
        <v>301</v>
      </c>
      <c r="I261" t="s">
        <v>298</v>
      </c>
      <c r="J261" t="s">
        <v>299</v>
      </c>
      <c r="K261" s="4" t="s">
        <v>304</v>
      </c>
      <c r="L261" t="str">
        <f t="shared" si="8"/>
        <v>"Falls Church Public Schools"</v>
      </c>
      <c r="M261" t="s">
        <v>302</v>
      </c>
      <c r="N261" t="s">
        <v>303</v>
      </c>
      <c r="O261" s="4" t="s">
        <v>300</v>
      </c>
      <c r="P261" t="str">
        <f t="shared" si="9"/>
        <v>"40224"</v>
      </c>
    </row>
    <row r="262" spans="1:16" x14ac:dyDescent="0.2">
      <c r="A262" t="s">
        <v>301</v>
      </c>
      <c r="B262" s="5" t="s">
        <v>214</v>
      </c>
      <c r="C262" t="s">
        <v>301</v>
      </c>
      <c r="E262" s="4" t="s">
        <v>301</v>
      </c>
      <c r="F262" t="s">
        <v>247</v>
      </c>
      <c r="G262" t="s">
        <v>301</v>
      </c>
      <c r="I262" t="s">
        <v>298</v>
      </c>
      <c r="J262" t="s">
        <v>299</v>
      </c>
      <c r="K262" s="4" t="s">
        <v>304</v>
      </c>
      <c r="L262" t="str">
        <f t="shared" si="8"/>
        <v>"Colonial Heights City Schools"</v>
      </c>
      <c r="M262" t="s">
        <v>302</v>
      </c>
      <c r="N262" t="s">
        <v>303</v>
      </c>
      <c r="O262" s="4" t="s">
        <v>300</v>
      </c>
      <c r="P262" t="str">
        <f t="shared" si="9"/>
        <v>"40225"</v>
      </c>
    </row>
    <row r="263" spans="1:16" x14ac:dyDescent="0.2">
      <c r="A263" t="s">
        <v>301</v>
      </c>
      <c r="B263" s="5" t="s">
        <v>215</v>
      </c>
      <c r="C263" t="s">
        <v>301</v>
      </c>
      <c r="E263" s="4" t="s">
        <v>301</v>
      </c>
      <c r="F263" t="s">
        <v>248</v>
      </c>
      <c r="G263" t="s">
        <v>301</v>
      </c>
      <c r="I263" t="s">
        <v>298</v>
      </c>
      <c r="J263" t="s">
        <v>299</v>
      </c>
      <c r="K263" s="4" t="s">
        <v>304</v>
      </c>
      <c r="L263" t="str">
        <f t="shared" si="8"/>
        <v>"Covington City School Board"</v>
      </c>
      <c r="M263" t="s">
        <v>302</v>
      </c>
      <c r="N263" t="s">
        <v>303</v>
      </c>
      <c r="O263" s="4" t="s">
        <v>300</v>
      </c>
      <c r="P263" t="str">
        <f t="shared" si="9"/>
        <v>"40230"</v>
      </c>
    </row>
    <row r="264" spans="1:16" x14ac:dyDescent="0.2">
      <c r="A264" t="s">
        <v>301</v>
      </c>
      <c r="B264" s="5" t="s">
        <v>216</v>
      </c>
      <c r="C264" t="s">
        <v>301</v>
      </c>
      <c r="E264" s="4" t="s">
        <v>301</v>
      </c>
      <c r="F264" t="s">
        <v>249</v>
      </c>
      <c r="G264" t="s">
        <v>301</v>
      </c>
      <c r="I264" t="s">
        <v>298</v>
      </c>
      <c r="J264" t="s">
        <v>299</v>
      </c>
      <c r="K264" s="4" t="s">
        <v>304</v>
      </c>
      <c r="L264" t="str">
        <f t="shared" si="8"/>
        <v>"Fairfax City School Board"</v>
      </c>
      <c r="M264" t="s">
        <v>302</v>
      </c>
      <c r="N264" t="s">
        <v>303</v>
      </c>
      <c r="O264" s="4" t="s">
        <v>300</v>
      </c>
      <c r="P264" t="str">
        <f t="shared" si="9"/>
        <v>"40231"</v>
      </c>
    </row>
    <row r="265" spans="1:16" x14ac:dyDescent="0.2">
      <c r="A265" t="s">
        <v>301</v>
      </c>
      <c r="B265" s="5" t="s">
        <v>217</v>
      </c>
      <c r="C265" t="s">
        <v>301</v>
      </c>
      <c r="E265" s="4" t="s">
        <v>301</v>
      </c>
      <c r="F265" t="s">
        <v>250</v>
      </c>
      <c r="G265" t="s">
        <v>301</v>
      </c>
      <c r="I265" t="s">
        <v>298</v>
      </c>
      <c r="J265" t="s">
        <v>299</v>
      </c>
      <c r="K265" s="4" t="s">
        <v>304</v>
      </c>
      <c r="L265" t="str">
        <f t="shared" si="8"/>
        <v>"Franklin City Public Schools"</v>
      </c>
      <c r="M265" t="s">
        <v>302</v>
      </c>
      <c r="N265" t="s">
        <v>303</v>
      </c>
      <c r="O265" s="4" t="s">
        <v>300</v>
      </c>
      <c r="P265" t="str">
        <f t="shared" si="9"/>
        <v>"40232"</v>
      </c>
    </row>
    <row r="266" spans="1:16" x14ac:dyDescent="0.2">
      <c r="A266" t="s">
        <v>301</v>
      </c>
      <c r="B266" s="5" t="s">
        <v>218</v>
      </c>
      <c r="C266" t="s">
        <v>301</v>
      </c>
      <c r="E266" s="4" t="s">
        <v>301</v>
      </c>
      <c r="F266" t="s">
        <v>251</v>
      </c>
      <c r="G266" t="s">
        <v>301</v>
      </c>
      <c r="I266" t="s">
        <v>298</v>
      </c>
      <c r="J266" t="s">
        <v>299</v>
      </c>
      <c r="K266" s="4" t="s">
        <v>304</v>
      </c>
      <c r="L266" t="str">
        <f t="shared" si="8"/>
        <v>"Chesapeake Public Schools"</v>
      </c>
      <c r="M266" t="s">
        <v>302</v>
      </c>
      <c r="N266" t="s">
        <v>303</v>
      </c>
      <c r="O266" s="4" t="s">
        <v>300</v>
      </c>
      <c r="P266" t="str">
        <f t="shared" si="9"/>
        <v>"40233"</v>
      </c>
    </row>
    <row r="267" spans="1:16" x14ac:dyDescent="0.2">
      <c r="A267" t="s">
        <v>301</v>
      </c>
      <c r="B267" s="5" t="s">
        <v>219</v>
      </c>
      <c r="C267" t="s">
        <v>301</v>
      </c>
      <c r="E267" s="4" t="s">
        <v>301</v>
      </c>
      <c r="F267" t="s">
        <v>252</v>
      </c>
      <c r="G267" t="s">
        <v>301</v>
      </c>
      <c r="I267" t="s">
        <v>298</v>
      </c>
      <c r="J267" t="s">
        <v>299</v>
      </c>
      <c r="K267" s="4" t="s">
        <v>304</v>
      </c>
      <c r="L267" t="str">
        <f t="shared" si="8"/>
        <v>"Virginia Beach City School Board"</v>
      </c>
      <c r="M267" t="s">
        <v>302</v>
      </c>
      <c r="N267" t="s">
        <v>303</v>
      </c>
      <c r="O267" s="4" t="s">
        <v>300</v>
      </c>
      <c r="P267" t="str">
        <f t="shared" si="9"/>
        <v>"40234"</v>
      </c>
    </row>
    <row r="268" spans="1:16" x14ac:dyDescent="0.2">
      <c r="A268" t="s">
        <v>301</v>
      </c>
      <c r="B268" s="5" t="s">
        <v>220</v>
      </c>
      <c r="C268" t="s">
        <v>301</v>
      </c>
      <c r="E268" s="4" t="s">
        <v>301</v>
      </c>
      <c r="F268" t="s">
        <v>253</v>
      </c>
      <c r="G268" t="s">
        <v>301</v>
      </c>
      <c r="I268" t="s">
        <v>298</v>
      </c>
      <c r="J268" t="s">
        <v>299</v>
      </c>
      <c r="K268" s="4" t="s">
        <v>304</v>
      </c>
      <c r="L268" t="str">
        <f t="shared" si="8"/>
        <v>"Manassas Park City Schools"</v>
      </c>
      <c r="M268" t="s">
        <v>302</v>
      </c>
      <c r="N268" t="s">
        <v>303</v>
      </c>
      <c r="O268" s="4" t="s">
        <v>300</v>
      </c>
      <c r="P268" t="str">
        <f t="shared" si="9"/>
        <v>"40236"</v>
      </c>
    </row>
    <row r="269" spans="1:16" x14ac:dyDescent="0.2">
      <c r="A269" t="s">
        <v>301</v>
      </c>
      <c r="B269" s="5" t="s">
        <v>221</v>
      </c>
      <c r="C269" t="s">
        <v>301</v>
      </c>
      <c r="E269" s="4" t="s">
        <v>301</v>
      </c>
      <c r="F269" t="s">
        <v>254</v>
      </c>
      <c r="G269" t="s">
        <v>301</v>
      </c>
      <c r="I269" t="s">
        <v>298</v>
      </c>
      <c r="J269" t="s">
        <v>299</v>
      </c>
      <c r="K269" s="4" t="s">
        <v>304</v>
      </c>
      <c r="L269" t="str">
        <f t="shared" si="8"/>
        <v>"Town of West Point School Board"</v>
      </c>
      <c r="M269" t="s">
        <v>302</v>
      </c>
      <c r="N269" t="s">
        <v>303</v>
      </c>
      <c r="O269" s="4" t="s">
        <v>300</v>
      </c>
      <c r="P269" t="str">
        <f t="shared" si="9"/>
        <v>"40306"</v>
      </c>
    </row>
    <row r="270" spans="1:16" x14ac:dyDescent="0.2">
      <c r="A270" t="s">
        <v>301</v>
      </c>
      <c r="B270" s="5" t="s">
        <v>222</v>
      </c>
      <c r="C270" t="s">
        <v>301</v>
      </c>
      <c r="E270" s="4" t="s">
        <v>301</v>
      </c>
      <c r="F270" t="s">
        <v>255</v>
      </c>
      <c r="G270" t="s">
        <v>301</v>
      </c>
      <c r="I270" t="s">
        <v>298</v>
      </c>
      <c r="J270" t="s">
        <v>299</v>
      </c>
      <c r="K270" s="4" t="s">
        <v>304</v>
      </c>
      <c r="L270" t="str">
        <f t="shared" si="8"/>
        <v>"Lexington City School Board"</v>
      </c>
      <c r="M270" t="s">
        <v>302</v>
      </c>
      <c r="N270" t="s">
        <v>303</v>
      </c>
      <c r="O270" s="4" t="s">
        <v>300</v>
      </c>
      <c r="P270" t="str">
        <f t="shared" si="9"/>
        <v>"40307"</v>
      </c>
    </row>
    <row r="271" spans="1:16" x14ac:dyDescent="0.2">
      <c r="A271" t="s">
        <v>301</v>
      </c>
      <c r="B271" s="5" t="s">
        <v>223</v>
      </c>
      <c r="C271" t="s">
        <v>301</v>
      </c>
      <c r="E271" s="4" t="s">
        <v>301</v>
      </c>
      <c r="F271" t="s">
        <v>256</v>
      </c>
      <c r="G271" t="s">
        <v>301</v>
      </c>
      <c r="I271" t="s">
        <v>298</v>
      </c>
      <c r="J271" t="s">
        <v>299</v>
      </c>
      <c r="K271" s="4" t="s">
        <v>304</v>
      </c>
      <c r="L271" t="str">
        <f t="shared" si="8"/>
        <v>"Waynesboro Public Schools"</v>
      </c>
      <c r="M271" t="s">
        <v>302</v>
      </c>
      <c r="N271" t="s">
        <v>303</v>
      </c>
      <c r="O271" s="4" t="s">
        <v>300</v>
      </c>
      <c r="P271" t="str">
        <f t="shared" si="9"/>
        <v>"40308"</v>
      </c>
    </row>
    <row r="272" spans="1:16" x14ac:dyDescent="0.2">
      <c r="A272" t="s">
        <v>301</v>
      </c>
      <c r="B272" s="5" t="s">
        <v>224</v>
      </c>
      <c r="C272" t="s">
        <v>301</v>
      </c>
      <c r="E272" s="4" t="s">
        <v>301</v>
      </c>
      <c r="F272" t="s">
        <v>257</v>
      </c>
      <c r="G272" t="s">
        <v>301</v>
      </c>
      <c r="I272" t="s">
        <v>298</v>
      </c>
      <c r="J272" t="s">
        <v>299</v>
      </c>
      <c r="K272" s="4" t="s">
        <v>304</v>
      </c>
      <c r="L272" t="str">
        <f t="shared" si="8"/>
        <v>"Town of Colonial Beach Schools"</v>
      </c>
      <c r="M272" t="s">
        <v>302</v>
      </c>
      <c r="N272" t="s">
        <v>303</v>
      </c>
      <c r="O272" s="4" t="s">
        <v>300</v>
      </c>
      <c r="P272" t="str">
        <f t="shared" si="9"/>
        <v>"40309"</v>
      </c>
    </row>
    <row r="273" spans="1:16" x14ac:dyDescent="0.2">
      <c r="A273" t="s">
        <v>301</v>
      </c>
      <c r="B273" s="5" t="s">
        <v>225</v>
      </c>
      <c r="C273" t="s">
        <v>301</v>
      </c>
      <c r="E273" s="4" t="s">
        <v>301</v>
      </c>
      <c r="F273" t="s">
        <v>258</v>
      </c>
      <c r="G273" t="s">
        <v>301</v>
      </c>
      <c r="I273" t="s">
        <v>298</v>
      </c>
      <c r="J273" t="s">
        <v>299</v>
      </c>
      <c r="K273" s="4" t="s">
        <v>304</v>
      </c>
      <c r="L273" t="str">
        <f t="shared" si="8"/>
        <v>"Galax City Schools"</v>
      </c>
      <c r="M273" t="s">
        <v>302</v>
      </c>
      <c r="N273" t="s">
        <v>303</v>
      </c>
      <c r="O273" s="4" t="s">
        <v>300</v>
      </c>
      <c r="P273" t="str">
        <f t="shared" si="9"/>
        <v>"40313"</v>
      </c>
    </row>
    <row r="274" spans="1:16" x14ac:dyDescent="0.2">
      <c r="A274" t="s">
        <v>301</v>
      </c>
      <c r="B274" s="5" t="s">
        <v>226</v>
      </c>
      <c r="C274" t="s">
        <v>301</v>
      </c>
      <c r="E274" s="4" t="s">
        <v>301</v>
      </c>
      <c r="F274" t="s">
        <v>259</v>
      </c>
      <c r="G274" t="s">
        <v>301</v>
      </c>
      <c r="I274" t="s">
        <v>298</v>
      </c>
      <c r="J274" t="s">
        <v>299</v>
      </c>
      <c r="K274" s="4" t="s">
        <v>304</v>
      </c>
      <c r="L274" t="str">
        <f t="shared" si="8"/>
        <v>"Norton City Schools"</v>
      </c>
      <c r="M274" t="s">
        <v>302</v>
      </c>
      <c r="N274" t="s">
        <v>303</v>
      </c>
      <c r="O274" s="4" t="s">
        <v>300</v>
      </c>
      <c r="P274" t="str">
        <f t="shared" si="9"/>
        <v>"40314"</v>
      </c>
    </row>
    <row r="275" spans="1:16" x14ac:dyDescent="0.2">
      <c r="A275" t="s">
        <v>301</v>
      </c>
      <c r="B275" s="5" t="s">
        <v>227</v>
      </c>
      <c r="C275" t="s">
        <v>301</v>
      </c>
      <c r="E275" s="4" t="s">
        <v>301</v>
      </c>
      <c r="F275" t="s">
        <v>260</v>
      </c>
      <c r="G275" t="s">
        <v>301</v>
      </c>
      <c r="I275" t="s">
        <v>298</v>
      </c>
      <c r="J275" t="s">
        <v>299</v>
      </c>
      <c r="K275" s="4" t="s">
        <v>304</v>
      </c>
      <c r="L275" t="str">
        <f t="shared" si="8"/>
        <v>"Manassas City Schools"</v>
      </c>
      <c r="M275" t="s">
        <v>302</v>
      </c>
      <c r="N275" t="s">
        <v>303</v>
      </c>
      <c r="O275" s="4" t="s">
        <v>300</v>
      </c>
      <c r="P275" t="str">
        <f t="shared" si="9"/>
        <v>"40332"</v>
      </c>
    </row>
    <row r="276" spans="1:16" x14ac:dyDescent="0.2">
      <c r="A276" t="s">
        <v>301</v>
      </c>
      <c r="B276" s="5" t="s">
        <v>228</v>
      </c>
      <c r="C276" t="s">
        <v>301</v>
      </c>
      <c r="E276" s="4" t="s">
        <v>301</v>
      </c>
      <c r="F276" t="s">
        <v>261</v>
      </c>
      <c r="G276" t="s">
        <v>301</v>
      </c>
      <c r="I276" t="s">
        <v>298</v>
      </c>
      <c r="J276" t="s">
        <v>299</v>
      </c>
      <c r="K276" s="4" t="s">
        <v>304</v>
      </c>
      <c r="L276" t="str">
        <f t="shared" si="8"/>
        <v>"City of Salem Schools"</v>
      </c>
      <c r="M276" t="s">
        <v>302</v>
      </c>
      <c r="N276" t="s">
        <v>303</v>
      </c>
      <c r="O276" s="4" t="s">
        <v>300</v>
      </c>
      <c r="P276" t="str">
        <f t="shared" si="9"/>
        <v>"40335"</v>
      </c>
    </row>
    <row r="277" spans="1:16" x14ac:dyDescent="0.2">
      <c r="A277" t="s">
        <v>301</v>
      </c>
      <c r="B277" s="5" t="s">
        <v>294</v>
      </c>
      <c r="C277" t="s">
        <v>301</v>
      </c>
      <c r="E277" s="4" t="s">
        <v>301</v>
      </c>
      <c r="F277" t="s">
        <v>276</v>
      </c>
      <c r="G277" t="s">
        <v>301</v>
      </c>
      <c r="I277" t="s">
        <v>298</v>
      </c>
      <c r="J277" t="s">
        <v>299</v>
      </c>
      <c r="K277" s="4" t="s">
        <v>304</v>
      </c>
      <c r="L277" t="str">
        <f t="shared" si="8"/>
        <v>"Williamsburg-James City County School Board"</v>
      </c>
      <c r="M277" t="s">
        <v>302</v>
      </c>
      <c r="N277" t="s">
        <v>303</v>
      </c>
      <c r="O277" s="4" t="s">
        <v>300</v>
      </c>
      <c r="P277" t="str">
        <f t="shared" si="9"/>
        <v>"40402"</v>
      </c>
    </row>
    <row r="278" spans="1:16" x14ac:dyDescent="0.2">
      <c r="A278" t="s">
        <v>301</v>
      </c>
      <c r="B278" s="5" t="s">
        <v>263</v>
      </c>
      <c r="C278" t="s">
        <v>301</v>
      </c>
      <c r="E278" s="4" t="s">
        <v>301</v>
      </c>
      <c r="F278" t="s">
        <v>277</v>
      </c>
      <c r="G278" t="s">
        <v>301</v>
      </c>
      <c r="I278" t="s">
        <v>298</v>
      </c>
      <c r="J278" t="s">
        <v>299</v>
      </c>
      <c r="K278" s="4" t="s">
        <v>304</v>
      </c>
      <c r="L278" t="str">
        <f t="shared" si="8"/>
        <v>"Poquoson City Public Schools"</v>
      </c>
      <c r="M278" t="s">
        <v>302</v>
      </c>
      <c r="N278" t="s">
        <v>303</v>
      </c>
      <c r="O278" s="4" t="s">
        <v>300</v>
      </c>
      <c r="P278" t="str">
        <f t="shared" si="9"/>
        <v>"40403"</v>
      </c>
    </row>
    <row r="279" spans="1:16" x14ac:dyDescent="0.2">
      <c r="A279" t="s">
        <v>301</v>
      </c>
      <c r="B279" s="5" t="s">
        <v>264</v>
      </c>
      <c r="C279" t="s">
        <v>301</v>
      </c>
      <c r="E279" s="4" t="s">
        <v>301</v>
      </c>
      <c r="F279" t="s">
        <v>278</v>
      </c>
      <c r="G279" t="s">
        <v>301</v>
      </c>
      <c r="I279" t="s">
        <v>298</v>
      </c>
      <c r="J279" t="s">
        <v>299</v>
      </c>
      <c r="K279" s="4" t="s">
        <v>304</v>
      </c>
      <c r="L279" t="str">
        <f t="shared" si="8"/>
        <v>"Valley Vocational Technical Center"</v>
      </c>
      <c r="M279" t="s">
        <v>302</v>
      </c>
      <c r="N279" t="s">
        <v>303</v>
      </c>
      <c r="O279" s="4" t="s">
        <v>300</v>
      </c>
      <c r="P279" t="str">
        <f t="shared" si="9"/>
        <v>"40410"</v>
      </c>
    </row>
    <row r="280" spans="1:16" x14ac:dyDescent="0.2">
      <c r="A280" t="s">
        <v>301</v>
      </c>
      <c r="B280" s="5" t="s">
        <v>295</v>
      </c>
      <c r="C280" t="s">
        <v>301</v>
      </c>
      <c r="E280" s="4" t="s">
        <v>301</v>
      </c>
      <c r="F280" t="s">
        <v>279</v>
      </c>
      <c r="G280" t="s">
        <v>301</v>
      </c>
      <c r="I280" t="s">
        <v>298</v>
      </c>
      <c r="J280" t="s">
        <v>299</v>
      </c>
      <c r="K280" s="4" t="s">
        <v>304</v>
      </c>
      <c r="L280" t="str">
        <f t="shared" si="8"/>
        <v>"Charlottesville/Albemarle Vo-Tech Center"</v>
      </c>
      <c r="M280" t="s">
        <v>302</v>
      </c>
      <c r="N280" t="s">
        <v>303</v>
      </c>
      <c r="O280" s="4" t="s">
        <v>300</v>
      </c>
      <c r="P280" t="str">
        <f t="shared" si="9"/>
        <v>"40412"</v>
      </c>
    </row>
    <row r="281" spans="1:16" x14ac:dyDescent="0.2">
      <c r="A281" t="s">
        <v>301</v>
      </c>
      <c r="B281" s="5" t="s">
        <v>266</v>
      </c>
      <c r="C281" t="s">
        <v>301</v>
      </c>
      <c r="E281" s="4" t="s">
        <v>301</v>
      </c>
      <c r="F281" t="s">
        <v>280</v>
      </c>
      <c r="G281" t="s">
        <v>301</v>
      </c>
      <c r="I281" t="s">
        <v>298</v>
      </c>
      <c r="J281" t="s">
        <v>299</v>
      </c>
      <c r="K281" s="4" t="s">
        <v>304</v>
      </c>
      <c r="L281" t="str">
        <f t="shared" si="8"/>
        <v>"The Pruden Center for Industry and Technology"</v>
      </c>
      <c r="M281" t="s">
        <v>302</v>
      </c>
      <c r="N281" t="s">
        <v>303</v>
      </c>
      <c r="O281" s="4" t="s">
        <v>300</v>
      </c>
      <c r="P281" t="str">
        <f t="shared" si="9"/>
        <v>"40413"</v>
      </c>
    </row>
    <row r="282" spans="1:16" x14ac:dyDescent="0.2">
      <c r="A282" t="s">
        <v>301</v>
      </c>
      <c r="B282" s="5" t="s">
        <v>267</v>
      </c>
      <c r="C282" t="s">
        <v>301</v>
      </c>
      <c r="E282" s="4" t="s">
        <v>301</v>
      </c>
      <c r="F282" t="s">
        <v>281</v>
      </c>
      <c r="G282" t="s">
        <v>301</v>
      </c>
      <c r="I282" t="s">
        <v>298</v>
      </c>
      <c r="J282" t="s">
        <v>299</v>
      </c>
      <c r="K282" s="4" t="s">
        <v>304</v>
      </c>
      <c r="L282" t="str">
        <f t="shared" si="8"/>
        <v>"Jackson River Technical Center"</v>
      </c>
      <c r="M282" t="s">
        <v>302</v>
      </c>
      <c r="N282" t="s">
        <v>303</v>
      </c>
      <c r="O282" s="4" t="s">
        <v>300</v>
      </c>
      <c r="P282" t="str">
        <f t="shared" si="9"/>
        <v>"40414"</v>
      </c>
    </row>
    <row r="283" spans="1:16" x14ac:dyDescent="0.2">
      <c r="A283" t="s">
        <v>301</v>
      </c>
      <c r="B283" s="5" t="s">
        <v>268</v>
      </c>
      <c r="C283" t="s">
        <v>301</v>
      </c>
      <c r="E283" s="4" t="s">
        <v>301</v>
      </c>
      <c r="F283" t="s">
        <v>282</v>
      </c>
      <c r="G283" t="s">
        <v>301</v>
      </c>
      <c r="I283" t="s">
        <v>298</v>
      </c>
      <c r="J283" t="s">
        <v>299</v>
      </c>
      <c r="K283" s="4" t="s">
        <v>304</v>
      </c>
      <c r="L283" t="str">
        <f t="shared" si="8"/>
        <v>"New Horizons Technical Center"</v>
      </c>
      <c r="M283" t="s">
        <v>302</v>
      </c>
      <c r="N283" t="s">
        <v>303</v>
      </c>
      <c r="O283" s="4" t="s">
        <v>300</v>
      </c>
      <c r="P283" t="str">
        <f t="shared" si="9"/>
        <v>"40415"</v>
      </c>
    </row>
    <row r="284" spans="1:16" x14ac:dyDescent="0.2">
      <c r="A284" t="s">
        <v>301</v>
      </c>
      <c r="B284" s="5" t="s">
        <v>269</v>
      </c>
      <c r="C284" t="s">
        <v>301</v>
      </c>
      <c r="E284" s="4" t="s">
        <v>301</v>
      </c>
      <c r="F284" t="s">
        <v>283</v>
      </c>
      <c r="G284" t="s">
        <v>301</v>
      </c>
      <c r="I284" t="s">
        <v>298</v>
      </c>
      <c r="J284" t="s">
        <v>299</v>
      </c>
      <c r="K284" s="4" t="s">
        <v>304</v>
      </c>
      <c r="L284" t="str">
        <f t="shared" si="8"/>
        <v>"Northern Neck Regional Vocational Center"</v>
      </c>
      <c r="M284" t="s">
        <v>302</v>
      </c>
      <c r="N284" t="s">
        <v>303</v>
      </c>
      <c r="O284" s="4" t="s">
        <v>300</v>
      </c>
      <c r="P284" t="str">
        <f t="shared" si="9"/>
        <v>"40416"</v>
      </c>
    </row>
    <row r="285" spans="1:16" x14ac:dyDescent="0.2">
      <c r="A285" t="s">
        <v>301</v>
      </c>
      <c r="B285" s="5" t="s">
        <v>270</v>
      </c>
      <c r="C285" t="s">
        <v>301</v>
      </c>
      <c r="E285" s="4" t="s">
        <v>301</v>
      </c>
      <c r="F285" t="s">
        <v>284</v>
      </c>
      <c r="G285" t="s">
        <v>301</v>
      </c>
      <c r="I285" t="s">
        <v>298</v>
      </c>
      <c r="J285" t="s">
        <v>299</v>
      </c>
      <c r="K285" s="4" t="s">
        <v>304</v>
      </c>
      <c r="L285" t="str">
        <f t="shared" si="8"/>
        <v>"Rowanty Vocational Technical Center"</v>
      </c>
      <c r="M285" t="s">
        <v>302</v>
      </c>
      <c r="N285" t="s">
        <v>303</v>
      </c>
      <c r="O285" s="4" t="s">
        <v>300</v>
      </c>
      <c r="P285" t="str">
        <f t="shared" si="9"/>
        <v>"40417"</v>
      </c>
    </row>
    <row r="286" spans="1:16" x14ac:dyDescent="0.2">
      <c r="A286" t="s">
        <v>301</v>
      </c>
      <c r="B286" s="5" t="s">
        <v>296</v>
      </c>
      <c r="C286" t="s">
        <v>301</v>
      </c>
      <c r="E286" s="4" t="s">
        <v>301</v>
      </c>
      <c r="F286" t="s">
        <v>285</v>
      </c>
      <c r="G286" t="s">
        <v>301</v>
      </c>
      <c r="I286" t="s">
        <v>298</v>
      </c>
      <c r="J286" t="s">
        <v>299</v>
      </c>
      <c r="K286" s="4" t="s">
        <v>304</v>
      </c>
      <c r="L286" t="str">
        <f t="shared" si="8"/>
        <v>"Amelia-Nottoway Vocational Center"</v>
      </c>
      <c r="M286" t="s">
        <v>302</v>
      </c>
      <c r="N286" t="s">
        <v>303</v>
      </c>
      <c r="O286" s="4" t="s">
        <v>300</v>
      </c>
      <c r="P286" t="str">
        <f t="shared" si="9"/>
        <v>"40418"</v>
      </c>
    </row>
    <row r="287" spans="1:16" x14ac:dyDescent="0.2">
      <c r="A287" t="s">
        <v>301</v>
      </c>
      <c r="B287" s="5" t="s">
        <v>272</v>
      </c>
      <c r="C287" t="s">
        <v>301</v>
      </c>
      <c r="E287" s="4" t="s">
        <v>301</v>
      </c>
      <c r="F287" t="s">
        <v>286</v>
      </c>
      <c r="G287" t="s">
        <v>301</v>
      </c>
      <c r="I287" t="s">
        <v>298</v>
      </c>
      <c r="J287" t="s">
        <v>299</v>
      </c>
      <c r="K287" s="4" t="s">
        <v>304</v>
      </c>
      <c r="L287" t="str">
        <f t="shared" si="8"/>
        <v>"Northern Neck Regional Special Education Program"</v>
      </c>
      <c r="M287" t="s">
        <v>302</v>
      </c>
      <c r="N287" t="s">
        <v>303</v>
      </c>
      <c r="O287" s="4" t="s">
        <v>300</v>
      </c>
      <c r="P287" t="str">
        <f t="shared" si="9"/>
        <v>"40421"</v>
      </c>
    </row>
    <row r="288" spans="1:16" x14ac:dyDescent="0.2">
      <c r="A288" t="s">
        <v>301</v>
      </c>
      <c r="B288" s="5" t="s">
        <v>273</v>
      </c>
      <c r="C288" t="s">
        <v>301</v>
      </c>
      <c r="E288" s="4" t="s">
        <v>301</v>
      </c>
      <c r="F288" t="s">
        <v>287</v>
      </c>
      <c r="G288" t="s">
        <v>301</v>
      </c>
      <c r="I288" t="s">
        <v>298</v>
      </c>
      <c r="J288" t="s">
        <v>299</v>
      </c>
      <c r="K288" s="4" t="s">
        <v>304</v>
      </c>
      <c r="L288" t="str">
        <f t="shared" si="8"/>
        <v>"Maggie Walker Governor's School for Govt &amp; Intl Studies"</v>
      </c>
      <c r="M288" t="s">
        <v>302</v>
      </c>
      <c r="N288" t="s">
        <v>303</v>
      </c>
      <c r="O288" s="4" t="s">
        <v>300</v>
      </c>
      <c r="P288" t="str">
        <f t="shared" si="9"/>
        <v>"40423"</v>
      </c>
    </row>
    <row r="289" spans="1:16" x14ac:dyDescent="0.2">
      <c r="A289" t="s">
        <v>301</v>
      </c>
      <c r="B289" s="5" t="s">
        <v>274</v>
      </c>
      <c r="C289" t="s">
        <v>301</v>
      </c>
      <c r="E289" s="4" t="s">
        <v>301</v>
      </c>
      <c r="F289" t="s">
        <v>288</v>
      </c>
      <c r="G289" t="s">
        <v>301</v>
      </c>
      <c r="I289" t="s">
        <v>298</v>
      </c>
      <c r="J289" t="s">
        <v>299</v>
      </c>
      <c r="K289" s="4" t="s">
        <v>304</v>
      </c>
      <c r="L289" t="str">
        <f t="shared" si="8"/>
        <v>"Appomattox Region Governor's School"</v>
      </c>
      <c r="M289" t="s">
        <v>302</v>
      </c>
      <c r="N289" t="s">
        <v>303</v>
      </c>
      <c r="O289" s="4" t="s">
        <v>300</v>
      </c>
      <c r="P289" t="str">
        <f t="shared" si="9"/>
        <v>"40424"</v>
      </c>
    </row>
    <row r="290" spans="1:16" x14ac:dyDescent="0.2">
      <c r="A290" t="s">
        <v>301</v>
      </c>
      <c r="B290" s="5" t="s">
        <v>275</v>
      </c>
      <c r="C290" t="s">
        <v>301</v>
      </c>
      <c r="E290" s="4" t="s">
        <v>301</v>
      </c>
      <c r="F290" t="s">
        <v>289</v>
      </c>
      <c r="G290" t="s">
        <v>301</v>
      </c>
      <c r="I290" t="s">
        <v>298</v>
      </c>
      <c r="J290" t="s">
        <v>299</v>
      </c>
      <c r="K290" s="4" t="s">
        <v>304</v>
      </c>
      <c r="L290" t="str">
        <f t="shared" si="8"/>
        <v>"Bridging Communities Regional Career and Tech Center"</v>
      </c>
      <c r="M290" t="s">
        <v>302</v>
      </c>
      <c r="N290" t="s">
        <v>303</v>
      </c>
      <c r="O290" s="4" t="s">
        <v>300</v>
      </c>
      <c r="P290" t="str">
        <f t="shared" si="9"/>
        <v>"40425"</v>
      </c>
    </row>
    <row r="291" spans="1:16" x14ac:dyDescent="0.2">
      <c r="A291" t="s">
        <v>301</v>
      </c>
      <c r="B291" s="5" t="s">
        <v>0</v>
      </c>
      <c r="C291" t="s">
        <v>301</v>
      </c>
      <c r="E291" s="4" t="s">
        <v>301</v>
      </c>
      <c r="F291" t="s">
        <v>32</v>
      </c>
      <c r="G291" t="s">
        <v>301</v>
      </c>
      <c r="I291" t="s">
        <v>298</v>
      </c>
      <c r="J291" t="s">
        <v>299</v>
      </c>
      <c r="K291" s="4" t="s">
        <v>304</v>
      </c>
      <c r="L291" t="str">
        <f t="shared" si="8"/>
        <v>"Accomack County School Board"</v>
      </c>
      <c r="M291" t="s">
        <v>302</v>
      </c>
      <c r="N291" t="s">
        <v>303</v>
      </c>
      <c r="O291" s="4" t="s">
        <v>300</v>
      </c>
      <c r="P291" t="str">
        <f t="shared" si="9"/>
        <v>"40100"</v>
      </c>
    </row>
    <row r="292" spans="1:16" x14ac:dyDescent="0.2">
      <c r="A292" t="s">
        <v>301</v>
      </c>
      <c r="B292" s="5" t="s">
        <v>1</v>
      </c>
      <c r="C292" t="s">
        <v>301</v>
      </c>
      <c r="E292" s="4" t="s">
        <v>301</v>
      </c>
      <c r="F292" t="s">
        <v>33</v>
      </c>
      <c r="G292" t="s">
        <v>301</v>
      </c>
      <c r="I292" t="s">
        <v>298</v>
      </c>
      <c r="J292" t="s">
        <v>299</v>
      </c>
      <c r="K292" s="4" t="s">
        <v>304</v>
      </c>
      <c r="L292" t="str">
        <f t="shared" si="8"/>
        <v>"Albemarle County Schools"</v>
      </c>
      <c r="M292" t="s">
        <v>302</v>
      </c>
      <c r="N292" t="s">
        <v>303</v>
      </c>
      <c r="O292" s="4" t="s">
        <v>300</v>
      </c>
      <c r="P292" t="str">
        <f t="shared" si="9"/>
        <v>"40101"</v>
      </c>
    </row>
    <row r="293" spans="1:16" x14ac:dyDescent="0.2">
      <c r="A293" t="s">
        <v>301</v>
      </c>
      <c r="B293" s="5" t="s">
        <v>2</v>
      </c>
      <c r="C293" t="s">
        <v>301</v>
      </c>
      <c r="E293" s="4" t="s">
        <v>301</v>
      </c>
      <c r="F293" t="s">
        <v>34</v>
      </c>
      <c r="G293" t="s">
        <v>301</v>
      </c>
      <c r="I293" t="s">
        <v>298</v>
      </c>
      <c r="J293" t="s">
        <v>299</v>
      </c>
      <c r="K293" s="4" t="s">
        <v>304</v>
      </c>
      <c r="L293" t="str">
        <f t="shared" si="8"/>
        <v>"Alleghany County School Board"</v>
      </c>
      <c r="M293" t="s">
        <v>302</v>
      </c>
      <c r="N293" t="s">
        <v>303</v>
      </c>
      <c r="O293" s="4" t="s">
        <v>300</v>
      </c>
      <c r="P293" t="str">
        <f t="shared" si="9"/>
        <v>"40102"</v>
      </c>
    </row>
    <row r="294" spans="1:16" x14ac:dyDescent="0.2">
      <c r="A294" t="s">
        <v>301</v>
      </c>
      <c r="B294" s="5" t="s">
        <v>3</v>
      </c>
      <c r="C294" t="s">
        <v>301</v>
      </c>
      <c r="E294" s="4" t="s">
        <v>301</v>
      </c>
      <c r="F294" t="s">
        <v>35</v>
      </c>
      <c r="G294" t="s">
        <v>301</v>
      </c>
      <c r="I294" t="s">
        <v>298</v>
      </c>
      <c r="J294" t="s">
        <v>299</v>
      </c>
      <c r="K294" s="4" t="s">
        <v>304</v>
      </c>
      <c r="L294" t="str">
        <f t="shared" si="8"/>
        <v>"Amelia County School Board"</v>
      </c>
      <c r="M294" t="s">
        <v>302</v>
      </c>
      <c r="N294" t="s">
        <v>303</v>
      </c>
      <c r="O294" s="4" t="s">
        <v>300</v>
      </c>
      <c r="P294" t="str">
        <f t="shared" si="9"/>
        <v>"40103"</v>
      </c>
    </row>
    <row r="295" spans="1:16" x14ac:dyDescent="0.2">
      <c r="A295" t="s">
        <v>301</v>
      </c>
      <c r="B295" s="5" t="s">
        <v>4</v>
      </c>
      <c r="C295" t="s">
        <v>301</v>
      </c>
      <c r="E295" s="4" t="s">
        <v>301</v>
      </c>
      <c r="F295" t="s">
        <v>36</v>
      </c>
      <c r="G295" t="s">
        <v>301</v>
      </c>
      <c r="I295" t="s">
        <v>298</v>
      </c>
      <c r="J295" t="s">
        <v>299</v>
      </c>
      <c r="K295" s="4" t="s">
        <v>304</v>
      </c>
      <c r="L295" t="str">
        <f t="shared" si="8"/>
        <v>"Amherst County School Board"</v>
      </c>
      <c r="M295" t="s">
        <v>302</v>
      </c>
      <c r="N295" t="s">
        <v>303</v>
      </c>
      <c r="O295" s="4" t="s">
        <v>300</v>
      </c>
      <c r="P295" t="str">
        <f t="shared" si="9"/>
        <v>"40104"</v>
      </c>
    </row>
    <row r="296" spans="1:16" x14ac:dyDescent="0.2">
      <c r="A296" t="s">
        <v>301</v>
      </c>
      <c r="B296" s="5" t="s">
        <v>5</v>
      </c>
      <c r="C296" t="s">
        <v>301</v>
      </c>
      <c r="E296" s="4" t="s">
        <v>301</v>
      </c>
      <c r="F296" t="s">
        <v>37</v>
      </c>
      <c r="G296" t="s">
        <v>301</v>
      </c>
      <c r="I296" t="s">
        <v>298</v>
      </c>
      <c r="J296" t="s">
        <v>299</v>
      </c>
      <c r="K296" s="4" t="s">
        <v>304</v>
      </c>
      <c r="L296" t="str">
        <f t="shared" si="8"/>
        <v>"Appomattox County School Board"</v>
      </c>
      <c r="M296" t="s">
        <v>302</v>
      </c>
      <c r="N296" t="s">
        <v>303</v>
      </c>
      <c r="O296" s="4" t="s">
        <v>300</v>
      </c>
      <c r="P296" t="str">
        <f t="shared" si="9"/>
        <v>"40105"</v>
      </c>
    </row>
    <row r="297" spans="1:16" x14ac:dyDescent="0.2">
      <c r="A297" t="s">
        <v>301</v>
      </c>
      <c r="B297" s="5" t="s">
        <v>6</v>
      </c>
      <c r="C297" t="s">
        <v>301</v>
      </c>
      <c r="E297" s="4" t="s">
        <v>301</v>
      </c>
      <c r="F297" t="s">
        <v>38</v>
      </c>
      <c r="G297" t="s">
        <v>301</v>
      </c>
      <c r="I297" t="s">
        <v>298</v>
      </c>
      <c r="J297" t="s">
        <v>299</v>
      </c>
      <c r="K297" s="4" t="s">
        <v>304</v>
      </c>
      <c r="L297" t="str">
        <f t="shared" si="8"/>
        <v>"Arlington Public Schools"</v>
      </c>
      <c r="M297" t="s">
        <v>302</v>
      </c>
      <c r="N297" t="s">
        <v>303</v>
      </c>
      <c r="O297" s="4" t="s">
        <v>300</v>
      </c>
      <c r="P297" t="str">
        <f t="shared" si="9"/>
        <v>"40106"</v>
      </c>
    </row>
    <row r="298" spans="1:16" x14ac:dyDescent="0.2">
      <c r="A298" t="s">
        <v>301</v>
      </c>
      <c r="B298" s="5" t="s">
        <v>7</v>
      </c>
      <c r="C298" t="s">
        <v>301</v>
      </c>
      <c r="E298" s="4" t="s">
        <v>301</v>
      </c>
      <c r="F298" t="s">
        <v>39</v>
      </c>
      <c r="G298" t="s">
        <v>301</v>
      </c>
      <c r="I298" t="s">
        <v>298</v>
      </c>
      <c r="J298" t="s">
        <v>299</v>
      </c>
      <c r="K298" s="4" t="s">
        <v>304</v>
      </c>
      <c r="L298" t="str">
        <f t="shared" si="8"/>
        <v>"Augusta County School Board"</v>
      </c>
      <c r="M298" t="s">
        <v>302</v>
      </c>
      <c r="N298" t="s">
        <v>303</v>
      </c>
      <c r="O298" s="4" t="s">
        <v>300</v>
      </c>
      <c r="P298" t="str">
        <f t="shared" si="9"/>
        <v>"40107"</v>
      </c>
    </row>
    <row r="299" spans="1:16" x14ac:dyDescent="0.2">
      <c r="A299" t="s">
        <v>301</v>
      </c>
      <c r="B299" s="5" t="s">
        <v>8</v>
      </c>
      <c r="C299" t="s">
        <v>301</v>
      </c>
      <c r="E299" s="4" t="s">
        <v>301</v>
      </c>
      <c r="F299" t="s">
        <v>40</v>
      </c>
      <c r="G299" t="s">
        <v>301</v>
      </c>
      <c r="I299" t="s">
        <v>298</v>
      </c>
      <c r="J299" t="s">
        <v>299</v>
      </c>
      <c r="K299" s="4" t="s">
        <v>304</v>
      </c>
      <c r="L299" t="str">
        <f t="shared" si="8"/>
        <v>"Bath County School Board"</v>
      </c>
      <c r="M299" t="s">
        <v>302</v>
      </c>
      <c r="N299" t="s">
        <v>303</v>
      </c>
      <c r="O299" s="4" t="s">
        <v>300</v>
      </c>
      <c r="P299" t="str">
        <f t="shared" si="9"/>
        <v>"40108"</v>
      </c>
    </row>
    <row r="300" spans="1:16" x14ac:dyDescent="0.2">
      <c r="A300" t="s">
        <v>301</v>
      </c>
      <c r="B300" s="5" t="s">
        <v>9</v>
      </c>
      <c r="C300" t="s">
        <v>301</v>
      </c>
      <c r="E300" s="4" t="s">
        <v>301</v>
      </c>
      <c r="F300" t="s">
        <v>41</v>
      </c>
      <c r="G300" t="s">
        <v>301</v>
      </c>
      <c r="I300" t="s">
        <v>298</v>
      </c>
      <c r="J300" t="s">
        <v>299</v>
      </c>
      <c r="K300" s="4" t="s">
        <v>304</v>
      </c>
      <c r="L300" t="str">
        <f t="shared" si="8"/>
        <v>"Bedford County School Board"</v>
      </c>
      <c r="M300" t="s">
        <v>302</v>
      </c>
      <c r="N300" t="s">
        <v>303</v>
      </c>
      <c r="O300" s="4" t="s">
        <v>300</v>
      </c>
      <c r="P300" t="str">
        <f t="shared" si="9"/>
        <v>"40109"</v>
      </c>
    </row>
    <row r="301" spans="1:16" x14ac:dyDescent="0.2">
      <c r="A301" t="s">
        <v>301</v>
      </c>
      <c r="B301" s="5" t="s">
        <v>10</v>
      </c>
      <c r="C301" t="s">
        <v>301</v>
      </c>
      <c r="E301" s="4" t="s">
        <v>301</v>
      </c>
      <c r="F301" t="s">
        <v>42</v>
      </c>
      <c r="G301" t="s">
        <v>301</v>
      </c>
      <c r="I301" t="s">
        <v>298</v>
      </c>
      <c r="J301" t="s">
        <v>299</v>
      </c>
      <c r="K301" s="4" t="s">
        <v>304</v>
      </c>
      <c r="L301" t="str">
        <f t="shared" si="8"/>
        <v>"Bland County School Board"</v>
      </c>
      <c r="M301" t="s">
        <v>302</v>
      </c>
      <c r="N301" t="s">
        <v>303</v>
      </c>
      <c r="O301" s="4" t="s">
        <v>300</v>
      </c>
      <c r="P301" t="str">
        <f t="shared" si="9"/>
        <v>"40110"</v>
      </c>
    </row>
    <row r="302" spans="1:16" x14ac:dyDescent="0.2">
      <c r="A302" t="s">
        <v>301</v>
      </c>
      <c r="B302" s="5" t="s">
        <v>11</v>
      </c>
      <c r="C302" t="s">
        <v>301</v>
      </c>
      <c r="E302" s="4" t="s">
        <v>301</v>
      </c>
      <c r="F302" t="s">
        <v>43</v>
      </c>
      <c r="G302" t="s">
        <v>301</v>
      </c>
      <c r="I302" t="s">
        <v>298</v>
      </c>
      <c r="J302" t="s">
        <v>299</v>
      </c>
      <c r="K302" s="4" t="s">
        <v>304</v>
      </c>
      <c r="L302" t="str">
        <f t="shared" si="8"/>
        <v>"Botetourt County Schools"</v>
      </c>
      <c r="M302" t="s">
        <v>302</v>
      </c>
      <c r="N302" t="s">
        <v>303</v>
      </c>
      <c r="O302" s="4" t="s">
        <v>300</v>
      </c>
      <c r="P302" t="str">
        <f t="shared" si="9"/>
        <v>"40111"</v>
      </c>
    </row>
    <row r="303" spans="1:16" x14ac:dyDescent="0.2">
      <c r="A303" t="s">
        <v>301</v>
      </c>
      <c r="B303" s="5" t="s">
        <v>12</v>
      </c>
      <c r="C303" t="s">
        <v>301</v>
      </c>
      <c r="E303" s="4" t="s">
        <v>301</v>
      </c>
      <c r="F303" t="s">
        <v>44</v>
      </c>
      <c r="G303" t="s">
        <v>301</v>
      </c>
      <c r="I303" t="s">
        <v>298</v>
      </c>
      <c r="J303" t="s">
        <v>299</v>
      </c>
      <c r="K303" s="4" t="s">
        <v>304</v>
      </c>
      <c r="L303" t="str">
        <f t="shared" si="8"/>
        <v>"Brunswick County Public Schools"</v>
      </c>
      <c r="M303" t="s">
        <v>302</v>
      </c>
      <c r="N303" t="s">
        <v>303</v>
      </c>
      <c r="O303" s="4" t="s">
        <v>300</v>
      </c>
      <c r="P303" t="str">
        <f t="shared" si="9"/>
        <v>"40112"</v>
      </c>
    </row>
    <row r="304" spans="1:16" x14ac:dyDescent="0.2">
      <c r="A304" t="s">
        <v>301</v>
      </c>
      <c r="B304" s="5" t="s">
        <v>13</v>
      </c>
      <c r="C304" t="s">
        <v>301</v>
      </c>
      <c r="E304" s="4" t="s">
        <v>301</v>
      </c>
      <c r="F304" t="s">
        <v>45</v>
      </c>
      <c r="G304" t="s">
        <v>301</v>
      </c>
      <c r="I304" t="s">
        <v>298</v>
      </c>
      <c r="J304" t="s">
        <v>299</v>
      </c>
      <c r="K304" s="4" t="s">
        <v>304</v>
      </c>
      <c r="L304" t="str">
        <f t="shared" si="8"/>
        <v>"Buchanan County School Board"</v>
      </c>
      <c r="M304" t="s">
        <v>302</v>
      </c>
      <c r="N304" t="s">
        <v>303</v>
      </c>
      <c r="O304" s="4" t="s">
        <v>300</v>
      </c>
      <c r="P304" t="str">
        <f t="shared" si="9"/>
        <v>"40113"</v>
      </c>
    </row>
    <row r="305" spans="1:16" x14ac:dyDescent="0.2">
      <c r="A305" t="s">
        <v>301</v>
      </c>
      <c r="B305" s="5" t="s">
        <v>14</v>
      </c>
      <c r="C305" t="s">
        <v>301</v>
      </c>
      <c r="E305" s="4" t="s">
        <v>301</v>
      </c>
      <c r="F305" t="s">
        <v>46</v>
      </c>
      <c r="G305" t="s">
        <v>301</v>
      </c>
      <c r="I305" t="s">
        <v>298</v>
      </c>
      <c r="J305" t="s">
        <v>299</v>
      </c>
      <c r="K305" s="4" t="s">
        <v>304</v>
      </c>
      <c r="L305" t="str">
        <f t="shared" si="8"/>
        <v>"Buckingham County School Board"</v>
      </c>
      <c r="M305" t="s">
        <v>302</v>
      </c>
      <c r="N305" t="s">
        <v>303</v>
      </c>
      <c r="O305" s="4" t="s">
        <v>300</v>
      </c>
      <c r="P305" t="str">
        <f t="shared" si="9"/>
        <v>"40114"</v>
      </c>
    </row>
    <row r="306" spans="1:16" x14ac:dyDescent="0.2">
      <c r="A306" t="s">
        <v>301</v>
      </c>
      <c r="B306" s="5" t="s">
        <v>15</v>
      </c>
      <c r="C306" t="s">
        <v>301</v>
      </c>
      <c r="E306" s="4" t="s">
        <v>301</v>
      </c>
      <c r="F306" t="s">
        <v>47</v>
      </c>
      <c r="G306" t="s">
        <v>301</v>
      </c>
      <c r="I306" t="s">
        <v>298</v>
      </c>
      <c r="J306" t="s">
        <v>299</v>
      </c>
      <c r="K306" s="4" t="s">
        <v>304</v>
      </c>
      <c r="L306" t="str">
        <f t="shared" si="8"/>
        <v>"Campbell County School Board"</v>
      </c>
      <c r="M306" t="s">
        <v>302</v>
      </c>
      <c r="N306" t="s">
        <v>303</v>
      </c>
      <c r="O306" s="4" t="s">
        <v>300</v>
      </c>
      <c r="P306" t="str">
        <f t="shared" si="9"/>
        <v>"40115"</v>
      </c>
    </row>
    <row r="307" spans="1:16" x14ac:dyDescent="0.2">
      <c r="A307" t="s">
        <v>301</v>
      </c>
      <c r="B307" s="5" t="s">
        <v>16</v>
      </c>
      <c r="C307" t="s">
        <v>301</v>
      </c>
      <c r="E307" s="4" t="s">
        <v>301</v>
      </c>
      <c r="F307" t="s">
        <v>48</v>
      </c>
      <c r="G307" t="s">
        <v>301</v>
      </c>
      <c r="I307" t="s">
        <v>298</v>
      </c>
      <c r="J307" t="s">
        <v>299</v>
      </c>
      <c r="K307" s="4" t="s">
        <v>304</v>
      </c>
      <c r="L307" t="str">
        <f t="shared" si="8"/>
        <v>"Caroline County School Board"</v>
      </c>
      <c r="M307" t="s">
        <v>302</v>
      </c>
      <c r="N307" t="s">
        <v>303</v>
      </c>
      <c r="O307" s="4" t="s">
        <v>300</v>
      </c>
      <c r="P307" t="str">
        <f t="shared" si="9"/>
        <v>"40116"</v>
      </c>
    </row>
    <row r="308" spans="1:16" x14ac:dyDescent="0.2">
      <c r="A308" t="s">
        <v>301</v>
      </c>
      <c r="B308" s="5" t="s">
        <v>17</v>
      </c>
      <c r="C308" t="s">
        <v>301</v>
      </c>
      <c r="E308" s="4" t="s">
        <v>301</v>
      </c>
      <c r="F308" t="s">
        <v>49</v>
      </c>
      <c r="G308" t="s">
        <v>301</v>
      </c>
      <c r="I308" t="s">
        <v>298</v>
      </c>
      <c r="J308" t="s">
        <v>299</v>
      </c>
      <c r="K308" s="4" t="s">
        <v>304</v>
      </c>
      <c r="L308" t="str">
        <f t="shared" si="8"/>
        <v>"Carroll County School Board"</v>
      </c>
      <c r="M308" t="s">
        <v>302</v>
      </c>
      <c r="N308" t="s">
        <v>303</v>
      </c>
      <c r="O308" s="4" t="s">
        <v>300</v>
      </c>
      <c r="P308" t="str">
        <f t="shared" si="9"/>
        <v>"40117"</v>
      </c>
    </row>
    <row r="309" spans="1:16" x14ac:dyDescent="0.2">
      <c r="A309" t="s">
        <v>301</v>
      </c>
      <c r="B309" s="5" t="s">
        <v>18</v>
      </c>
      <c r="C309" t="s">
        <v>301</v>
      </c>
      <c r="E309" s="4" t="s">
        <v>301</v>
      </c>
      <c r="F309" t="s">
        <v>50</v>
      </c>
      <c r="G309" t="s">
        <v>301</v>
      </c>
      <c r="I309" t="s">
        <v>298</v>
      </c>
      <c r="J309" t="s">
        <v>299</v>
      </c>
      <c r="K309" s="4" t="s">
        <v>304</v>
      </c>
      <c r="L309" t="str">
        <f t="shared" si="8"/>
        <v>"Charles City County School Board"</v>
      </c>
      <c r="M309" t="s">
        <v>302</v>
      </c>
      <c r="N309" t="s">
        <v>303</v>
      </c>
      <c r="O309" s="4" t="s">
        <v>300</v>
      </c>
      <c r="P309" t="str">
        <f t="shared" si="9"/>
        <v>"40118"</v>
      </c>
    </row>
    <row r="310" spans="1:16" x14ac:dyDescent="0.2">
      <c r="A310" t="s">
        <v>301</v>
      </c>
      <c r="B310" s="5" t="s">
        <v>19</v>
      </c>
      <c r="C310" t="s">
        <v>301</v>
      </c>
      <c r="E310" s="4" t="s">
        <v>301</v>
      </c>
      <c r="F310" t="s">
        <v>51</v>
      </c>
      <c r="G310" t="s">
        <v>301</v>
      </c>
      <c r="I310" t="s">
        <v>298</v>
      </c>
      <c r="J310" t="s">
        <v>299</v>
      </c>
      <c r="K310" s="4" t="s">
        <v>304</v>
      </c>
      <c r="L310" t="str">
        <f t="shared" si="8"/>
        <v>"Charlotte County School Board"</v>
      </c>
      <c r="M310" t="s">
        <v>302</v>
      </c>
      <c r="N310" t="s">
        <v>303</v>
      </c>
      <c r="O310" s="4" t="s">
        <v>300</v>
      </c>
      <c r="P310" t="str">
        <f t="shared" si="9"/>
        <v>"40119"</v>
      </c>
    </row>
    <row r="311" spans="1:16" x14ac:dyDescent="0.2">
      <c r="A311" t="s">
        <v>301</v>
      </c>
      <c r="B311" s="5" t="s">
        <v>20</v>
      </c>
      <c r="C311" t="s">
        <v>301</v>
      </c>
      <c r="E311" s="4" t="s">
        <v>301</v>
      </c>
      <c r="F311" t="s">
        <v>52</v>
      </c>
      <c r="G311" t="s">
        <v>301</v>
      </c>
      <c r="I311" t="s">
        <v>298</v>
      </c>
      <c r="J311" t="s">
        <v>299</v>
      </c>
      <c r="K311" s="4" t="s">
        <v>304</v>
      </c>
      <c r="L311" t="str">
        <f t="shared" si="8"/>
        <v>"Chesterfield County School Board"</v>
      </c>
      <c r="M311" t="s">
        <v>302</v>
      </c>
      <c r="N311" t="s">
        <v>303</v>
      </c>
      <c r="O311" s="4" t="s">
        <v>300</v>
      </c>
      <c r="P311" t="str">
        <f t="shared" si="9"/>
        <v>"40120"</v>
      </c>
    </row>
    <row r="312" spans="1:16" x14ac:dyDescent="0.2">
      <c r="A312" t="s">
        <v>301</v>
      </c>
      <c r="B312" s="5" t="s">
        <v>21</v>
      </c>
      <c r="C312" t="s">
        <v>301</v>
      </c>
      <c r="E312" s="4" t="s">
        <v>301</v>
      </c>
      <c r="F312" t="s">
        <v>53</v>
      </c>
      <c r="G312" t="s">
        <v>301</v>
      </c>
      <c r="I312" t="s">
        <v>298</v>
      </c>
      <c r="J312" t="s">
        <v>299</v>
      </c>
      <c r="K312" s="4" t="s">
        <v>304</v>
      </c>
      <c r="L312" t="str">
        <f t="shared" si="8"/>
        <v>"Clarke County School Board"</v>
      </c>
      <c r="M312" t="s">
        <v>302</v>
      </c>
      <c r="N312" t="s">
        <v>303</v>
      </c>
      <c r="O312" s="4" t="s">
        <v>300</v>
      </c>
      <c r="P312" t="str">
        <f t="shared" si="9"/>
        <v>"40121"</v>
      </c>
    </row>
    <row r="313" spans="1:16" x14ac:dyDescent="0.2">
      <c r="A313" t="s">
        <v>301</v>
      </c>
      <c r="B313" s="5" t="s">
        <v>22</v>
      </c>
      <c r="C313" t="s">
        <v>301</v>
      </c>
      <c r="E313" s="4" t="s">
        <v>301</v>
      </c>
      <c r="F313" t="s">
        <v>54</v>
      </c>
      <c r="G313" t="s">
        <v>301</v>
      </c>
      <c r="I313" t="s">
        <v>298</v>
      </c>
      <c r="J313" t="s">
        <v>299</v>
      </c>
      <c r="K313" s="4" t="s">
        <v>304</v>
      </c>
      <c r="L313" t="str">
        <f t="shared" si="8"/>
        <v>"Craig County School Board"</v>
      </c>
      <c r="M313" t="s">
        <v>302</v>
      </c>
      <c r="N313" t="s">
        <v>303</v>
      </c>
      <c r="O313" s="4" t="s">
        <v>300</v>
      </c>
      <c r="P313" t="str">
        <f t="shared" si="9"/>
        <v>"40122"</v>
      </c>
    </row>
    <row r="314" spans="1:16" x14ac:dyDescent="0.2">
      <c r="A314" t="s">
        <v>301</v>
      </c>
      <c r="B314" s="5" t="s">
        <v>23</v>
      </c>
      <c r="C314" t="s">
        <v>301</v>
      </c>
      <c r="E314" s="4" t="s">
        <v>301</v>
      </c>
      <c r="F314" t="s">
        <v>55</v>
      </c>
      <c r="G314" t="s">
        <v>301</v>
      </c>
      <c r="I314" t="s">
        <v>298</v>
      </c>
      <c r="J314" t="s">
        <v>299</v>
      </c>
      <c r="K314" s="4" t="s">
        <v>304</v>
      </c>
      <c r="L314" t="str">
        <f t="shared" si="8"/>
        <v>"Culpeper County School Board"</v>
      </c>
      <c r="M314" t="s">
        <v>302</v>
      </c>
      <c r="N314" t="s">
        <v>303</v>
      </c>
      <c r="O314" s="4" t="s">
        <v>300</v>
      </c>
      <c r="P314" t="str">
        <f t="shared" si="9"/>
        <v>"40123"</v>
      </c>
    </row>
    <row r="315" spans="1:16" x14ac:dyDescent="0.2">
      <c r="A315" t="s">
        <v>301</v>
      </c>
      <c r="B315" s="5" t="s">
        <v>24</v>
      </c>
      <c r="C315" t="s">
        <v>301</v>
      </c>
      <c r="E315" s="4" t="s">
        <v>301</v>
      </c>
      <c r="F315" t="s">
        <v>56</v>
      </c>
      <c r="G315" t="s">
        <v>301</v>
      </c>
      <c r="I315" t="s">
        <v>298</v>
      </c>
      <c r="J315" t="s">
        <v>299</v>
      </c>
      <c r="K315" s="4" t="s">
        <v>304</v>
      </c>
      <c r="L315" t="str">
        <f t="shared" si="8"/>
        <v>"Cumberland County School Board"</v>
      </c>
      <c r="M315" t="s">
        <v>302</v>
      </c>
      <c r="N315" t="s">
        <v>303</v>
      </c>
      <c r="O315" s="4" t="s">
        <v>300</v>
      </c>
      <c r="P315" t="str">
        <f t="shared" si="9"/>
        <v>"40124"</v>
      </c>
    </row>
    <row r="316" spans="1:16" x14ac:dyDescent="0.2">
      <c r="A316" t="s">
        <v>301</v>
      </c>
      <c r="B316" s="5" t="s">
        <v>25</v>
      </c>
      <c r="C316" t="s">
        <v>301</v>
      </c>
      <c r="E316" s="4" t="s">
        <v>301</v>
      </c>
      <c r="F316" t="s">
        <v>57</v>
      </c>
      <c r="G316" t="s">
        <v>301</v>
      </c>
      <c r="I316" t="s">
        <v>298</v>
      </c>
      <c r="J316" t="s">
        <v>299</v>
      </c>
      <c r="K316" s="4" t="s">
        <v>304</v>
      </c>
      <c r="L316" t="str">
        <f t="shared" si="8"/>
        <v>"Dickenson County School Board"</v>
      </c>
      <c r="M316" t="s">
        <v>302</v>
      </c>
      <c r="N316" t="s">
        <v>303</v>
      </c>
      <c r="O316" s="4" t="s">
        <v>300</v>
      </c>
      <c r="P316" t="str">
        <f t="shared" si="9"/>
        <v>"40125"</v>
      </c>
    </row>
    <row r="317" spans="1:16" x14ac:dyDescent="0.2">
      <c r="A317" t="s">
        <v>301</v>
      </c>
      <c r="B317" s="5" t="s">
        <v>26</v>
      </c>
      <c r="C317" t="s">
        <v>301</v>
      </c>
      <c r="E317" s="4" t="s">
        <v>301</v>
      </c>
      <c r="F317" t="s">
        <v>58</v>
      </c>
      <c r="G317" t="s">
        <v>301</v>
      </c>
      <c r="I317" t="s">
        <v>298</v>
      </c>
      <c r="J317" t="s">
        <v>299</v>
      </c>
      <c r="K317" s="4" t="s">
        <v>304</v>
      </c>
      <c r="L317" t="str">
        <f t="shared" si="8"/>
        <v>"Dinwiddie County School Board"</v>
      </c>
      <c r="M317" t="s">
        <v>302</v>
      </c>
      <c r="N317" t="s">
        <v>303</v>
      </c>
      <c r="O317" s="4" t="s">
        <v>300</v>
      </c>
      <c r="P317" t="str">
        <f t="shared" si="9"/>
        <v>"40126"</v>
      </c>
    </row>
    <row r="318" spans="1:16" x14ac:dyDescent="0.2">
      <c r="A318" t="s">
        <v>301</v>
      </c>
      <c r="B318" s="5" t="s">
        <v>27</v>
      </c>
      <c r="C318" t="s">
        <v>301</v>
      </c>
      <c r="E318" s="4" t="s">
        <v>301</v>
      </c>
      <c r="F318" t="s">
        <v>59</v>
      </c>
      <c r="G318" t="s">
        <v>301</v>
      </c>
      <c r="I318" t="s">
        <v>298</v>
      </c>
      <c r="J318" t="s">
        <v>299</v>
      </c>
      <c r="K318" s="4" t="s">
        <v>304</v>
      </c>
      <c r="L318" t="str">
        <f t="shared" si="8"/>
        <v>"Essex County Public Schools"</v>
      </c>
      <c r="M318" t="s">
        <v>302</v>
      </c>
      <c r="N318" t="s">
        <v>303</v>
      </c>
      <c r="O318" s="4" t="s">
        <v>300</v>
      </c>
      <c r="P318" t="str">
        <f t="shared" si="9"/>
        <v>"40128"</v>
      </c>
    </row>
    <row r="319" spans="1:16" x14ac:dyDescent="0.2">
      <c r="A319" t="s">
        <v>301</v>
      </c>
      <c r="B319" s="5" t="s">
        <v>28</v>
      </c>
      <c r="C319" t="s">
        <v>301</v>
      </c>
      <c r="E319" s="4" t="s">
        <v>301</v>
      </c>
      <c r="F319" t="s">
        <v>60</v>
      </c>
      <c r="G319" t="s">
        <v>301</v>
      </c>
      <c r="I319" t="s">
        <v>298</v>
      </c>
      <c r="J319" t="s">
        <v>299</v>
      </c>
      <c r="K319" s="4" t="s">
        <v>304</v>
      </c>
      <c r="L319" t="str">
        <f t="shared" si="8"/>
        <v>"Fairfax County School Board"</v>
      </c>
      <c r="M319" t="s">
        <v>302</v>
      </c>
      <c r="N319" t="s">
        <v>303</v>
      </c>
      <c r="O319" s="4" t="s">
        <v>300</v>
      </c>
      <c r="P319" t="str">
        <f t="shared" si="9"/>
        <v>"40129"</v>
      </c>
    </row>
    <row r="320" spans="1:16" x14ac:dyDescent="0.2">
      <c r="A320" t="s">
        <v>301</v>
      </c>
      <c r="B320" s="5" t="s">
        <v>29</v>
      </c>
      <c r="C320" t="s">
        <v>301</v>
      </c>
      <c r="E320" s="4" t="s">
        <v>301</v>
      </c>
      <c r="F320" t="s">
        <v>61</v>
      </c>
      <c r="G320" t="s">
        <v>301</v>
      </c>
      <c r="I320" t="s">
        <v>298</v>
      </c>
      <c r="J320" t="s">
        <v>299</v>
      </c>
      <c r="K320" s="4" t="s">
        <v>304</v>
      </c>
      <c r="L320" t="str">
        <f t="shared" si="8"/>
        <v>"Fauquier County School Board"</v>
      </c>
      <c r="M320" t="s">
        <v>302</v>
      </c>
      <c r="N320" t="s">
        <v>303</v>
      </c>
      <c r="O320" s="4" t="s">
        <v>300</v>
      </c>
      <c r="P320" t="str">
        <f t="shared" si="9"/>
        <v>"40130"</v>
      </c>
    </row>
    <row r="321" spans="1:16" x14ac:dyDescent="0.2">
      <c r="A321" t="s">
        <v>301</v>
      </c>
      <c r="B321" s="5" t="s">
        <v>30</v>
      </c>
      <c r="C321" t="s">
        <v>301</v>
      </c>
      <c r="E321" s="4" t="s">
        <v>301</v>
      </c>
      <c r="F321" t="s">
        <v>62</v>
      </c>
      <c r="G321" t="s">
        <v>301</v>
      </c>
      <c r="I321" t="s">
        <v>298</v>
      </c>
      <c r="J321" t="s">
        <v>299</v>
      </c>
      <c r="K321" s="4" t="s">
        <v>304</v>
      </c>
      <c r="L321" t="str">
        <f t="shared" si="8"/>
        <v>"Floyd County School Board"</v>
      </c>
      <c r="M321" t="s">
        <v>302</v>
      </c>
      <c r="N321" t="s">
        <v>303</v>
      </c>
      <c r="O321" s="4" t="s">
        <v>300</v>
      </c>
      <c r="P321" t="str">
        <f t="shared" si="9"/>
        <v>"40131"</v>
      </c>
    </row>
    <row r="322" spans="1:16" x14ac:dyDescent="0.2">
      <c r="A322" t="s">
        <v>301</v>
      </c>
      <c r="B322" s="5" t="s">
        <v>31</v>
      </c>
      <c r="C322" t="s">
        <v>301</v>
      </c>
      <c r="E322" s="4" t="s">
        <v>301</v>
      </c>
      <c r="F322" t="s">
        <v>63</v>
      </c>
      <c r="G322" t="s">
        <v>301</v>
      </c>
      <c r="I322" t="s">
        <v>298</v>
      </c>
      <c r="J322" t="s">
        <v>299</v>
      </c>
      <c r="K322" s="4" t="s">
        <v>304</v>
      </c>
      <c r="L322" t="str">
        <f t="shared" ref="L322:L385" si="10">_xlfn.TEXTJOIN("",TRUE,A322:C322)</f>
        <v>"Fluvanna County Public Schools"</v>
      </c>
      <c r="M322" t="s">
        <v>302</v>
      </c>
      <c r="N322" t="s">
        <v>303</v>
      </c>
      <c r="O322" s="4" t="s">
        <v>300</v>
      </c>
      <c r="P322" t="str">
        <f t="shared" ref="P322:P385" si="11">_xlfn.TEXTJOIN("",TRUE,E322:G322)</f>
        <v>"40132"</v>
      </c>
    </row>
    <row r="323" spans="1:16" x14ac:dyDescent="0.2">
      <c r="A323" t="s">
        <v>301</v>
      </c>
      <c r="B323" s="5" t="s">
        <v>64</v>
      </c>
      <c r="C323" t="s">
        <v>301</v>
      </c>
      <c r="E323" s="4" t="s">
        <v>301</v>
      </c>
      <c r="F323" t="s">
        <v>97</v>
      </c>
      <c r="G323" t="s">
        <v>301</v>
      </c>
      <c r="I323" t="s">
        <v>298</v>
      </c>
      <c r="J323" t="s">
        <v>299</v>
      </c>
      <c r="K323" s="4" t="s">
        <v>304</v>
      </c>
      <c r="L323" t="str">
        <f t="shared" si="10"/>
        <v>"Franklin County Public Schools"</v>
      </c>
      <c r="M323" t="s">
        <v>302</v>
      </c>
      <c r="N323" t="s">
        <v>303</v>
      </c>
      <c r="O323" s="4" t="s">
        <v>300</v>
      </c>
      <c r="P323" t="str">
        <f t="shared" si="11"/>
        <v>"40133"</v>
      </c>
    </row>
    <row r="324" spans="1:16" x14ac:dyDescent="0.2">
      <c r="A324" t="s">
        <v>301</v>
      </c>
      <c r="B324" s="5" t="s">
        <v>65</v>
      </c>
      <c r="C324" t="s">
        <v>301</v>
      </c>
      <c r="E324" s="4" t="s">
        <v>301</v>
      </c>
      <c r="F324" t="s">
        <v>98</v>
      </c>
      <c r="G324" t="s">
        <v>301</v>
      </c>
      <c r="I324" t="s">
        <v>298</v>
      </c>
      <c r="J324" t="s">
        <v>299</v>
      </c>
      <c r="K324" s="4" t="s">
        <v>304</v>
      </c>
      <c r="L324" t="str">
        <f t="shared" si="10"/>
        <v>"Frederick County School Board"</v>
      </c>
      <c r="M324" t="s">
        <v>302</v>
      </c>
      <c r="N324" t="s">
        <v>303</v>
      </c>
      <c r="O324" s="4" t="s">
        <v>300</v>
      </c>
      <c r="P324" t="str">
        <f t="shared" si="11"/>
        <v>"40134"</v>
      </c>
    </row>
    <row r="325" spans="1:16" x14ac:dyDescent="0.2">
      <c r="A325" t="s">
        <v>301</v>
      </c>
      <c r="B325" s="5" t="s">
        <v>66</v>
      </c>
      <c r="C325" t="s">
        <v>301</v>
      </c>
      <c r="E325" s="4" t="s">
        <v>301</v>
      </c>
      <c r="F325" t="s">
        <v>99</v>
      </c>
      <c r="G325" t="s">
        <v>301</v>
      </c>
      <c r="I325" t="s">
        <v>298</v>
      </c>
      <c r="J325" t="s">
        <v>299</v>
      </c>
      <c r="K325" s="4" t="s">
        <v>304</v>
      </c>
      <c r="L325" t="str">
        <f t="shared" si="10"/>
        <v>"Giles County Schools"</v>
      </c>
      <c r="M325" t="s">
        <v>302</v>
      </c>
      <c r="N325" t="s">
        <v>303</v>
      </c>
      <c r="O325" s="4" t="s">
        <v>300</v>
      </c>
      <c r="P325" t="str">
        <f t="shared" si="11"/>
        <v>"40135"</v>
      </c>
    </row>
    <row r="326" spans="1:16" x14ac:dyDescent="0.2">
      <c r="A326" t="s">
        <v>301</v>
      </c>
      <c r="B326" s="5" t="s">
        <v>67</v>
      </c>
      <c r="C326" t="s">
        <v>301</v>
      </c>
      <c r="E326" s="4" t="s">
        <v>301</v>
      </c>
      <c r="F326" t="s">
        <v>100</v>
      </c>
      <c r="G326" t="s">
        <v>301</v>
      </c>
      <c r="I326" t="s">
        <v>298</v>
      </c>
      <c r="J326" t="s">
        <v>299</v>
      </c>
      <c r="K326" s="4" t="s">
        <v>304</v>
      </c>
      <c r="L326" t="str">
        <f t="shared" si="10"/>
        <v>"Gloucester County School Board"</v>
      </c>
      <c r="M326" t="s">
        <v>302</v>
      </c>
      <c r="N326" t="s">
        <v>303</v>
      </c>
      <c r="O326" s="4" t="s">
        <v>300</v>
      </c>
      <c r="P326" t="str">
        <f t="shared" si="11"/>
        <v>"40136"</v>
      </c>
    </row>
    <row r="327" spans="1:16" x14ac:dyDescent="0.2">
      <c r="A327" t="s">
        <v>301</v>
      </c>
      <c r="B327" s="5" t="s">
        <v>68</v>
      </c>
      <c r="C327" t="s">
        <v>301</v>
      </c>
      <c r="E327" s="4" t="s">
        <v>301</v>
      </c>
      <c r="F327" t="s">
        <v>101</v>
      </c>
      <c r="G327" t="s">
        <v>301</v>
      </c>
      <c r="I327" t="s">
        <v>298</v>
      </c>
      <c r="J327" t="s">
        <v>299</v>
      </c>
      <c r="K327" s="4" t="s">
        <v>304</v>
      </c>
      <c r="L327" t="str">
        <f t="shared" si="10"/>
        <v>"Goochland County School Board"</v>
      </c>
      <c r="M327" t="s">
        <v>302</v>
      </c>
      <c r="N327" t="s">
        <v>303</v>
      </c>
      <c r="O327" s="4" t="s">
        <v>300</v>
      </c>
      <c r="P327" t="str">
        <f t="shared" si="11"/>
        <v>"40137"</v>
      </c>
    </row>
    <row r="328" spans="1:16" x14ac:dyDescent="0.2">
      <c r="A328" t="s">
        <v>301</v>
      </c>
      <c r="B328" s="5" t="s">
        <v>69</v>
      </c>
      <c r="C328" t="s">
        <v>301</v>
      </c>
      <c r="E328" s="4" t="s">
        <v>301</v>
      </c>
      <c r="F328" t="s">
        <v>102</v>
      </c>
      <c r="G328" t="s">
        <v>301</v>
      </c>
      <c r="I328" t="s">
        <v>298</v>
      </c>
      <c r="J328" t="s">
        <v>299</v>
      </c>
      <c r="K328" s="4" t="s">
        <v>304</v>
      </c>
      <c r="L328" t="str">
        <f t="shared" si="10"/>
        <v>"Grayson County School Board"</v>
      </c>
      <c r="M328" t="s">
        <v>302</v>
      </c>
      <c r="N328" t="s">
        <v>303</v>
      </c>
      <c r="O328" s="4" t="s">
        <v>300</v>
      </c>
      <c r="P328" t="str">
        <f t="shared" si="11"/>
        <v>"40138"</v>
      </c>
    </row>
    <row r="329" spans="1:16" x14ac:dyDescent="0.2">
      <c r="A329" t="s">
        <v>301</v>
      </c>
      <c r="B329" s="5" t="s">
        <v>70</v>
      </c>
      <c r="C329" t="s">
        <v>301</v>
      </c>
      <c r="E329" s="4" t="s">
        <v>301</v>
      </c>
      <c r="F329" t="s">
        <v>103</v>
      </c>
      <c r="G329" t="s">
        <v>301</v>
      </c>
      <c r="I329" t="s">
        <v>298</v>
      </c>
      <c r="J329" t="s">
        <v>299</v>
      </c>
      <c r="K329" s="4" t="s">
        <v>304</v>
      </c>
      <c r="L329" t="str">
        <f t="shared" si="10"/>
        <v>"Greene County Public Schools"</v>
      </c>
      <c r="M329" t="s">
        <v>302</v>
      </c>
      <c r="N329" t="s">
        <v>303</v>
      </c>
      <c r="O329" s="4" t="s">
        <v>300</v>
      </c>
      <c r="P329" t="str">
        <f t="shared" si="11"/>
        <v>"40139"</v>
      </c>
    </row>
    <row r="330" spans="1:16" x14ac:dyDescent="0.2">
      <c r="A330" t="s">
        <v>301</v>
      </c>
      <c r="B330" s="5" t="s">
        <v>71</v>
      </c>
      <c r="C330" t="s">
        <v>301</v>
      </c>
      <c r="E330" s="4" t="s">
        <v>301</v>
      </c>
      <c r="F330" t="s">
        <v>104</v>
      </c>
      <c r="G330" t="s">
        <v>301</v>
      </c>
      <c r="I330" t="s">
        <v>298</v>
      </c>
      <c r="J330" t="s">
        <v>299</v>
      </c>
      <c r="K330" s="4" t="s">
        <v>304</v>
      </c>
      <c r="L330" t="str">
        <f t="shared" si="10"/>
        <v>"Greensville County School Board"</v>
      </c>
      <c r="M330" t="s">
        <v>302</v>
      </c>
      <c r="N330" t="s">
        <v>303</v>
      </c>
      <c r="O330" s="4" t="s">
        <v>300</v>
      </c>
      <c r="P330" t="str">
        <f t="shared" si="11"/>
        <v>"40140"</v>
      </c>
    </row>
    <row r="331" spans="1:16" x14ac:dyDescent="0.2">
      <c r="A331" t="s">
        <v>301</v>
      </c>
      <c r="B331" s="5" t="s">
        <v>72</v>
      </c>
      <c r="C331" t="s">
        <v>301</v>
      </c>
      <c r="E331" s="4" t="s">
        <v>301</v>
      </c>
      <c r="F331" t="s">
        <v>105</v>
      </c>
      <c r="G331" t="s">
        <v>301</v>
      </c>
      <c r="I331" t="s">
        <v>298</v>
      </c>
      <c r="J331" t="s">
        <v>299</v>
      </c>
      <c r="K331" s="4" t="s">
        <v>304</v>
      </c>
      <c r="L331" t="str">
        <f t="shared" si="10"/>
        <v>"Halifax County School Board"</v>
      </c>
      <c r="M331" t="s">
        <v>302</v>
      </c>
      <c r="N331" t="s">
        <v>303</v>
      </c>
      <c r="O331" s="4" t="s">
        <v>300</v>
      </c>
      <c r="P331" t="str">
        <f t="shared" si="11"/>
        <v>"40141"</v>
      </c>
    </row>
    <row r="332" spans="1:16" x14ac:dyDescent="0.2">
      <c r="A332" t="s">
        <v>301</v>
      </c>
      <c r="B332" s="5" t="s">
        <v>73</v>
      </c>
      <c r="C332" t="s">
        <v>301</v>
      </c>
      <c r="E332" s="4" t="s">
        <v>301</v>
      </c>
      <c r="F332" t="s">
        <v>106</v>
      </c>
      <c r="G332" t="s">
        <v>301</v>
      </c>
      <c r="I332" t="s">
        <v>298</v>
      </c>
      <c r="J332" t="s">
        <v>299</v>
      </c>
      <c r="K332" s="4" t="s">
        <v>304</v>
      </c>
      <c r="L332" t="str">
        <f t="shared" si="10"/>
        <v>"Hanover County School Board"</v>
      </c>
      <c r="M332" t="s">
        <v>302</v>
      </c>
      <c r="N332" t="s">
        <v>303</v>
      </c>
      <c r="O332" s="4" t="s">
        <v>300</v>
      </c>
      <c r="P332" t="str">
        <f t="shared" si="11"/>
        <v>"40142"</v>
      </c>
    </row>
    <row r="333" spans="1:16" x14ac:dyDescent="0.2">
      <c r="A333" t="s">
        <v>301</v>
      </c>
      <c r="B333" s="5" t="s">
        <v>74</v>
      </c>
      <c r="C333" t="s">
        <v>301</v>
      </c>
      <c r="E333" s="4" t="s">
        <v>301</v>
      </c>
      <c r="F333" t="s">
        <v>107</v>
      </c>
      <c r="G333" t="s">
        <v>301</v>
      </c>
      <c r="I333" t="s">
        <v>298</v>
      </c>
      <c r="J333" t="s">
        <v>299</v>
      </c>
      <c r="K333" s="4" t="s">
        <v>304</v>
      </c>
      <c r="L333" t="str">
        <f t="shared" si="10"/>
        <v>"Henrico County School Board"</v>
      </c>
      <c r="M333" t="s">
        <v>302</v>
      </c>
      <c r="N333" t="s">
        <v>303</v>
      </c>
      <c r="O333" s="4" t="s">
        <v>300</v>
      </c>
      <c r="P333" t="str">
        <f t="shared" si="11"/>
        <v>"40143"</v>
      </c>
    </row>
    <row r="334" spans="1:16" x14ac:dyDescent="0.2">
      <c r="A334" t="s">
        <v>301</v>
      </c>
      <c r="B334" s="5" t="s">
        <v>75</v>
      </c>
      <c r="C334" t="s">
        <v>301</v>
      </c>
      <c r="E334" s="4" t="s">
        <v>301</v>
      </c>
      <c r="F334" t="s">
        <v>108</v>
      </c>
      <c r="G334" t="s">
        <v>301</v>
      </c>
      <c r="I334" t="s">
        <v>298</v>
      </c>
      <c r="J334" t="s">
        <v>299</v>
      </c>
      <c r="K334" s="4" t="s">
        <v>304</v>
      </c>
      <c r="L334" t="str">
        <f t="shared" si="10"/>
        <v>"Henry County Public Schools"</v>
      </c>
      <c r="M334" t="s">
        <v>302</v>
      </c>
      <c r="N334" t="s">
        <v>303</v>
      </c>
      <c r="O334" s="4" t="s">
        <v>300</v>
      </c>
      <c r="P334" t="str">
        <f t="shared" si="11"/>
        <v>"40144"</v>
      </c>
    </row>
    <row r="335" spans="1:16" x14ac:dyDescent="0.2">
      <c r="A335" t="s">
        <v>301</v>
      </c>
      <c r="B335" s="5" t="s">
        <v>76</v>
      </c>
      <c r="C335" t="s">
        <v>301</v>
      </c>
      <c r="E335" s="4" t="s">
        <v>301</v>
      </c>
      <c r="F335" t="s">
        <v>109</v>
      </c>
      <c r="G335" t="s">
        <v>301</v>
      </c>
      <c r="I335" t="s">
        <v>298</v>
      </c>
      <c r="J335" t="s">
        <v>299</v>
      </c>
      <c r="K335" s="4" t="s">
        <v>304</v>
      </c>
      <c r="L335" t="str">
        <f t="shared" si="10"/>
        <v>"Highland County Public Schools"</v>
      </c>
      <c r="M335" t="s">
        <v>302</v>
      </c>
      <c r="N335" t="s">
        <v>303</v>
      </c>
      <c r="O335" s="4" t="s">
        <v>300</v>
      </c>
      <c r="P335" t="str">
        <f t="shared" si="11"/>
        <v>"40145"</v>
      </c>
    </row>
    <row r="336" spans="1:16" x14ac:dyDescent="0.2">
      <c r="A336" t="s">
        <v>301</v>
      </c>
      <c r="B336" s="5" t="s">
        <v>77</v>
      </c>
      <c r="C336" t="s">
        <v>301</v>
      </c>
      <c r="E336" s="4" t="s">
        <v>301</v>
      </c>
      <c r="F336" t="s">
        <v>110</v>
      </c>
      <c r="G336" t="s">
        <v>301</v>
      </c>
      <c r="I336" t="s">
        <v>298</v>
      </c>
      <c r="J336" t="s">
        <v>299</v>
      </c>
      <c r="K336" s="4" t="s">
        <v>304</v>
      </c>
      <c r="L336" t="str">
        <f t="shared" si="10"/>
        <v>"Isle of Wight County Schools"</v>
      </c>
      <c r="M336" t="s">
        <v>302</v>
      </c>
      <c r="N336" t="s">
        <v>303</v>
      </c>
      <c r="O336" s="4" t="s">
        <v>300</v>
      </c>
      <c r="P336" t="str">
        <f t="shared" si="11"/>
        <v>"40146"</v>
      </c>
    </row>
    <row r="337" spans="1:16" x14ac:dyDescent="0.2">
      <c r="A337" t="s">
        <v>301</v>
      </c>
      <c r="B337" s="5" t="s">
        <v>78</v>
      </c>
      <c r="C337" t="s">
        <v>301</v>
      </c>
      <c r="E337" s="4" t="s">
        <v>301</v>
      </c>
      <c r="F337" t="s">
        <v>111</v>
      </c>
      <c r="G337" t="s">
        <v>301</v>
      </c>
      <c r="I337" t="s">
        <v>298</v>
      </c>
      <c r="J337" t="s">
        <v>299</v>
      </c>
      <c r="K337" s="4" t="s">
        <v>304</v>
      </c>
      <c r="L337" t="str">
        <f t="shared" si="10"/>
        <v>"King George County School Board"</v>
      </c>
      <c r="M337" t="s">
        <v>302</v>
      </c>
      <c r="N337" t="s">
        <v>303</v>
      </c>
      <c r="O337" s="4" t="s">
        <v>300</v>
      </c>
      <c r="P337" t="str">
        <f t="shared" si="11"/>
        <v>"40148"</v>
      </c>
    </row>
    <row r="338" spans="1:16" x14ac:dyDescent="0.2">
      <c r="A338" t="s">
        <v>301</v>
      </c>
      <c r="B338" s="5" t="s">
        <v>79</v>
      </c>
      <c r="C338" t="s">
        <v>301</v>
      </c>
      <c r="E338" s="4" t="s">
        <v>301</v>
      </c>
      <c r="F338" t="s">
        <v>112</v>
      </c>
      <c r="G338" t="s">
        <v>301</v>
      </c>
      <c r="I338" t="s">
        <v>298</v>
      </c>
      <c r="J338" t="s">
        <v>299</v>
      </c>
      <c r="K338" s="4" t="s">
        <v>304</v>
      </c>
      <c r="L338" t="str">
        <f t="shared" si="10"/>
        <v>"King &amp; Queen County School Board"</v>
      </c>
      <c r="M338" t="s">
        <v>302</v>
      </c>
      <c r="N338" t="s">
        <v>303</v>
      </c>
      <c r="O338" s="4" t="s">
        <v>300</v>
      </c>
      <c r="P338" t="str">
        <f t="shared" si="11"/>
        <v>"40149"</v>
      </c>
    </row>
    <row r="339" spans="1:16" x14ac:dyDescent="0.2">
      <c r="A339" t="s">
        <v>301</v>
      </c>
      <c r="B339" s="5" t="s">
        <v>80</v>
      </c>
      <c r="C339" t="s">
        <v>301</v>
      </c>
      <c r="E339" s="4" t="s">
        <v>301</v>
      </c>
      <c r="F339" t="s">
        <v>113</v>
      </c>
      <c r="G339" t="s">
        <v>301</v>
      </c>
      <c r="I339" t="s">
        <v>298</v>
      </c>
      <c r="J339" t="s">
        <v>299</v>
      </c>
      <c r="K339" s="4" t="s">
        <v>304</v>
      </c>
      <c r="L339" t="str">
        <f t="shared" si="10"/>
        <v>"King William County School Board"</v>
      </c>
      <c r="M339" t="s">
        <v>302</v>
      </c>
      <c r="N339" t="s">
        <v>303</v>
      </c>
      <c r="O339" s="4" t="s">
        <v>300</v>
      </c>
      <c r="P339" t="str">
        <f t="shared" si="11"/>
        <v>"40150"</v>
      </c>
    </row>
    <row r="340" spans="1:16" x14ac:dyDescent="0.2">
      <c r="A340" t="s">
        <v>301</v>
      </c>
      <c r="B340" s="5" t="s">
        <v>81</v>
      </c>
      <c r="C340" t="s">
        <v>301</v>
      </c>
      <c r="E340" s="4" t="s">
        <v>301</v>
      </c>
      <c r="F340" t="s">
        <v>114</v>
      </c>
      <c r="G340" t="s">
        <v>301</v>
      </c>
      <c r="I340" t="s">
        <v>298</v>
      </c>
      <c r="J340" t="s">
        <v>299</v>
      </c>
      <c r="K340" s="4" t="s">
        <v>304</v>
      </c>
      <c r="L340" t="str">
        <f t="shared" si="10"/>
        <v>"Lancaster County Public Schools"</v>
      </c>
      <c r="M340" t="s">
        <v>302</v>
      </c>
      <c r="N340" t="s">
        <v>303</v>
      </c>
      <c r="O340" s="4" t="s">
        <v>300</v>
      </c>
      <c r="P340" t="str">
        <f t="shared" si="11"/>
        <v>"40151"</v>
      </c>
    </row>
    <row r="341" spans="1:16" x14ac:dyDescent="0.2">
      <c r="A341" t="s">
        <v>301</v>
      </c>
      <c r="B341" s="5" t="s">
        <v>82</v>
      </c>
      <c r="C341" t="s">
        <v>301</v>
      </c>
      <c r="E341" s="4" t="s">
        <v>301</v>
      </c>
      <c r="F341" t="s">
        <v>115</v>
      </c>
      <c r="G341" t="s">
        <v>301</v>
      </c>
      <c r="I341" t="s">
        <v>298</v>
      </c>
      <c r="J341" t="s">
        <v>299</v>
      </c>
      <c r="K341" s="4" t="s">
        <v>304</v>
      </c>
      <c r="L341" t="str">
        <f t="shared" si="10"/>
        <v>"Lee County School Board"</v>
      </c>
      <c r="M341" t="s">
        <v>302</v>
      </c>
      <c r="N341" t="s">
        <v>303</v>
      </c>
      <c r="O341" s="4" t="s">
        <v>300</v>
      </c>
      <c r="P341" t="str">
        <f t="shared" si="11"/>
        <v>"40152"</v>
      </c>
    </row>
    <row r="342" spans="1:16" x14ac:dyDescent="0.2">
      <c r="A342" t="s">
        <v>301</v>
      </c>
      <c r="B342" s="5" t="s">
        <v>83</v>
      </c>
      <c r="C342" t="s">
        <v>301</v>
      </c>
      <c r="E342" s="4" t="s">
        <v>301</v>
      </c>
      <c r="F342" t="s">
        <v>116</v>
      </c>
      <c r="G342" t="s">
        <v>301</v>
      </c>
      <c r="I342" t="s">
        <v>298</v>
      </c>
      <c r="J342" t="s">
        <v>299</v>
      </c>
      <c r="K342" s="4" t="s">
        <v>304</v>
      </c>
      <c r="L342" t="str">
        <f t="shared" si="10"/>
        <v>"Loudoun County School Board"</v>
      </c>
      <c r="M342" t="s">
        <v>302</v>
      </c>
      <c r="N342" t="s">
        <v>303</v>
      </c>
      <c r="O342" s="4" t="s">
        <v>300</v>
      </c>
      <c r="P342" t="str">
        <f t="shared" si="11"/>
        <v>"40153"</v>
      </c>
    </row>
    <row r="343" spans="1:16" x14ac:dyDescent="0.2">
      <c r="A343" t="s">
        <v>301</v>
      </c>
      <c r="B343" s="5" t="s">
        <v>84</v>
      </c>
      <c r="C343" t="s">
        <v>301</v>
      </c>
      <c r="E343" s="4" t="s">
        <v>301</v>
      </c>
      <c r="F343" t="s">
        <v>117</v>
      </c>
      <c r="G343" t="s">
        <v>301</v>
      </c>
      <c r="I343" t="s">
        <v>298</v>
      </c>
      <c r="J343" t="s">
        <v>299</v>
      </c>
      <c r="K343" s="4" t="s">
        <v>304</v>
      </c>
      <c r="L343" t="str">
        <f t="shared" si="10"/>
        <v>"Louisa County Public Schools"</v>
      </c>
      <c r="M343" t="s">
        <v>302</v>
      </c>
      <c r="N343" t="s">
        <v>303</v>
      </c>
      <c r="O343" s="4" t="s">
        <v>300</v>
      </c>
      <c r="P343" t="str">
        <f t="shared" si="11"/>
        <v>"40154"</v>
      </c>
    </row>
    <row r="344" spans="1:16" x14ac:dyDescent="0.2">
      <c r="A344" t="s">
        <v>301</v>
      </c>
      <c r="B344" s="5" t="s">
        <v>85</v>
      </c>
      <c r="C344" t="s">
        <v>301</v>
      </c>
      <c r="E344" s="4" t="s">
        <v>301</v>
      </c>
      <c r="F344" t="s">
        <v>118</v>
      </c>
      <c r="G344" t="s">
        <v>301</v>
      </c>
      <c r="I344" t="s">
        <v>298</v>
      </c>
      <c r="J344" t="s">
        <v>299</v>
      </c>
      <c r="K344" s="4" t="s">
        <v>304</v>
      </c>
      <c r="L344" t="str">
        <f t="shared" si="10"/>
        <v>"Lunenburg County School Board"</v>
      </c>
      <c r="M344" t="s">
        <v>302</v>
      </c>
      <c r="N344" t="s">
        <v>303</v>
      </c>
      <c r="O344" s="4" t="s">
        <v>300</v>
      </c>
      <c r="P344" t="str">
        <f t="shared" si="11"/>
        <v>"40155"</v>
      </c>
    </row>
    <row r="345" spans="1:16" x14ac:dyDescent="0.2">
      <c r="A345" t="s">
        <v>301</v>
      </c>
      <c r="B345" s="5" t="s">
        <v>86</v>
      </c>
      <c r="C345" t="s">
        <v>301</v>
      </c>
      <c r="E345" s="4" t="s">
        <v>301</v>
      </c>
      <c r="F345" t="s">
        <v>119</v>
      </c>
      <c r="G345" t="s">
        <v>301</v>
      </c>
      <c r="I345" t="s">
        <v>298</v>
      </c>
      <c r="J345" t="s">
        <v>299</v>
      </c>
      <c r="K345" s="4" t="s">
        <v>304</v>
      </c>
      <c r="L345" t="str">
        <f t="shared" si="10"/>
        <v>"Madison County School Board"</v>
      </c>
      <c r="M345" t="s">
        <v>302</v>
      </c>
      <c r="N345" t="s">
        <v>303</v>
      </c>
      <c r="O345" s="4" t="s">
        <v>300</v>
      </c>
      <c r="P345" t="str">
        <f t="shared" si="11"/>
        <v>"40156"</v>
      </c>
    </row>
    <row r="346" spans="1:16" x14ac:dyDescent="0.2">
      <c r="A346" t="s">
        <v>301</v>
      </c>
      <c r="B346" s="5" t="s">
        <v>87</v>
      </c>
      <c r="C346" t="s">
        <v>301</v>
      </c>
      <c r="E346" s="4" t="s">
        <v>301</v>
      </c>
      <c r="F346" t="s">
        <v>120</v>
      </c>
      <c r="G346" t="s">
        <v>301</v>
      </c>
      <c r="I346" t="s">
        <v>298</v>
      </c>
      <c r="J346" t="s">
        <v>299</v>
      </c>
      <c r="K346" s="4" t="s">
        <v>304</v>
      </c>
      <c r="L346" t="str">
        <f t="shared" si="10"/>
        <v>"Mathews County School Board"</v>
      </c>
      <c r="M346" t="s">
        <v>302</v>
      </c>
      <c r="N346" t="s">
        <v>303</v>
      </c>
      <c r="O346" s="4" t="s">
        <v>300</v>
      </c>
      <c r="P346" t="str">
        <f t="shared" si="11"/>
        <v>"40157"</v>
      </c>
    </row>
    <row r="347" spans="1:16" x14ac:dyDescent="0.2">
      <c r="A347" t="s">
        <v>301</v>
      </c>
      <c r="B347" s="5" t="s">
        <v>88</v>
      </c>
      <c r="C347" t="s">
        <v>301</v>
      </c>
      <c r="E347" s="4" t="s">
        <v>301</v>
      </c>
      <c r="F347" t="s">
        <v>121</v>
      </c>
      <c r="G347" t="s">
        <v>301</v>
      </c>
      <c r="I347" t="s">
        <v>298</v>
      </c>
      <c r="J347" t="s">
        <v>299</v>
      </c>
      <c r="K347" s="4" t="s">
        <v>304</v>
      </c>
      <c r="L347" t="str">
        <f t="shared" si="10"/>
        <v>"Mecklenburg County School Board"</v>
      </c>
      <c r="M347" t="s">
        <v>302</v>
      </c>
      <c r="N347" t="s">
        <v>303</v>
      </c>
      <c r="O347" s="4" t="s">
        <v>300</v>
      </c>
      <c r="P347" t="str">
        <f t="shared" si="11"/>
        <v>"40158"</v>
      </c>
    </row>
    <row r="348" spans="1:16" x14ac:dyDescent="0.2">
      <c r="A348" t="s">
        <v>301</v>
      </c>
      <c r="B348" s="5" t="s">
        <v>89</v>
      </c>
      <c r="C348" t="s">
        <v>301</v>
      </c>
      <c r="E348" s="4" t="s">
        <v>301</v>
      </c>
      <c r="F348" t="s">
        <v>122</v>
      </c>
      <c r="G348" t="s">
        <v>301</v>
      </c>
      <c r="I348" t="s">
        <v>298</v>
      </c>
      <c r="J348" t="s">
        <v>299</v>
      </c>
      <c r="K348" s="4" t="s">
        <v>304</v>
      </c>
      <c r="L348" t="str">
        <f t="shared" si="10"/>
        <v>"Middlesex County School Board"</v>
      </c>
      <c r="M348" t="s">
        <v>302</v>
      </c>
      <c r="N348" t="s">
        <v>303</v>
      </c>
      <c r="O348" s="4" t="s">
        <v>300</v>
      </c>
      <c r="P348" t="str">
        <f t="shared" si="11"/>
        <v>"40159"</v>
      </c>
    </row>
    <row r="349" spans="1:16" x14ac:dyDescent="0.2">
      <c r="A349" t="s">
        <v>301</v>
      </c>
      <c r="B349" s="5" t="s">
        <v>90</v>
      </c>
      <c r="C349" t="s">
        <v>301</v>
      </c>
      <c r="E349" s="4" t="s">
        <v>301</v>
      </c>
      <c r="F349" t="s">
        <v>123</v>
      </c>
      <c r="G349" t="s">
        <v>301</v>
      </c>
      <c r="I349" t="s">
        <v>298</v>
      </c>
      <c r="J349" t="s">
        <v>299</v>
      </c>
      <c r="K349" s="4" t="s">
        <v>304</v>
      </c>
      <c r="L349" t="str">
        <f t="shared" si="10"/>
        <v>"Montgomery County School Board"</v>
      </c>
      <c r="M349" t="s">
        <v>302</v>
      </c>
      <c r="N349" t="s">
        <v>303</v>
      </c>
      <c r="O349" s="4" t="s">
        <v>300</v>
      </c>
      <c r="P349" t="str">
        <f t="shared" si="11"/>
        <v>"40160"</v>
      </c>
    </row>
    <row r="350" spans="1:16" x14ac:dyDescent="0.2">
      <c r="A350" t="s">
        <v>301</v>
      </c>
      <c r="B350" s="5" t="s">
        <v>91</v>
      </c>
      <c r="C350" t="s">
        <v>301</v>
      </c>
      <c r="E350" s="4" t="s">
        <v>301</v>
      </c>
      <c r="F350" t="s">
        <v>124</v>
      </c>
      <c r="G350" t="s">
        <v>301</v>
      </c>
      <c r="I350" t="s">
        <v>298</v>
      </c>
      <c r="J350" t="s">
        <v>299</v>
      </c>
      <c r="K350" s="4" t="s">
        <v>304</v>
      </c>
      <c r="L350" t="str">
        <f t="shared" si="10"/>
        <v>"Nelson County Public Schools"</v>
      </c>
      <c r="M350" t="s">
        <v>302</v>
      </c>
      <c r="N350" t="s">
        <v>303</v>
      </c>
      <c r="O350" s="4" t="s">
        <v>300</v>
      </c>
      <c r="P350" t="str">
        <f t="shared" si="11"/>
        <v>"40162"</v>
      </c>
    </row>
    <row r="351" spans="1:16" x14ac:dyDescent="0.2">
      <c r="A351" t="s">
        <v>301</v>
      </c>
      <c r="B351" s="5" t="s">
        <v>92</v>
      </c>
      <c r="C351" t="s">
        <v>301</v>
      </c>
      <c r="E351" s="4" t="s">
        <v>301</v>
      </c>
      <c r="F351" t="s">
        <v>125</v>
      </c>
      <c r="G351" t="s">
        <v>301</v>
      </c>
      <c r="I351" t="s">
        <v>298</v>
      </c>
      <c r="J351" t="s">
        <v>299</v>
      </c>
      <c r="K351" s="4" t="s">
        <v>304</v>
      </c>
      <c r="L351" t="str">
        <f t="shared" si="10"/>
        <v>"New Kent County School Board"</v>
      </c>
      <c r="M351" t="s">
        <v>302</v>
      </c>
      <c r="N351" t="s">
        <v>303</v>
      </c>
      <c r="O351" s="4" t="s">
        <v>300</v>
      </c>
      <c r="P351" t="str">
        <f t="shared" si="11"/>
        <v>"40163"</v>
      </c>
    </row>
    <row r="352" spans="1:16" x14ac:dyDescent="0.2">
      <c r="A352" t="s">
        <v>301</v>
      </c>
      <c r="B352" s="5" t="s">
        <v>93</v>
      </c>
      <c r="C352" t="s">
        <v>301</v>
      </c>
      <c r="E352" s="4" t="s">
        <v>301</v>
      </c>
      <c r="F352" t="s">
        <v>126</v>
      </c>
      <c r="G352" t="s">
        <v>301</v>
      </c>
      <c r="I352" t="s">
        <v>298</v>
      </c>
      <c r="J352" t="s">
        <v>299</v>
      </c>
      <c r="K352" s="4" t="s">
        <v>304</v>
      </c>
      <c r="L352" t="str">
        <f t="shared" si="10"/>
        <v>"Northampton County Schools"</v>
      </c>
      <c r="M352" t="s">
        <v>302</v>
      </c>
      <c r="N352" t="s">
        <v>303</v>
      </c>
      <c r="O352" s="4" t="s">
        <v>300</v>
      </c>
      <c r="P352" t="str">
        <f t="shared" si="11"/>
        <v>"40165"</v>
      </c>
    </row>
    <row r="353" spans="1:16" x14ac:dyDescent="0.2">
      <c r="A353" t="s">
        <v>301</v>
      </c>
      <c r="B353" s="5" t="s">
        <v>94</v>
      </c>
      <c r="C353" t="s">
        <v>301</v>
      </c>
      <c r="E353" s="4" t="s">
        <v>301</v>
      </c>
      <c r="F353" t="s">
        <v>127</v>
      </c>
      <c r="G353" t="s">
        <v>301</v>
      </c>
      <c r="I353" t="s">
        <v>298</v>
      </c>
      <c r="J353" t="s">
        <v>299</v>
      </c>
      <c r="K353" s="4" t="s">
        <v>304</v>
      </c>
      <c r="L353" t="str">
        <f t="shared" si="10"/>
        <v>"Northumberland County School Board"</v>
      </c>
      <c r="M353" t="s">
        <v>302</v>
      </c>
      <c r="N353" t="s">
        <v>303</v>
      </c>
      <c r="O353" s="4" t="s">
        <v>300</v>
      </c>
      <c r="P353" t="str">
        <f t="shared" si="11"/>
        <v>"40166"</v>
      </c>
    </row>
    <row r="354" spans="1:16" x14ac:dyDescent="0.2">
      <c r="A354" t="s">
        <v>301</v>
      </c>
      <c r="B354" s="5" t="s">
        <v>95</v>
      </c>
      <c r="C354" t="s">
        <v>301</v>
      </c>
      <c r="E354" s="4" t="s">
        <v>301</v>
      </c>
      <c r="F354" t="s">
        <v>128</v>
      </c>
      <c r="G354" t="s">
        <v>301</v>
      </c>
      <c r="I354" t="s">
        <v>298</v>
      </c>
      <c r="J354" t="s">
        <v>299</v>
      </c>
      <c r="K354" s="4" t="s">
        <v>304</v>
      </c>
      <c r="L354" t="str">
        <f t="shared" si="10"/>
        <v>"Nottoway County School Board"</v>
      </c>
      <c r="M354" t="s">
        <v>302</v>
      </c>
      <c r="N354" t="s">
        <v>303</v>
      </c>
      <c r="O354" s="4" t="s">
        <v>300</v>
      </c>
      <c r="P354" t="str">
        <f t="shared" si="11"/>
        <v>"40167"</v>
      </c>
    </row>
    <row r="355" spans="1:16" x14ac:dyDescent="0.2">
      <c r="A355" t="s">
        <v>301</v>
      </c>
      <c r="B355" s="5" t="s">
        <v>96</v>
      </c>
      <c r="C355" t="s">
        <v>301</v>
      </c>
      <c r="E355" s="4" t="s">
        <v>301</v>
      </c>
      <c r="F355" t="s">
        <v>129</v>
      </c>
      <c r="G355" t="s">
        <v>301</v>
      </c>
      <c r="I355" t="s">
        <v>298</v>
      </c>
      <c r="J355" t="s">
        <v>299</v>
      </c>
      <c r="K355" s="4" t="s">
        <v>304</v>
      </c>
      <c r="L355" t="str">
        <f t="shared" si="10"/>
        <v>"Orange County Public Schools"</v>
      </c>
      <c r="M355" t="s">
        <v>302</v>
      </c>
      <c r="N355" t="s">
        <v>303</v>
      </c>
      <c r="O355" s="4" t="s">
        <v>300</v>
      </c>
      <c r="P355" t="str">
        <f t="shared" si="11"/>
        <v>"40168"</v>
      </c>
    </row>
    <row r="356" spans="1:16" x14ac:dyDescent="0.2">
      <c r="A356" t="s">
        <v>301</v>
      </c>
      <c r="B356" s="5" t="s">
        <v>130</v>
      </c>
      <c r="C356" t="s">
        <v>301</v>
      </c>
      <c r="E356" s="4" t="s">
        <v>301</v>
      </c>
      <c r="F356" t="s">
        <v>163</v>
      </c>
      <c r="G356" t="s">
        <v>301</v>
      </c>
      <c r="I356" t="s">
        <v>298</v>
      </c>
      <c r="J356" t="s">
        <v>299</v>
      </c>
      <c r="K356" s="4" t="s">
        <v>304</v>
      </c>
      <c r="L356" t="str">
        <f t="shared" si="10"/>
        <v>"Page County Public Schools"</v>
      </c>
      <c r="M356" t="s">
        <v>302</v>
      </c>
      <c r="N356" t="s">
        <v>303</v>
      </c>
      <c r="O356" s="4" t="s">
        <v>300</v>
      </c>
      <c r="P356" t="str">
        <f t="shared" si="11"/>
        <v>"40169"</v>
      </c>
    </row>
    <row r="357" spans="1:16" x14ac:dyDescent="0.2">
      <c r="A357" t="s">
        <v>301</v>
      </c>
      <c r="B357" s="5" t="s">
        <v>131</v>
      </c>
      <c r="C357" t="s">
        <v>301</v>
      </c>
      <c r="E357" s="4" t="s">
        <v>301</v>
      </c>
      <c r="F357" t="s">
        <v>164</v>
      </c>
      <c r="G357" t="s">
        <v>301</v>
      </c>
      <c r="I357" t="s">
        <v>298</v>
      </c>
      <c r="J357" t="s">
        <v>299</v>
      </c>
      <c r="K357" s="4" t="s">
        <v>304</v>
      </c>
      <c r="L357" t="str">
        <f t="shared" si="10"/>
        <v>"Patrick County School Board"</v>
      </c>
      <c r="M357" t="s">
        <v>302</v>
      </c>
      <c r="N357" t="s">
        <v>303</v>
      </c>
      <c r="O357" s="4" t="s">
        <v>300</v>
      </c>
      <c r="P357" t="str">
        <f t="shared" si="11"/>
        <v>"40170"</v>
      </c>
    </row>
    <row r="358" spans="1:16" x14ac:dyDescent="0.2">
      <c r="A358" t="s">
        <v>301</v>
      </c>
      <c r="B358" s="5" t="s">
        <v>132</v>
      </c>
      <c r="C358" t="s">
        <v>301</v>
      </c>
      <c r="E358" s="4" t="s">
        <v>301</v>
      </c>
      <c r="F358" t="s">
        <v>165</v>
      </c>
      <c r="G358" t="s">
        <v>301</v>
      </c>
      <c r="I358" t="s">
        <v>298</v>
      </c>
      <c r="J358" t="s">
        <v>299</v>
      </c>
      <c r="K358" s="4" t="s">
        <v>304</v>
      </c>
      <c r="L358" t="str">
        <f t="shared" si="10"/>
        <v>"Pittsylvania County School Board"</v>
      </c>
      <c r="M358" t="s">
        <v>302</v>
      </c>
      <c r="N358" t="s">
        <v>303</v>
      </c>
      <c r="O358" s="4" t="s">
        <v>300</v>
      </c>
      <c r="P358" t="str">
        <f t="shared" si="11"/>
        <v>"40171"</v>
      </c>
    </row>
    <row r="359" spans="1:16" x14ac:dyDescent="0.2">
      <c r="A359" t="s">
        <v>301</v>
      </c>
      <c r="B359" s="5" t="s">
        <v>133</v>
      </c>
      <c r="C359" t="s">
        <v>301</v>
      </c>
      <c r="E359" s="4" t="s">
        <v>301</v>
      </c>
      <c r="F359" t="s">
        <v>166</v>
      </c>
      <c r="G359" t="s">
        <v>301</v>
      </c>
      <c r="I359" t="s">
        <v>298</v>
      </c>
      <c r="J359" t="s">
        <v>299</v>
      </c>
      <c r="K359" s="4" t="s">
        <v>304</v>
      </c>
      <c r="L359" t="str">
        <f t="shared" si="10"/>
        <v>"Powhatan County School Board"</v>
      </c>
      <c r="M359" t="s">
        <v>302</v>
      </c>
      <c r="N359" t="s">
        <v>303</v>
      </c>
      <c r="O359" s="4" t="s">
        <v>300</v>
      </c>
      <c r="P359" t="str">
        <f t="shared" si="11"/>
        <v>"40172"</v>
      </c>
    </row>
    <row r="360" spans="1:16" x14ac:dyDescent="0.2">
      <c r="A360" t="s">
        <v>301</v>
      </c>
      <c r="B360" s="5" t="s">
        <v>134</v>
      </c>
      <c r="C360" t="s">
        <v>301</v>
      </c>
      <c r="E360" s="4" t="s">
        <v>301</v>
      </c>
      <c r="F360" t="s">
        <v>167</v>
      </c>
      <c r="G360" t="s">
        <v>301</v>
      </c>
      <c r="I360" t="s">
        <v>298</v>
      </c>
      <c r="J360" t="s">
        <v>299</v>
      </c>
      <c r="K360" s="4" t="s">
        <v>304</v>
      </c>
      <c r="L360" t="str">
        <f t="shared" si="10"/>
        <v>"Prince Edward County School Board"</v>
      </c>
      <c r="M360" t="s">
        <v>302</v>
      </c>
      <c r="N360" t="s">
        <v>303</v>
      </c>
      <c r="O360" s="4" t="s">
        <v>300</v>
      </c>
      <c r="P360" t="str">
        <f t="shared" si="11"/>
        <v>"40173"</v>
      </c>
    </row>
    <row r="361" spans="1:16" x14ac:dyDescent="0.2">
      <c r="A361" t="s">
        <v>301</v>
      </c>
      <c r="B361" s="5" t="s">
        <v>135</v>
      </c>
      <c r="C361" t="s">
        <v>301</v>
      </c>
      <c r="E361" s="4" t="s">
        <v>301</v>
      </c>
      <c r="F361" t="s">
        <v>168</v>
      </c>
      <c r="G361" t="s">
        <v>301</v>
      </c>
      <c r="I361" t="s">
        <v>298</v>
      </c>
      <c r="J361" t="s">
        <v>299</v>
      </c>
      <c r="K361" s="4" t="s">
        <v>304</v>
      </c>
      <c r="L361" t="str">
        <f t="shared" si="10"/>
        <v>"Prince George County School Board"</v>
      </c>
      <c r="M361" t="s">
        <v>302</v>
      </c>
      <c r="N361" t="s">
        <v>303</v>
      </c>
      <c r="O361" s="4" t="s">
        <v>300</v>
      </c>
      <c r="P361" t="str">
        <f t="shared" si="11"/>
        <v>"40174"</v>
      </c>
    </row>
    <row r="362" spans="1:16" x14ac:dyDescent="0.2">
      <c r="A362" t="s">
        <v>301</v>
      </c>
      <c r="B362" s="5" t="s">
        <v>136</v>
      </c>
      <c r="C362" t="s">
        <v>301</v>
      </c>
      <c r="E362" s="4" t="s">
        <v>301</v>
      </c>
      <c r="F362" t="s">
        <v>169</v>
      </c>
      <c r="G362" t="s">
        <v>301</v>
      </c>
      <c r="I362" t="s">
        <v>298</v>
      </c>
      <c r="J362" t="s">
        <v>299</v>
      </c>
      <c r="K362" s="4" t="s">
        <v>304</v>
      </c>
      <c r="L362" t="str">
        <f t="shared" si="10"/>
        <v>"Prince William County School Board"</v>
      </c>
      <c r="M362" t="s">
        <v>302</v>
      </c>
      <c r="N362" t="s">
        <v>303</v>
      </c>
      <c r="O362" s="4" t="s">
        <v>300</v>
      </c>
      <c r="P362" t="str">
        <f t="shared" si="11"/>
        <v>"40176"</v>
      </c>
    </row>
    <row r="363" spans="1:16" x14ac:dyDescent="0.2">
      <c r="A363" t="s">
        <v>301</v>
      </c>
      <c r="B363" s="5" t="s">
        <v>137</v>
      </c>
      <c r="C363" t="s">
        <v>301</v>
      </c>
      <c r="E363" s="4" t="s">
        <v>301</v>
      </c>
      <c r="F363" t="s">
        <v>170</v>
      </c>
      <c r="G363" t="s">
        <v>301</v>
      </c>
      <c r="I363" t="s">
        <v>298</v>
      </c>
      <c r="J363" t="s">
        <v>299</v>
      </c>
      <c r="K363" s="4" t="s">
        <v>304</v>
      </c>
      <c r="L363" t="str">
        <f t="shared" si="10"/>
        <v>"Pulaski County School Board"</v>
      </c>
      <c r="M363" t="s">
        <v>302</v>
      </c>
      <c r="N363" t="s">
        <v>303</v>
      </c>
      <c r="O363" s="4" t="s">
        <v>300</v>
      </c>
      <c r="P363" t="str">
        <f t="shared" si="11"/>
        <v>"40177"</v>
      </c>
    </row>
    <row r="364" spans="1:16" x14ac:dyDescent="0.2">
      <c r="A364" t="s">
        <v>301</v>
      </c>
      <c r="B364" s="5" t="s">
        <v>138</v>
      </c>
      <c r="C364" t="s">
        <v>301</v>
      </c>
      <c r="E364" s="4" t="s">
        <v>301</v>
      </c>
      <c r="F364" t="s">
        <v>171</v>
      </c>
      <c r="G364" t="s">
        <v>301</v>
      </c>
      <c r="I364" t="s">
        <v>298</v>
      </c>
      <c r="J364" t="s">
        <v>299</v>
      </c>
      <c r="K364" s="4" t="s">
        <v>304</v>
      </c>
      <c r="L364" t="str">
        <f t="shared" si="10"/>
        <v>"Rappahannock County School Board"</v>
      </c>
      <c r="M364" t="s">
        <v>302</v>
      </c>
      <c r="N364" t="s">
        <v>303</v>
      </c>
      <c r="O364" s="4" t="s">
        <v>300</v>
      </c>
      <c r="P364" t="str">
        <f t="shared" si="11"/>
        <v>"40178"</v>
      </c>
    </row>
    <row r="365" spans="1:16" x14ac:dyDescent="0.2">
      <c r="A365" t="s">
        <v>301</v>
      </c>
      <c r="B365" s="5" t="s">
        <v>139</v>
      </c>
      <c r="C365" t="s">
        <v>301</v>
      </c>
      <c r="E365" s="4" t="s">
        <v>301</v>
      </c>
      <c r="F365" t="s">
        <v>172</v>
      </c>
      <c r="G365" t="s">
        <v>301</v>
      </c>
      <c r="I365" t="s">
        <v>298</v>
      </c>
      <c r="J365" t="s">
        <v>299</v>
      </c>
      <c r="K365" s="4" t="s">
        <v>304</v>
      </c>
      <c r="L365" t="str">
        <f t="shared" si="10"/>
        <v>"Richmond County School Board"</v>
      </c>
      <c r="M365" t="s">
        <v>302</v>
      </c>
      <c r="N365" t="s">
        <v>303</v>
      </c>
      <c r="O365" s="4" t="s">
        <v>300</v>
      </c>
      <c r="P365" t="str">
        <f t="shared" si="11"/>
        <v>"40179"</v>
      </c>
    </row>
    <row r="366" spans="1:16" x14ac:dyDescent="0.2">
      <c r="A366" t="s">
        <v>301</v>
      </c>
      <c r="B366" s="5" t="s">
        <v>140</v>
      </c>
      <c r="C366" t="s">
        <v>301</v>
      </c>
      <c r="E366" s="4" t="s">
        <v>301</v>
      </c>
      <c r="F366" t="s">
        <v>173</v>
      </c>
      <c r="G366" t="s">
        <v>301</v>
      </c>
      <c r="I366" t="s">
        <v>298</v>
      </c>
      <c r="J366" t="s">
        <v>299</v>
      </c>
      <c r="K366" s="4" t="s">
        <v>304</v>
      </c>
      <c r="L366" t="str">
        <f t="shared" si="10"/>
        <v>"Roanoke County School Board"</v>
      </c>
      <c r="M366" t="s">
        <v>302</v>
      </c>
      <c r="N366" t="s">
        <v>303</v>
      </c>
      <c r="O366" s="4" t="s">
        <v>300</v>
      </c>
      <c r="P366" t="str">
        <f t="shared" si="11"/>
        <v>"40180"</v>
      </c>
    </row>
    <row r="367" spans="1:16" x14ac:dyDescent="0.2">
      <c r="A367" t="s">
        <v>301</v>
      </c>
      <c r="B367" s="5" t="s">
        <v>141</v>
      </c>
      <c r="C367" t="s">
        <v>301</v>
      </c>
      <c r="E367" s="4" t="s">
        <v>301</v>
      </c>
      <c r="F367" t="s">
        <v>174</v>
      </c>
      <c r="G367" t="s">
        <v>301</v>
      </c>
      <c r="I367" t="s">
        <v>298</v>
      </c>
      <c r="J367" t="s">
        <v>299</v>
      </c>
      <c r="K367" s="4" t="s">
        <v>304</v>
      </c>
      <c r="L367" t="str">
        <f t="shared" si="10"/>
        <v>"Rockbridge County School Board"</v>
      </c>
      <c r="M367" t="s">
        <v>302</v>
      </c>
      <c r="N367" t="s">
        <v>303</v>
      </c>
      <c r="O367" s="4" t="s">
        <v>300</v>
      </c>
      <c r="P367" t="str">
        <f t="shared" si="11"/>
        <v>"40181"</v>
      </c>
    </row>
    <row r="368" spans="1:16" x14ac:dyDescent="0.2">
      <c r="A368" t="s">
        <v>301</v>
      </c>
      <c r="B368" s="5" t="s">
        <v>142</v>
      </c>
      <c r="C368" t="s">
        <v>301</v>
      </c>
      <c r="E368" s="4" t="s">
        <v>301</v>
      </c>
      <c r="F368" t="s">
        <v>175</v>
      </c>
      <c r="G368" t="s">
        <v>301</v>
      </c>
      <c r="I368" t="s">
        <v>298</v>
      </c>
      <c r="J368" t="s">
        <v>299</v>
      </c>
      <c r="K368" s="4" t="s">
        <v>304</v>
      </c>
      <c r="L368" t="str">
        <f t="shared" si="10"/>
        <v>"Rockingham County School Board"</v>
      </c>
      <c r="M368" t="s">
        <v>302</v>
      </c>
      <c r="N368" t="s">
        <v>303</v>
      </c>
      <c r="O368" s="4" t="s">
        <v>300</v>
      </c>
      <c r="P368" t="str">
        <f t="shared" si="11"/>
        <v>"40182"</v>
      </c>
    </row>
    <row r="369" spans="1:16" x14ac:dyDescent="0.2">
      <c r="A369" t="s">
        <v>301</v>
      </c>
      <c r="B369" s="5" t="s">
        <v>143</v>
      </c>
      <c r="C369" t="s">
        <v>301</v>
      </c>
      <c r="E369" s="4" t="s">
        <v>301</v>
      </c>
      <c r="F369" t="s">
        <v>176</v>
      </c>
      <c r="G369" t="s">
        <v>301</v>
      </c>
      <c r="I369" t="s">
        <v>298</v>
      </c>
      <c r="J369" t="s">
        <v>299</v>
      </c>
      <c r="K369" s="4" t="s">
        <v>304</v>
      </c>
      <c r="L369" t="str">
        <f t="shared" si="10"/>
        <v>"Russell County School Board"</v>
      </c>
      <c r="M369" t="s">
        <v>302</v>
      </c>
      <c r="N369" t="s">
        <v>303</v>
      </c>
      <c r="O369" s="4" t="s">
        <v>300</v>
      </c>
      <c r="P369" t="str">
        <f t="shared" si="11"/>
        <v>"40183"</v>
      </c>
    </row>
    <row r="370" spans="1:16" x14ac:dyDescent="0.2">
      <c r="A370" t="s">
        <v>301</v>
      </c>
      <c r="B370" s="5" t="s">
        <v>144</v>
      </c>
      <c r="C370" t="s">
        <v>301</v>
      </c>
      <c r="E370" s="4" t="s">
        <v>301</v>
      </c>
      <c r="F370" t="s">
        <v>177</v>
      </c>
      <c r="G370" t="s">
        <v>301</v>
      </c>
      <c r="I370" t="s">
        <v>298</v>
      </c>
      <c r="J370" t="s">
        <v>299</v>
      </c>
      <c r="K370" s="4" t="s">
        <v>304</v>
      </c>
      <c r="L370" t="str">
        <f t="shared" si="10"/>
        <v>"Scott County School Board"</v>
      </c>
      <c r="M370" t="s">
        <v>302</v>
      </c>
      <c r="N370" t="s">
        <v>303</v>
      </c>
      <c r="O370" s="4" t="s">
        <v>300</v>
      </c>
      <c r="P370" t="str">
        <f t="shared" si="11"/>
        <v>"40184"</v>
      </c>
    </row>
    <row r="371" spans="1:16" x14ac:dyDescent="0.2">
      <c r="A371" t="s">
        <v>301</v>
      </c>
      <c r="B371" s="5" t="s">
        <v>145</v>
      </c>
      <c r="C371" t="s">
        <v>301</v>
      </c>
      <c r="E371" s="4" t="s">
        <v>301</v>
      </c>
      <c r="F371" t="s">
        <v>178</v>
      </c>
      <c r="G371" t="s">
        <v>301</v>
      </c>
      <c r="I371" t="s">
        <v>298</v>
      </c>
      <c r="J371" t="s">
        <v>299</v>
      </c>
      <c r="K371" s="4" t="s">
        <v>304</v>
      </c>
      <c r="L371" t="str">
        <f t="shared" si="10"/>
        <v>"Shenandoah County School Board"</v>
      </c>
      <c r="M371" t="s">
        <v>302</v>
      </c>
      <c r="N371" t="s">
        <v>303</v>
      </c>
      <c r="O371" s="4" t="s">
        <v>300</v>
      </c>
      <c r="P371" t="str">
        <f t="shared" si="11"/>
        <v>"40185"</v>
      </c>
    </row>
    <row r="372" spans="1:16" x14ac:dyDescent="0.2">
      <c r="A372" t="s">
        <v>301</v>
      </c>
      <c r="B372" s="5" t="s">
        <v>146</v>
      </c>
      <c r="C372" t="s">
        <v>301</v>
      </c>
      <c r="E372" s="4" t="s">
        <v>301</v>
      </c>
      <c r="F372" t="s">
        <v>179</v>
      </c>
      <c r="G372" t="s">
        <v>301</v>
      </c>
      <c r="I372" t="s">
        <v>298</v>
      </c>
      <c r="J372" t="s">
        <v>299</v>
      </c>
      <c r="K372" s="4" t="s">
        <v>304</v>
      </c>
      <c r="L372" t="str">
        <f t="shared" si="10"/>
        <v>"Smyth County School Board"</v>
      </c>
      <c r="M372" t="s">
        <v>302</v>
      </c>
      <c r="N372" t="s">
        <v>303</v>
      </c>
      <c r="O372" s="4" t="s">
        <v>300</v>
      </c>
      <c r="P372" t="str">
        <f t="shared" si="11"/>
        <v>"40186"</v>
      </c>
    </row>
    <row r="373" spans="1:16" x14ac:dyDescent="0.2">
      <c r="A373" t="s">
        <v>301</v>
      </c>
      <c r="B373" s="5" t="s">
        <v>147</v>
      </c>
      <c r="C373" t="s">
        <v>301</v>
      </c>
      <c r="E373" s="4" t="s">
        <v>301</v>
      </c>
      <c r="F373" t="s">
        <v>180</v>
      </c>
      <c r="G373" t="s">
        <v>301</v>
      </c>
      <c r="I373" t="s">
        <v>298</v>
      </c>
      <c r="J373" t="s">
        <v>299</v>
      </c>
      <c r="K373" s="4" t="s">
        <v>304</v>
      </c>
      <c r="L373" t="str">
        <f t="shared" si="10"/>
        <v>"Southampton County School Board"</v>
      </c>
      <c r="M373" t="s">
        <v>302</v>
      </c>
      <c r="N373" t="s">
        <v>303</v>
      </c>
      <c r="O373" s="4" t="s">
        <v>300</v>
      </c>
      <c r="P373" t="str">
        <f t="shared" si="11"/>
        <v>"40187"</v>
      </c>
    </row>
    <row r="374" spans="1:16" x14ac:dyDescent="0.2">
      <c r="A374" t="s">
        <v>301</v>
      </c>
      <c r="B374" s="5" t="s">
        <v>148</v>
      </c>
      <c r="C374" t="s">
        <v>301</v>
      </c>
      <c r="E374" s="4" t="s">
        <v>301</v>
      </c>
      <c r="F374" t="s">
        <v>181</v>
      </c>
      <c r="G374" t="s">
        <v>301</v>
      </c>
      <c r="I374" t="s">
        <v>298</v>
      </c>
      <c r="J374" t="s">
        <v>299</v>
      </c>
      <c r="K374" s="4" t="s">
        <v>304</v>
      </c>
      <c r="L374" t="str">
        <f t="shared" si="10"/>
        <v>"Spotsylvania County School Board"</v>
      </c>
      <c r="M374" t="s">
        <v>302</v>
      </c>
      <c r="N374" t="s">
        <v>303</v>
      </c>
      <c r="O374" s="4" t="s">
        <v>300</v>
      </c>
      <c r="P374" t="str">
        <f t="shared" si="11"/>
        <v>"40188"</v>
      </c>
    </row>
    <row r="375" spans="1:16" x14ac:dyDescent="0.2">
      <c r="A375" t="s">
        <v>301</v>
      </c>
      <c r="B375" s="5" t="s">
        <v>149</v>
      </c>
      <c r="C375" t="s">
        <v>301</v>
      </c>
      <c r="E375" s="4" t="s">
        <v>301</v>
      </c>
      <c r="F375" t="s">
        <v>182</v>
      </c>
      <c r="G375" t="s">
        <v>301</v>
      </c>
      <c r="I375" t="s">
        <v>298</v>
      </c>
      <c r="J375" t="s">
        <v>299</v>
      </c>
      <c r="K375" s="4" t="s">
        <v>304</v>
      </c>
      <c r="L375" t="str">
        <f t="shared" si="10"/>
        <v>"Stafford County School Board"</v>
      </c>
      <c r="M375" t="s">
        <v>302</v>
      </c>
      <c r="N375" t="s">
        <v>303</v>
      </c>
      <c r="O375" s="4" t="s">
        <v>300</v>
      </c>
      <c r="P375" t="str">
        <f t="shared" si="11"/>
        <v>"40189"</v>
      </c>
    </row>
    <row r="376" spans="1:16" x14ac:dyDescent="0.2">
      <c r="A376" t="s">
        <v>301</v>
      </c>
      <c r="B376" s="5" t="s">
        <v>150</v>
      </c>
      <c r="C376" t="s">
        <v>301</v>
      </c>
      <c r="E376" s="4" t="s">
        <v>301</v>
      </c>
      <c r="F376" t="s">
        <v>183</v>
      </c>
      <c r="G376" t="s">
        <v>301</v>
      </c>
      <c r="I376" t="s">
        <v>298</v>
      </c>
      <c r="J376" t="s">
        <v>299</v>
      </c>
      <c r="K376" s="4" t="s">
        <v>304</v>
      </c>
      <c r="L376" t="str">
        <f t="shared" si="10"/>
        <v>"Surry County Schools"</v>
      </c>
      <c r="M376" t="s">
        <v>302</v>
      </c>
      <c r="N376" t="s">
        <v>303</v>
      </c>
      <c r="O376" s="4" t="s">
        <v>300</v>
      </c>
      <c r="P376" t="str">
        <f t="shared" si="11"/>
        <v>"40190"</v>
      </c>
    </row>
    <row r="377" spans="1:16" x14ac:dyDescent="0.2">
      <c r="A377" t="s">
        <v>301</v>
      </c>
      <c r="B377" s="5" t="s">
        <v>151</v>
      </c>
      <c r="C377" t="s">
        <v>301</v>
      </c>
      <c r="E377" s="4" t="s">
        <v>301</v>
      </c>
      <c r="F377" t="s">
        <v>184</v>
      </c>
      <c r="G377" t="s">
        <v>301</v>
      </c>
      <c r="I377" t="s">
        <v>298</v>
      </c>
      <c r="J377" t="s">
        <v>299</v>
      </c>
      <c r="K377" s="4" t="s">
        <v>304</v>
      </c>
      <c r="L377" t="str">
        <f t="shared" si="10"/>
        <v>"Sussex County School Board"</v>
      </c>
      <c r="M377" t="s">
        <v>302</v>
      </c>
      <c r="N377" t="s">
        <v>303</v>
      </c>
      <c r="O377" s="4" t="s">
        <v>300</v>
      </c>
      <c r="P377" t="str">
        <f t="shared" si="11"/>
        <v>"40191"</v>
      </c>
    </row>
    <row r="378" spans="1:16" x14ac:dyDescent="0.2">
      <c r="A378" t="s">
        <v>301</v>
      </c>
      <c r="B378" s="5" t="s">
        <v>152</v>
      </c>
      <c r="C378" t="s">
        <v>301</v>
      </c>
      <c r="E378" s="4" t="s">
        <v>301</v>
      </c>
      <c r="F378" t="s">
        <v>185</v>
      </c>
      <c r="G378" t="s">
        <v>301</v>
      </c>
      <c r="I378" t="s">
        <v>298</v>
      </c>
      <c r="J378" t="s">
        <v>299</v>
      </c>
      <c r="K378" s="4" t="s">
        <v>304</v>
      </c>
      <c r="L378" t="str">
        <f t="shared" si="10"/>
        <v>"Tazewell County Schools"</v>
      </c>
      <c r="M378" t="s">
        <v>302</v>
      </c>
      <c r="N378" t="s">
        <v>303</v>
      </c>
      <c r="O378" s="4" t="s">
        <v>300</v>
      </c>
      <c r="P378" t="str">
        <f t="shared" si="11"/>
        <v>"40192"</v>
      </c>
    </row>
    <row r="379" spans="1:16" x14ac:dyDescent="0.2">
      <c r="A379" t="s">
        <v>301</v>
      </c>
      <c r="B379" s="5" t="s">
        <v>153</v>
      </c>
      <c r="C379" t="s">
        <v>301</v>
      </c>
      <c r="E379" s="4" t="s">
        <v>301</v>
      </c>
      <c r="F379" t="s">
        <v>186</v>
      </c>
      <c r="G379" t="s">
        <v>301</v>
      </c>
      <c r="I379" t="s">
        <v>298</v>
      </c>
      <c r="J379" t="s">
        <v>299</v>
      </c>
      <c r="K379" s="4" t="s">
        <v>304</v>
      </c>
      <c r="L379" t="str">
        <f t="shared" si="10"/>
        <v>"Warren County School Board"</v>
      </c>
      <c r="M379" t="s">
        <v>302</v>
      </c>
      <c r="N379" t="s">
        <v>303</v>
      </c>
      <c r="O379" s="4" t="s">
        <v>300</v>
      </c>
      <c r="P379" t="str">
        <f t="shared" si="11"/>
        <v>"40193"</v>
      </c>
    </row>
    <row r="380" spans="1:16" x14ac:dyDescent="0.2">
      <c r="A380" t="s">
        <v>301</v>
      </c>
      <c r="B380" s="5" t="s">
        <v>154</v>
      </c>
      <c r="C380" t="s">
        <v>301</v>
      </c>
      <c r="E380" s="4" t="s">
        <v>301</v>
      </c>
      <c r="F380" t="s">
        <v>187</v>
      </c>
      <c r="G380" t="s">
        <v>301</v>
      </c>
      <c r="I380" t="s">
        <v>298</v>
      </c>
      <c r="J380" t="s">
        <v>299</v>
      </c>
      <c r="K380" s="4" t="s">
        <v>304</v>
      </c>
      <c r="L380" t="str">
        <f t="shared" si="10"/>
        <v>"Washington County School Board"</v>
      </c>
      <c r="M380" t="s">
        <v>302</v>
      </c>
      <c r="N380" t="s">
        <v>303</v>
      </c>
      <c r="O380" s="4" t="s">
        <v>300</v>
      </c>
      <c r="P380" t="str">
        <f t="shared" si="11"/>
        <v>"40195"</v>
      </c>
    </row>
    <row r="381" spans="1:16" x14ac:dyDescent="0.2">
      <c r="A381" t="s">
        <v>301</v>
      </c>
      <c r="B381" s="5" t="s">
        <v>155</v>
      </c>
      <c r="C381" t="s">
        <v>301</v>
      </c>
      <c r="E381" s="4" t="s">
        <v>301</v>
      </c>
      <c r="F381" t="s">
        <v>188</v>
      </c>
      <c r="G381" t="s">
        <v>301</v>
      </c>
      <c r="I381" t="s">
        <v>298</v>
      </c>
      <c r="J381" t="s">
        <v>299</v>
      </c>
      <c r="K381" s="4" t="s">
        <v>304</v>
      </c>
      <c r="L381" t="str">
        <f t="shared" si="10"/>
        <v>"Westmoreland County School Board"</v>
      </c>
      <c r="M381" t="s">
        <v>302</v>
      </c>
      <c r="N381" t="s">
        <v>303</v>
      </c>
      <c r="O381" s="4" t="s">
        <v>300</v>
      </c>
      <c r="P381" t="str">
        <f t="shared" si="11"/>
        <v>"40196"</v>
      </c>
    </row>
    <row r="382" spans="1:16" x14ac:dyDescent="0.2">
      <c r="A382" t="s">
        <v>301</v>
      </c>
      <c r="B382" s="5" t="s">
        <v>156</v>
      </c>
      <c r="C382" t="s">
        <v>301</v>
      </c>
      <c r="E382" s="4" t="s">
        <v>301</v>
      </c>
      <c r="F382" t="s">
        <v>189</v>
      </c>
      <c r="G382" t="s">
        <v>301</v>
      </c>
      <c r="I382" t="s">
        <v>298</v>
      </c>
      <c r="J382" t="s">
        <v>299</v>
      </c>
      <c r="K382" s="4" t="s">
        <v>304</v>
      </c>
      <c r="L382" t="str">
        <f t="shared" si="10"/>
        <v>"Wise County School Board"</v>
      </c>
      <c r="M382" t="s">
        <v>302</v>
      </c>
      <c r="N382" t="s">
        <v>303</v>
      </c>
      <c r="O382" s="4" t="s">
        <v>300</v>
      </c>
      <c r="P382" t="str">
        <f t="shared" si="11"/>
        <v>"40197"</v>
      </c>
    </row>
    <row r="383" spans="1:16" x14ac:dyDescent="0.2">
      <c r="A383" t="s">
        <v>301</v>
      </c>
      <c r="B383" s="5" t="s">
        <v>157</v>
      </c>
      <c r="C383" t="s">
        <v>301</v>
      </c>
      <c r="E383" s="4" t="s">
        <v>301</v>
      </c>
      <c r="F383" t="s">
        <v>190</v>
      </c>
      <c r="G383" t="s">
        <v>301</v>
      </c>
      <c r="I383" t="s">
        <v>298</v>
      </c>
      <c r="J383" t="s">
        <v>299</v>
      </c>
      <c r="K383" s="4" t="s">
        <v>304</v>
      </c>
      <c r="L383" t="str">
        <f t="shared" si="10"/>
        <v>"Wythe County School Board"</v>
      </c>
      <c r="M383" t="s">
        <v>302</v>
      </c>
      <c r="N383" t="s">
        <v>303</v>
      </c>
      <c r="O383" s="4" t="s">
        <v>300</v>
      </c>
      <c r="P383" t="str">
        <f t="shared" si="11"/>
        <v>"40198"</v>
      </c>
    </row>
    <row r="384" spans="1:16" x14ac:dyDescent="0.2">
      <c r="A384" t="s">
        <v>301</v>
      </c>
      <c r="B384" s="5" t="s">
        <v>158</v>
      </c>
      <c r="C384" t="s">
        <v>301</v>
      </c>
      <c r="E384" s="4" t="s">
        <v>301</v>
      </c>
      <c r="F384" t="s">
        <v>191</v>
      </c>
      <c r="G384" t="s">
        <v>301</v>
      </c>
      <c r="I384" t="s">
        <v>298</v>
      </c>
      <c r="J384" t="s">
        <v>299</v>
      </c>
      <c r="K384" s="4" t="s">
        <v>304</v>
      </c>
      <c r="L384" t="str">
        <f t="shared" si="10"/>
        <v>"York County School Board"</v>
      </c>
      <c r="M384" t="s">
        <v>302</v>
      </c>
      <c r="N384" t="s">
        <v>303</v>
      </c>
      <c r="O384" s="4" t="s">
        <v>300</v>
      </c>
      <c r="P384" t="str">
        <f t="shared" si="11"/>
        <v>"40199"</v>
      </c>
    </row>
    <row r="385" spans="1:16" x14ac:dyDescent="0.2">
      <c r="A385" t="s">
        <v>301</v>
      </c>
      <c r="B385" s="5" t="s">
        <v>159</v>
      </c>
      <c r="C385" t="s">
        <v>301</v>
      </c>
      <c r="E385" s="4" t="s">
        <v>301</v>
      </c>
      <c r="F385" t="s">
        <v>192</v>
      </c>
      <c r="G385" t="s">
        <v>301</v>
      </c>
      <c r="I385" t="s">
        <v>298</v>
      </c>
      <c r="J385" t="s">
        <v>299</v>
      </c>
      <c r="K385" s="4" t="s">
        <v>304</v>
      </c>
      <c r="L385" t="str">
        <f t="shared" si="10"/>
        <v>"Alexandria City School Board"</v>
      </c>
      <c r="M385" t="s">
        <v>302</v>
      </c>
      <c r="N385" t="s">
        <v>303</v>
      </c>
      <c r="O385" s="4" t="s">
        <v>300</v>
      </c>
      <c r="P385" t="str">
        <f t="shared" si="11"/>
        <v>"40200"</v>
      </c>
    </row>
    <row r="386" spans="1:16" x14ac:dyDescent="0.2">
      <c r="A386" t="s">
        <v>301</v>
      </c>
      <c r="B386" s="5" t="s">
        <v>160</v>
      </c>
      <c r="C386" t="s">
        <v>301</v>
      </c>
      <c r="E386" s="4" t="s">
        <v>301</v>
      </c>
      <c r="F386" t="s">
        <v>193</v>
      </c>
      <c r="G386" t="s">
        <v>301</v>
      </c>
      <c r="I386" t="s">
        <v>298</v>
      </c>
      <c r="J386" t="s">
        <v>299</v>
      </c>
      <c r="K386" s="4" t="s">
        <v>304</v>
      </c>
      <c r="L386" t="str">
        <f t="shared" ref="L386:L449" si="12">_xlfn.TEXTJOIN("",TRUE,A386:C386)</f>
        <v>"Bristol City School Board"</v>
      </c>
      <c r="M386" t="s">
        <v>302</v>
      </c>
      <c r="N386" t="s">
        <v>303</v>
      </c>
      <c r="O386" s="4" t="s">
        <v>300</v>
      </c>
      <c r="P386" t="str">
        <f t="shared" ref="P386:P449" si="13">_xlfn.TEXTJOIN("",TRUE,E386:G386)</f>
        <v>"40201"</v>
      </c>
    </row>
    <row r="387" spans="1:16" x14ac:dyDescent="0.2">
      <c r="A387" t="s">
        <v>301</v>
      </c>
      <c r="B387" s="5" t="s">
        <v>161</v>
      </c>
      <c r="C387" t="s">
        <v>301</v>
      </c>
      <c r="E387" s="4" t="s">
        <v>301</v>
      </c>
      <c r="F387" t="s">
        <v>194</v>
      </c>
      <c r="G387" t="s">
        <v>301</v>
      </c>
      <c r="I387" t="s">
        <v>298</v>
      </c>
      <c r="J387" t="s">
        <v>299</v>
      </c>
      <c r="K387" s="4" t="s">
        <v>304</v>
      </c>
      <c r="L387" t="str">
        <f t="shared" si="12"/>
        <v>"Buena Vista City Schools"</v>
      </c>
      <c r="M387" t="s">
        <v>302</v>
      </c>
      <c r="N387" t="s">
        <v>303</v>
      </c>
      <c r="O387" s="4" t="s">
        <v>300</v>
      </c>
      <c r="P387" t="str">
        <f t="shared" si="13"/>
        <v>"40202"</v>
      </c>
    </row>
    <row r="388" spans="1:16" x14ac:dyDescent="0.2">
      <c r="A388" t="s">
        <v>301</v>
      </c>
      <c r="B388" s="5" t="s">
        <v>162</v>
      </c>
      <c r="C388" t="s">
        <v>301</v>
      </c>
      <c r="E388" s="4" t="s">
        <v>301</v>
      </c>
      <c r="F388" t="s">
        <v>195</v>
      </c>
      <c r="G388" t="s">
        <v>301</v>
      </c>
      <c r="I388" t="s">
        <v>298</v>
      </c>
      <c r="J388" t="s">
        <v>299</v>
      </c>
      <c r="K388" s="4" t="s">
        <v>304</v>
      </c>
      <c r="L388" t="str">
        <f t="shared" si="12"/>
        <v>"Charlottesville Public Schools"</v>
      </c>
      <c r="M388" t="s">
        <v>302</v>
      </c>
      <c r="N388" t="s">
        <v>303</v>
      </c>
      <c r="O388" s="4" t="s">
        <v>300</v>
      </c>
      <c r="P388" t="str">
        <f t="shared" si="13"/>
        <v>"40203"</v>
      </c>
    </row>
    <row r="389" spans="1:16" x14ac:dyDescent="0.2">
      <c r="A389" t="s">
        <v>301</v>
      </c>
      <c r="B389" s="5" t="s">
        <v>196</v>
      </c>
      <c r="C389" t="s">
        <v>301</v>
      </c>
      <c r="E389" s="4" t="s">
        <v>301</v>
      </c>
      <c r="F389" t="s">
        <v>229</v>
      </c>
      <c r="G389" t="s">
        <v>301</v>
      </c>
      <c r="I389" t="s">
        <v>298</v>
      </c>
      <c r="J389" t="s">
        <v>299</v>
      </c>
      <c r="K389" s="4" t="s">
        <v>304</v>
      </c>
      <c r="L389" t="str">
        <f t="shared" si="12"/>
        <v>"Danville City Schools"</v>
      </c>
      <c r="M389" t="s">
        <v>302</v>
      </c>
      <c r="N389" t="s">
        <v>303</v>
      </c>
      <c r="O389" s="4" t="s">
        <v>300</v>
      </c>
      <c r="P389" t="str">
        <f t="shared" si="13"/>
        <v>"40205"</v>
      </c>
    </row>
    <row r="390" spans="1:16" x14ac:dyDescent="0.2">
      <c r="A390" t="s">
        <v>301</v>
      </c>
      <c r="B390" s="5" t="s">
        <v>197</v>
      </c>
      <c r="C390" t="s">
        <v>301</v>
      </c>
      <c r="E390" s="4" t="s">
        <v>301</v>
      </c>
      <c r="F390" t="s">
        <v>230</v>
      </c>
      <c r="G390" t="s">
        <v>301</v>
      </c>
      <c r="I390" t="s">
        <v>298</v>
      </c>
      <c r="J390" t="s">
        <v>299</v>
      </c>
      <c r="K390" s="4" t="s">
        <v>304</v>
      </c>
      <c r="L390" t="str">
        <f t="shared" si="12"/>
        <v>"Fredericksburg City Schools"</v>
      </c>
      <c r="M390" t="s">
        <v>302</v>
      </c>
      <c r="N390" t="s">
        <v>303</v>
      </c>
      <c r="O390" s="4" t="s">
        <v>300</v>
      </c>
      <c r="P390" t="str">
        <f t="shared" si="13"/>
        <v>"40206"</v>
      </c>
    </row>
    <row r="391" spans="1:16" x14ac:dyDescent="0.2">
      <c r="A391" t="s">
        <v>301</v>
      </c>
      <c r="B391" s="5" t="s">
        <v>198</v>
      </c>
      <c r="C391" t="s">
        <v>301</v>
      </c>
      <c r="E391" s="4" t="s">
        <v>301</v>
      </c>
      <c r="F391" t="s">
        <v>231</v>
      </c>
      <c r="G391" t="s">
        <v>301</v>
      </c>
      <c r="I391" t="s">
        <v>298</v>
      </c>
      <c r="J391" t="s">
        <v>299</v>
      </c>
      <c r="K391" s="4" t="s">
        <v>304</v>
      </c>
      <c r="L391" t="str">
        <f t="shared" si="12"/>
        <v>"Hampton City Schools"</v>
      </c>
      <c r="M391" t="s">
        <v>302</v>
      </c>
      <c r="N391" t="s">
        <v>303</v>
      </c>
      <c r="O391" s="4" t="s">
        <v>300</v>
      </c>
      <c r="P391" t="str">
        <f t="shared" si="13"/>
        <v>"40207"</v>
      </c>
    </row>
    <row r="392" spans="1:16" x14ac:dyDescent="0.2">
      <c r="A392" t="s">
        <v>301</v>
      </c>
      <c r="B392" s="5" t="s">
        <v>199</v>
      </c>
      <c r="C392" t="s">
        <v>301</v>
      </c>
      <c r="E392" s="4" t="s">
        <v>301</v>
      </c>
      <c r="F392" t="s">
        <v>232</v>
      </c>
      <c r="G392" t="s">
        <v>301</v>
      </c>
      <c r="I392" t="s">
        <v>298</v>
      </c>
      <c r="J392" t="s">
        <v>299</v>
      </c>
      <c r="K392" s="4" t="s">
        <v>304</v>
      </c>
      <c r="L392" t="str">
        <f t="shared" si="12"/>
        <v>"Harrisonburg City School Board"</v>
      </c>
      <c r="M392" t="s">
        <v>302</v>
      </c>
      <c r="N392" t="s">
        <v>303</v>
      </c>
      <c r="O392" s="4" t="s">
        <v>300</v>
      </c>
      <c r="P392" t="str">
        <f t="shared" si="13"/>
        <v>"40208"</v>
      </c>
    </row>
    <row r="393" spans="1:16" x14ac:dyDescent="0.2">
      <c r="A393" t="s">
        <v>301</v>
      </c>
      <c r="B393" s="5" t="s">
        <v>200</v>
      </c>
      <c r="C393" t="s">
        <v>301</v>
      </c>
      <c r="E393" s="4" t="s">
        <v>301</v>
      </c>
      <c r="F393" t="s">
        <v>233</v>
      </c>
      <c r="G393" t="s">
        <v>301</v>
      </c>
      <c r="I393" t="s">
        <v>298</v>
      </c>
      <c r="J393" t="s">
        <v>299</v>
      </c>
      <c r="K393" s="4" t="s">
        <v>304</v>
      </c>
      <c r="L393" t="str">
        <f t="shared" si="12"/>
        <v>"Hopewell City School Board"</v>
      </c>
      <c r="M393" t="s">
        <v>302</v>
      </c>
      <c r="N393" t="s">
        <v>303</v>
      </c>
      <c r="O393" s="4" t="s">
        <v>300</v>
      </c>
      <c r="P393" t="str">
        <f t="shared" si="13"/>
        <v>"40209"</v>
      </c>
    </row>
    <row r="394" spans="1:16" x14ac:dyDescent="0.2">
      <c r="A394" t="s">
        <v>301</v>
      </c>
      <c r="B394" s="5" t="s">
        <v>201</v>
      </c>
      <c r="C394" t="s">
        <v>301</v>
      </c>
      <c r="E394" s="4" t="s">
        <v>301</v>
      </c>
      <c r="F394" t="s">
        <v>234</v>
      </c>
      <c r="G394" t="s">
        <v>301</v>
      </c>
      <c r="I394" t="s">
        <v>298</v>
      </c>
      <c r="J394" t="s">
        <v>299</v>
      </c>
      <c r="K394" s="4" t="s">
        <v>304</v>
      </c>
      <c r="L394" t="str">
        <f t="shared" si="12"/>
        <v>"Lynchburg Public Schools"</v>
      </c>
      <c r="M394" t="s">
        <v>302</v>
      </c>
      <c r="N394" t="s">
        <v>303</v>
      </c>
      <c r="O394" s="4" t="s">
        <v>300</v>
      </c>
      <c r="P394" t="str">
        <f t="shared" si="13"/>
        <v>"40210"</v>
      </c>
    </row>
    <row r="395" spans="1:16" x14ac:dyDescent="0.2">
      <c r="A395" t="s">
        <v>301</v>
      </c>
      <c r="B395" s="5" t="s">
        <v>202</v>
      </c>
      <c r="C395" t="s">
        <v>301</v>
      </c>
      <c r="E395" s="4" t="s">
        <v>301</v>
      </c>
      <c r="F395" t="s">
        <v>235</v>
      </c>
      <c r="G395" t="s">
        <v>301</v>
      </c>
      <c r="I395" t="s">
        <v>298</v>
      </c>
      <c r="J395" t="s">
        <v>299</v>
      </c>
      <c r="K395" s="4" t="s">
        <v>304</v>
      </c>
      <c r="L395" t="str">
        <f t="shared" si="12"/>
        <v>"Newport News Public Schools"</v>
      </c>
      <c r="M395" t="s">
        <v>302</v>
      </c>
      <c r="N395" t="s">
        <v>303</v>
      </c>
      <c r="O395" s="4" t="s">
        <v>300</v>
      </c>
      <c r="P395" t="str">
        <f t="shared" si="13"/>
        <v>"40211"</v>
      </c>
    </row>
    <row r="396" spans="1:16" x14ac:dyDescent="0.2">
      <c r="A396" t="s">
        <v>301</v>
      </c>
      <c r="B396" s="5" t="s">
        <v>203</v>
      </c>
      <c r="C396" t="s">
        <v>301</v>
      </c>
      <c r="E396" s="4" t="s">
        <v>301</v>
      </c>
      <c r="F396" t="s">
        <v>236</v>
      </c>
      <c r="G396" t="s">
        <v>301</v>
      </c>
      <c r="I396" t="s">
        <v>298</v>
      </c>
      <c r="J396" t="s">
        <v>299</v>
      </c>
      <c r="K396" s="4" t="s">
        <v>304</v>
      </c>
      <c r="L396" t="str">
        <f t="shared" si="12"/>
        <v>"Norfolk Public Schools"</v>
      </c>
      <c r="M396" t="s">
        <v>302</v>
      </c>
      <c r="N396" t="s">
        <v>303</v>
      </c>
      <c r="O396" s="4" t="s">
        <v>300</v>
      </c>
      <c r="P396" t="str">
        <f t="shared" si="13"/>
        <v>"40212"</v>
      </c>
    </row>
    <row r="397" spans="1:16" x14ac:dyDescent="0.2">
      <c r="A397" t="s">
        <v>301</v>
      </c>
      <c r="B397" s="5" t="s">
        <v>204</v>
      </c>
      <c r="C397" t="s">
        <v>301</v>
      </c>
      <c r="E397" s="4" t="s">
        <v>301</v>
      </c>
      <c r="F397" t="s">
        <v>237</v>
      </c>
      <c r="G397" t="s">
        <v>301</v>
      </c>
      <c r="I397" t="s">
        <v>298</v>
      </c>
      <c r="J397" t="s">
        <v>299</v>
      </c>
      <c r="K397" s="4" t="s">
        <v>304</v>
      </c>
      <c r="L397" t="str">
        <f t="shared" si="12"/>
        <v>"Petersburg City Schools"</v>
      </c>
      <c r="M397" t="s">
        <v>302</v>
      </c>
      <c r="N397" t="s">
        <v>303</v>
      </c>
      <c r="O397" s="4" t="s">
        <v>300</v>
      </c>
      <c r="P397" t="str">
        <f t="shared" si="13"/>
        <v>"40213"</v>
      </c>
    </row>
    <row r="398" spans="1:16" x14ac:dyDescent="0.2">
      <c r="A398" t="s">
        <v>301</v>
      </c>
      <c r="B398" s="5" t="s">
        <v>205</v>
      </c>
      <c r="C398" t="s">
        <v>301</v>
      </c>
      <c r="E398" s="4" t="s">
        <v>301</v>
      </c>
      <c r="F398" t="s">
        <v>238</v>
      </c>
      <c r="G398" t="s">
        <v>301</v>
      </c>
      <c r="I398" t="s">
        <v>298</v>
      </c>
      <c r="J398" t="s">
        <v>299</v>
      </c>
      <c r="K398" s="4" t="s">
        <v>304</v>
      </c>
      <c r="L398" t="str">
        <f t="shared" si="12"/>
        <v>"Portsmouth School Board"</v>
      </c>
      <c r="M398" t="s">
        <v>302</v>
      </c>
      <c r="N398" t="s">
        <v>303</v>
      </c>
      <c r="O398" s="4" t="s">
        <v>300</v>
      </c>
      <c r="P398" t="str">
        <f t="shared" si="13"/>
        <v>"40214"</v>
      </c>
    </row>
    <row r="399" spans="1:16" x14ac:dyDescent="0.2">
      <c r="A399" t="s">
        <v>301</v>
      </c>
      <c r="B399" s="5" t="s">
        <v>206</v>
      </c>
      <c r="C399" t="s">
        <v>301</v>
      </c>
      <c r="E399" s="4" t="s">
        <v>301</v>
      </c>
      <c r="F399" t="s">
        <v>239</v>
      </c>
      <c r="G399" t="s">
        <v>301</v>
      </c>
      <c r="I399" t="s">
        <v>298</v>
      </c>
      <c r="J399" t="s">
        <v>299</v>
      </c>
      <c r="K399" s="4" t="s">
        <v>304</v>
      </c>
      <c r="L399" t="str">
        <f t="shared" si="12"/>
        <v>"Radford City School Board"</v>
      </c>
      <c r="M399" t="s">
        <v>302</v>
      </c>
      <c r="N399" t="s">
        <v>303</v>
      </c>
      <c r="O399" s="4" t="s">
        <v>300</v>
      </c>
      <c r="P399" t="str">
        <f t="shared" si="13"/>
        <v>"40215"</v>
      </c>
    </row>
    <row r="400" spans="1:16" x14ac:dyDescent="0.2">
      <c r="A400" t="s">
        <v>301</v>
      </c>
      <c r="B400" s="5" t="s">
        <v>207</v>
      </c>
      <c r="C400" t="s">
        <v>301</v>
      </c>
      <c r="E400" s="4" t="s">
        <v>301</v>
      </c>
      <c r="F400" t="s">
        <v>240</v>
      </c>
      <c r="G400" t="s">
        <v>301</v>
      </c>
      <c r="I400" t="s">
        <v>298</v>
      </c>
      <c r="J400" t="s">
        <v>299</v>
      </c>
      <c r="K400" s="4" t="s">
        <v>304</v>
      </c>
      <c r="L400" t="str">
        <f t="shared" si="12"/>
        <v>"Richmond Public Schools"</v>
      </c>
      <c r="M400" t="s">
        <v>302</v>
      </c>
      <c r="N400" t="s">
        <v>303</v>
      </c>
      <c r="O400" s="4" t="s">
        <v>300</v>
      </c>
      <c r="P400" t="str">
        <f t="shared" si="13"/>
        <v>"40216"</v>
      </c>
    </row>
    <row r="401" spans="1:16" x14ac:dyDescent="0.2">
      <c r="A401" t="s">
        <v>301</v>
      </c>
      <c r="B401" s="5" t="s">
        <v>208</v>
      </c>
      <c r="C401" t="s">
        <v>301</v>
      </c>
      <c r="E401" s="4" t="s">
        <v>301</v>
      </c>
      <c r="F401" t="s">
        <v>241</v>
      </c>
      <c r="G401" t="s">
        <v>301</v>
      </c>
      <c r="I401" t="s">
        <v>298</v>
      </c>
      <c r="J401" t="s">
        <v>299</v>
      </c>
      <c r="K401" s="4" t="s">
        <v>304</v>
      </c>
      <c r="L401" t="str">
        <f t="shared" si="12"/>
        <v>"Roanoke City School Board"</v>
      </c>
      <c r="M401" t="s">
        <v>302</v>
      </c>
      <c r="N401" t="s">
        <v>303</v>
      </c>
      <c r="O401" s="4" t="s">
        <v>300</v>
      </c>
      <c r="P401" t="str">
        <f t="shared" si="13"/>
        <v>"40217"</v>
      </c>
    </row>
    <row r="402" spans="1:16" x14ac:dyDescent="0.2">
      <c r="A402" t="s">
        <v>301</v>
      </c>
      <c r="B402" s="5" t="s">
        <v>209</v>
      </c>
      <c r="C402" t="s">
        <v>301</v>
      </c>
      <c r="E402" s="4" t="s">
        <v>301</v>
      </c>
      <c r="F402" t="s">
        <v>242</v>
      </c>
      <c r="G402" t="s">
        <v>301</v>
      </c>
      <c r="I402" t="s">
        <v>298</v>
      </c>
      <c r="J402" t="s">
        <v>299</v>
      </c>
      <c r="K402" s="4" t="s">
        <v>304</v>
      </c>
      <c r="L402" t="str">
        <f t="shared" si="12"/>
        <v>"Staunton City Schools"</v>
      </c>
      <c r="M402" t="s">
        <v>302</v>
      </c>
      <c r="N402" t="s">
        <v>303</v>
      </c>
      <c r="O402" s="4" t="s">
        <v>300</v>
      </c>
      <c r="P402" t="str">
        <f t="shared" si="13"/>
        <v>"40219"</v>
      </c>
    </row>
    <row r="403" spans="1:16" x14ac:dyDescent="0.2">
      <c r="A403" t="s">
        <v>301</v>
      </c>
      <c r="B403" s="5" t="s">
        <v>210</v>
      </c>
      <c r="C403" t="s">
        <v>301</v>
      </c>
      <c r="E403" s="4" t="s">
        <v>301</v>
      </c>
      <c r="F403" t="s">
        <v>243</v>
      </c>
      <c r="G403" t="s">
        <v>301</v>
      </c>
      <c r="I403" t="s">
        <v>298</v>
      </c>
      <c r="J403" t="s">
        <v>299</v>
      </c>
      <c r="K403" s="4" t="s">
        <v>304</v>
      </c>
      <c r="L403" t="str">
        <f t="shared" si="12"/>
        <v>"Suffolk City School Board"</v>
      </c>
      <c r="M403" t="s">
        <v>302</v>
      </c>
      <c r="N403" t="s">
        <v>303</v>
      </c>
      <c r="O403" s="4" t="s">
        <v>300</v>
      </c>
      <c r="P403" t="str">
        <f t="shared" si="13"/>
        <v>"40220"</v>
      </c>
    </row>
    <row r="404" spans="1:16" x14ac:dyDescent="0.2">
      <c r="A404" t="s">
        <v>301</v>
      </c>
      <c r="B404" s="5" t="s">
        <v>211</v>
      </c>
      <c r="C404" t="s">
        <v>301</v>
      </c>
      <c r="E404" s="4" t="s">
        <v>301</v>
      </c>
      <c r="F404" t="s">
        <v>244</v>
      </c>
      <c r="G404" t="s">
        <v>301</v>
      </c>
      <c r="I404" t="s">
        <v>298</v>
      </c>
      <c r="J404" t="s">
        <v>299</v>
      </c>
      <c r="K404" s="4" t="s">
        <v>304</v>
      </c>
      <c r="L404" t="str">
        <f t="shared" si="12"/>
        <v>"Winchester Public Schools"</v>
      </c>
      <c r="M404" t="s">
        <v>302</v>
      </c>
      <c r="N404" t="s">
        <v>303</v>
      </c>
      <c r="O404" s="4" t="s">
        <v>300</v>
      </c>
      <c r="P404" t="str">
        <f t="shared" si="13"/>
        <v>"40222"</v>
      </c>
    </row>
    <row r="405" spans="1:16" x14ac:dyDescent="0.2">
      <c r="A405" t="s">
        <v>301</v>
      </c>
      <c r="B405" s="5" t="s">
        <v>212</v>
      </c>
      <c r="C405" t="s">
        <v>301</v>
      </c>
      <c r="E405" s="4" t="s">
        <v>301</v>
      </c>
      <c r="F405" t="s">
        <v>245</v>
      </c>
      <c r="G405" t="s">
        <v>301</v>
      </c>
      <c r="I405" t="s">
        <v>298</v>
      </c>
      <c r="J405" t="s">
        <v>299</v>
      </c>
      <c r="K405" s="4" t="s">
        <v>304</v>
      </c>
      <c r="L405" t="str">
        <f t="shared" si="12"/>
        <v>"Martinsville City Schools"</v>
      </c>
      <c r="M405" t="s">
        <v>302</v>
      </c>
      <c r="N405" t="s">
        <v>303</v>
      </c>
      <c r="O405" s="4" t="s">
        <v>300</v>
      </c>
      <c r="P405" t="str">
        <f t="shared" si="13"/>
        <v>"40223"</v>
      </c>
    </row>
    <row r="406" spans="1:16" x14ac:dyDescent="0.2">
      <c r="A406" t="s">
        <v>301</v>
      </c>
      <c r="B406" s="5" t="s">
        <v>213</v>
      </c>
      <c r="C406" t="s">
        <v>301</v>
      </c>
      <c r="E406" s="4" t="s">
        <v>301</v>
      </c>
      <c r="F406" t="s">
        <v>246</v>
      </c>
      <c r="G406" t="s">
        <v>301</v>
      </c>
      <c r="I406" t="s">
        <v>298</v>
      </c>
      <c r="J406" t="s">
        <v>299</v>
      </c>
      <c r="K406" s="4" t="s">
        <v>304</v>
      </c>
      <c r="L406" t="str">
        <f t="shared" si="12"/>
        <v>"Falls Church Public Schools"</v>
      </c>
      <c r="M406" t="s">
        <v>302</v>
      </c>
      <c r="N406" t="s">
        <v>303</v>
      </c>
      <c r="O406" s="4" t="s">
        <v>300</v>
      </c>
      <c r="P406" t="str">
        <f t="shared" si="13"/>
        <v>"40224"</v>
      </c>
    </row>
    <row r="407" spans="1:16" x14ac:dyDescent="0.2">
      <c r="A407" t="s">
        <v>301</v>
      </c>
      <c r="B407" s="5" t="s">
        <v>214</v>
      </c>
      <c r="C407" t="s">
        <v>301</v>
      </c>
      <c r="E407" s="4" t="s">
        <v>301</v>
      </c>
      <c r="F407" t="s">
        <v>247</v>
      </c>
      <c r="G407" t="s">
        <v>301</v>
      </c>
      <c r="I407" t="s">
        <v>298</v>
      </c>
      <c r="J407" t="s">
        <v>299</v>
      </c>
      <c r="K407" s="4" t="s">
        <v>304</v>
      </c>
      <c r="L407" t="str">
        <f t="shared" si="12"/>
        <v>"Colonial Heights City Schools"</v>
      </c>
      <c r="M407" t="s">
        <v>302</v>
      </c>
      <c r="N407" t="s">
        <v>303</v>
      </c>
      <c r="O407" s="4" t="s">
        <v>300</v>
      </c>
      <c r="P407" t="str">
        <f t="shared" si="13"/>
        <v>"40225"</v>
      </c>
    </row>
    <row r="408" spans="1:16" x14ac:dyDescent="0.2">
      <c r="A408" t="s">
        <v>301</v>
      </c>
      <c r="B408" s="5" t="s">
        <v>215</v>
      </c>
      <c r="C408" t="s">
        <v>301</v>
      </c>
      <c r="E408" s="4" t="s">
        <v>301</v>
      </c>
      <c r="F408" t="s">
        <v>248</v>
      </c>
      <c r="G408" t="s">
        <v>301</v>
      </c>
      <c r="I408" t="s">
        <v>298</v>
      </c>
      <c r="J408" t="s">
        <v>299</v>
      </c>
      <c r="K408" s="4" t="s">
        <v>304</v>
      </c>
      <c r="L408" t="str">
        <f t="shared" si="12"/>
        <v>"Covington City School Board"</v>
      </c>
      <c r="M408" t="s">
        <v>302</v>
      </c>
      <c r="N408" t="s">
        <v>303</v>
      </c>
      <c r="O408" s="4" t="s">
        <v>300</v>
      </c>
      <c r="P408" t="str">
        <f t="shared" si="13"/>
        <v>"40230"</v>
      </c>
    </row>
    <row r="409" spans="1:16" x14ac:dyDescent="0.2">
      <c r="A409" t="s">
        <v>301</v>
      </c>
      <c r="B409" s="5" t="s">
        <v>216</v>
      </c>
      <c r="C409" t="s">
        <v>301</v>
      </c>
      <c r="E409" s="4" t="s">
        <v>301</v>
      </c>
      <c r="F409" t="s">
        <v>249</v>
      </c>
      <c r="G409" t="s">
        <v>301</v>
      </c>
      <c r="I409" t="s">
        <v>298</v>
      </c>
      <c r="J409" t="s">
        <v>299</v>
      </c>
      <c r="K409" s="4" t="s">
        <v>304</v>
      </c>
      <c r="L409" t="str">
        <f t="shared" si="12"/>
        <v>"Fairfax City School Board"</v>
      </c>
      <c r="M409" t="s">
        <v>302</v>
      </c>
      <c r="N409" t="s">
        <v>303</v>
      </c>
      <c r="O409" s="4" t="s">
        <v>300</v>
      </c>
      <c r="P409" t="str">
        <f t="shared" si="13"/>
        <v>"40231"</v>
      </c>
    </row>
    <row r="410" spans="1:16" x14ac:dyDescent="0.2">
      <c r="A410" t="s">
        <v>301</v>
      </c>
      <c r="B410" s="5" t="s">
        <v>217</v>
      </c>
      <c r="C410" t="s">
        <v>301</v>
      </c>
      <c r="E410" s="4" t="s">
        <v>301</v>
      </c>
      <c r="F410" t="s">
        <v>250</v>
      </c>
      <c r="G410" t="s">
        <v>301</v>
      </c>
      <c r="I410" t="s">
        <v>298</v>
      </c>
      <c r="J410" t="s">
        <v>299</v>
      </c>
      <c r="K410" s="4" t="s">
        <v>304</v>
      </c>
      <c r="L410" t="str">
        <f t="shared" si="12"/>
        <v>"Franklin City Public Schools"</v>
      </c>
      <c r="M410" t="s">
        <v>302</v>
      </c>
      <c r="N410" t="s">
        <v>303</v>
      </c>
      <c r="O410" s="4" t="s">
        <v>300</v>
      </c>
      <c r="P410" t="str">
        <f t="shared" si="13"/>
        <v>"40232"</v>
      </c>
    </row>
    <row r="411" spans="1:16" x14ac:dyDescent="0.2">
      <c r="A411" t="s">
        <v>301</v>
      </c>
      <c r="B411" s="5" t="s">
        <v>218</v>
      </c>
      <c r="C411" t="s">
        <v>301</v>
      </c>
      <c r="E411" s="4" t="s">
        <v>301</v>
      </c>
      <c r="F411" t="s">
        <v>251</v>
      </c>
      <c r="G411" t="s">
        <v>301</v>
      </c>
      <c r="I411" t="s">
        <v>298</v>
      </c>
      <c r="J411" t="s">
        <v>299</v>
      </c>
      <c r="K411" s="4" t="s">
        <v>304</v>
      </c>
      <c r="L411" t="str">
        <f t="shared" si="12"/>
        <v>"Chesapeake Public Schools"</v>
      </c>
      <c r="M411" t="s">
        <v>302</v>
      </c>
      <c r="N411" t="s">
        <v>303</v>
      </c>
      <c r="O411" s="4" t="s">
        <v>300</v>
      </c>
      <c r="P411" t="str">
        <f t="shared" si="13"/>
        <v>"40233"</v>
      </c>
    </row>
    <row r="412" spans="1:16" x14ac:dyDescent="0.2">
      <c r="A412" t="s">
        <v>301</v>
      </c>
      <c r="B412" s="5" t="s">
        <v>219</v>
      </c>
      <c r="C412" t="s">
        <v>301</v>
      </c>
      <c r="E412" s="4" t="s">
        <v>301</v>
      </c>
      <c r="F412" t="s">
        <v>252</v>
      </c>
      <c r="G412" t="s">
        <v>301</v>
      </c>
      <c r="I412" t="s">
        <v>298</v>
      </c>
      <c r="J412" t="s">
        <v>299</v>
      </c>
      <c r="K412" s="4" t="s">
        <v>304</v>
      </c>
      <c r="L412" t="str">
        <f t="shared" si="12"/>
        <v>"Virginia Beach City School Board"</v>
      </c>
      <c r="M412" t="s">
        <v>302</v>
      </c>
      <c r="N412" t="s">
        <v>303</v>
      </c>
      <c r="O412" s="4" t="s">
        <v>300</v>
      </c>
      <c r="P412" t="str">
        <f t="shared" si="13"/>
        <v>"40234"</v>
      </c>
    </row>
    <row r="413" spans="1:16" x14ac:dyDescent="0.2">
      <c r="A413" t="s">
        <v>301</v>
      </c>
      <c r="B413" s="5" t="s">
        <v>220</v>
      </c>
      <c r="C413" t="s">
        <v>301</v>
      </c>
      <c r="E413" s="4" t="s">
        <v>301</v>
      </c>
      <c r="F413" t="s">
        <v>253</v>
      </c>
      <c r="G413" t="s">
        <v>301</v>
      </c>
      <c r="I413" t="s">
        <v>298</v>
      </c>
      <c r="J413" t="s">
        <v>299</v>
      </c>
      <c r="K413" s="4" t="s">
        <v>304</v>
      </c>
      <c r="L413" t="str">
        <f t="shared" si="12"/>
        <v>"Manassas Park City Schools"</v>
      </c>
      <c r="M413" t="s">
        <v>302</v>
      </c>
      <c r="N413" t="s">
        <v>303</v>
      </c>
      <c r="O413" s="4" t="s">
        <v>300</v>
      </c>
      <c r="P413" t="str">
        <f t="shared" si="13"/>
        <v>"40236"</v>
      </c>
    </row>
    <row r="414" spans="1:16" x14ac:dyDescent="0.2">
      <c r="A414" t="s">
        <v>301</v>
      </c>
      <c r="B414" s="5" t="s">
        <v>221</v>
      </c>
      <c r="C414" t="s">
        <v>301</v>
      </c>
      <c r="E414" s="4" t="s">
        <v>301</v>
      </c>
      <c r="F414" t="s">
        <v>254</v>
      </c>
      <c r="G414" t="s">
        <v>301</v>
      </c>
      <c r="I414" t="s">
        <v>298</v>
      </c>
      <c r="J414" t="s">
        <v>299</v>
      </c>
      <c r="K414" s="4" t="s">
        <v>304</v>
      </c>
      <c r="L414" t="str">
        <f t="shared" si="12"/>
        <v>"Town of West Point School Board"</v>
      </c>
      <c r="M414" t="s">
        <v>302</v>
      </c>
      <c r="N414" t="s">
        <v>303</v>
      </c>
      <c r="O414" s="4" t="s">
        <v>300</v>
      </c>
      <c r="P414" t="str">
        <f t="shared" si="13"/>
        <v>"40306"</v>
      </c>
    </row>
    <row r="415" spans="1:16" x14ac:dyDescent="0.2">
      <c r="A415" t="s">
        <v>301</v>
      </c>
      <c r="B415" s="5" t="s">
        <v>222</v>
      </c>
      <c r="C415" t="s">
        <v>301</v>
      </c>
      <c r="E415" s="4" t="s">
        <v>301</v>
      </c>
      <c r="F415" t="s">
        <v>255</v>
      </c>
      <c r="G415" t="s">
        <v>301</v>
      </c>
      <c r="I415" t="s">
        <v>298</v>
      </c>
      <c r="J415" t="s">
        <v>299</v>
      </c>
      <c r="K415" s="4" t="s">
        <v>304</v>
      </c>
      <c r="L415" t="str">
        <f t="shared" si="12"/>
        <v>"Lexington City School Board"</v>
      </c>
      <c r="M415" t="s">
        <v>302</v>
      </c>
      <c r="N415" t="s">
        <v>303</v>
      </c>
      <c r="O415" s="4" t="s">
        <v>300</v>
      </c>
      <c r="P415" t="str">
        <f t="shared" si="13"/>
        <v>"40307"</v>
      </c>
    </row>
    <row r="416" spans="1:16" x14ac:dyDescent="0.2">
      <c r="A416" t="s">
        <v>301</v>
      </c>
      <c r="B416" s="5" t="s">
        <v>223</v>
      </c>
      <c r="C416" t="s">
        <v>301</v>
      </c>
      <c r="E416" s="4" t="s">
        <v>301</v>
      </c>
      <c r="F416" t="s">
        <v>256</v>
      </c>
      <c r="G416" t="s">
        <v>301</v>
      </c>
      <c r="I416" t="s">
        <v>298</v>
      </c>
      <c r="J416" t="s">
        <v>299</v>
      </c>
      <c r="K416" s="4" t="s">
        <v>304</v>
      </c>
      <c r="L416" t="str">
        <f t="shared" si="12"/>
        <v>"Waynesboro Public Schools"</v>
      </c>
      <c r="M416" t="s">
        <v>302</v>
      </c>
      <c r="N416" t="s">
        <v>303</v>
      </c>
      <c r="O416" s="4" t="s">
        <v>300</v>
      </c>
      <c r="P416" t="str">
        <f t="shared" si="13"/>
        <v>"40308"</v>
      </c>
    </row>
    <row r="417" spans="1:16" x14ac:dyDescent="0.2">
      <c r="A417" t="s">
        <v>301</v>
      </c>
      <c r="B417" s="5" t="s">
        <v>224</v>
      </c>
      <c r="C417" t="s">
        <v>301</v>
      </c>
      <c r="E417" s="4" t="s">
        <v>301</v>
      </c>
      <c r="F417" t="s">
        <v>257</v>
      </c>
      <c r="G417" t="s">
        <v>301</v>
      </c>
      <c r="I417" t="s">
        <v>298</v>
      </c>
      <c r="J417" t="s">
        <v>299</v>
      </c>
      <c r="K417" s="4" t="s">
        <v>304</v>
      </c>
      <c r="L417" t="str">
        <f t="shared" si="12"/>
        <v>"Town of Colonial Beach Schools"</v>
      </c>
      <c r="M417" t="s">
        <v>302</v>
      </c>
      <c r="N417" t="s">
        <v>303</v>
      </c>
      <c r="O417" s="4" t="s">
        <v>300</v>
      </c>
      <c r="P417" t="str">
        <f t="shared" si="13"/>
        <v>"40309"</v>
      </c>
    </row>
    <row r="418" spans="1:16" x14ac:dyDescent="0.2">
      <c r="A418" t="s">
        <v>301</v>
      </c>
      <c r="B418" s="5" t="s">
        <v>225</v>
      </c>
      <c r="C418" t="s">
        <v>301</v>
      </c>
      <c r="E418" s="4" t="s">
        <v>301</v>
      </c>
      <c r="F418" t="s">
        <v>258</v>
      </c>
      <c r="G418" t="s">
        <v>301</v>
      </c>
      <c r="I418" t="s">
        <v>298</v>
      </c>
      <c r="J418" t="s">
        <v>299</v>
      </c>
      <c r="K418" s="4" t="s">
        <v>304</v>
      </c>
      <c r="L418" t="str">
        <f t="shared" si="12"/>
        <v>"Galax City Schools"</v>
      </c>
      <c r="M418" t="s">
        <v>302</v>
      </c>
      <c r="N418" t="s">
        <v>303</v>
      </c>
      <c r="O418" s="4" t="s">
        <v>300</v>
      </c>
      <c r="P418" t="str">
        <f t="shared" si="13"/>
        <v>"40313"</v>
      </c>
    </row>
    <row r="419" spans="1:16" x14ac:dyDescent="0.2">
      <c r="A419" t="s">
        <v>301</v>
      </c>
      <c r="B419" s="5" t="s">
        <v>226</v>
      </c>
      <c r="C419" t="s">
        <v>301</v>
      </c>
      <c r="E419" s="4" t="s">
        <v>301</v>
      </c>
      <c r="F419" t="s">
        <v>259</v>
      </c>
      <c r="G419" t="s">
        <v>301</v>
      </c>
      <c r="I419" t="s">
        <v>298</v>
      </c>
      <c r="J419" t="s">
        <v>299</v>
      </c>
      <c r="K419" s="4" t="s">
        <v>304</v>
      </c>
      <c r="L419" t="str">
        <f t="shared" si="12"/>
        <v>"Norton City Schools"</v>
      </c>
      <c r="M419" t="s">
        <v>302</v>
      </c>
      <c r="N419" t="s">
        <v>303</v>
      </c>
      <c r="O419" s="4" t="s">
        <v>300</v>
      </c>
      <c r="P419" t="str">
        <f t="shared" si="13"/>
        <v>"40314"</v>
      </c>
    </row>
    <row r="420" spans="1:16" x14ac:dyDescent="0.2">
      <c r="A420" t="s">
        <v>301</v>
      </c>
      <c r="B420" s="5" t="s">
        <v>227</v>
      </c>
      <c r="C420" t="s">
        <v>301</v>
      </c>
      <c r="E420" s="4" t="s">
        <v>301</v>
      </c>
      <c r="F420" t="s">
        <v>260</v>
      </c>
      <c r="G420" t="s">
        <v>301</v>
      </c>
      <c r="I420" t="s">
        <v>298</v>
      </c>
      <c r="J420" t="s">
        <v>299</v>
      </c>
      <c r="K420" s="4" t="s">
        <v>304</v>
      </c>
      <c r="L420" t="str">
        <f t="shared" si="12"/>
        <v>"Manassas City Schools"</v>
      </c>
      <c r="M420" t="s">
        <v>302</v>
      </c>
      <c r="N420" t="s">
        <v>303</v>
      </c>
      <c r="O420" s="4" t="s">
        <v>300</v>
      </c>
      <c r="P420" t="str">
        <f t="shared" si="13"/>
        <v>"40332"</v>
      </c>
    </row>
    <row r="421" spans="1:16" x14ac:dyDescent="0.2">
      <c r="A421" t="s">
        <v>301</v>
      </c>
      <c r="B421" s="5" t="s">
        <v>228</v>
      </c>
      <c r="C421" t="s">
        <v>301</v>
      </c>
      <c r="E421" s="4" t="s">
        <v>301</v>
      </c>
      <c r="F421" t="s">
        <v>261</v>
      </c>
      <c r="G421" t="s">
        <v>301</v>
      </c>
      <c r="I421" t="s">
        <v>298</v>
      </c>
      <c r="J421" t="s">
        <v>299</v>
      </c>
      <c r="K421" s="4" t="s">
        <v>304</v>
      </c>
      <c r="L421" t="str">
        <f t="shared" si="12"/>
        <v>"City of Salem Schools"</v>
      </c>
      <c r="M421" t="s">
        <v>302</v>
      </c>
      <c r="N421" t="s">
        <v>303</v>
      </c>
      <c r="O421" s="4" t="s">
        <v>300</v>
      </c>
      <c r="P421" t="str">
        <f t="shared" si="13"/>
        <v>"40335"</v>
      </c>
    </row>
    <row r="422" spans="1:16" x14ac:dyDescent="0.2">
      <c r="A422" t="s">
        <v>301</v>
      </c>
      <c r="B422" s="5" t="s">
        <v>294</v>
      </c>
      <c r="C422" t="s">
        <v>301</v>
      </c>
      <c r="E422" s="4" t="s">
        <v>301</v>
      </c>
      <c r="F422" t="s">
        <v>276</v>
      </c>
      <c r="G422" t="s">
        <v>301</v>
      </c>
      <c r="I422" t="s">
        <v>298</v>
      </c>
      <c r="J422" t="s">
        <v>299</v>
      </c>
      <c r="K422" s="4" t="s">
        <v>304</v>
      </c>
      <c r="L422" t="str">
        <f t="shared" si="12"/>
        <v>"Williamsburg-James City County School Board"</v>
      </c>
      <c r="M422" t="s">
        <v>302</v>
      </c>
      <c r="N422" t="s">
        <v>303</v>
      </c>
      <c r="O422" s="4" t="s">
        <v>300</v>
      </c>
      <c r="P422" t="str">
        <f t="shared" si="13"/>
        <v>"40402"</v>
      </c>
    </row>
    <row r="423" spans="1:16" x14ac:dyDescent="0.2">
      <c r="A423" t="s">
        <v>301</v>
      </c>
      <c r="B423" s="5" t="s">
        <v>263</v>
      </c>
      <c r="C423" t="s">
        <v>301</v>
      </c>
      <c r="E423" s="4" t="s">
        <v>301</v>
      </c>
      <c r="F423" t="s">
        <v>277</v>
      </c>
      <c r="G423" t="s">
        <v>301</v>
      </c>
      <c r="I423" t="s">
        <v>298</v>
      </c>
      <c r="J423" t="s">
        <v>299</v>
      </c>
      <c r="K423" s="4" t="s">
        <v>304</v>
      </c>
      <c r="L423" t="str">
        <f t="shared" si="12"/>
        <v>"Poquoson City Public Schools"</v>
      </c>
      <c r="M423" t="s">
        <v>302</v>
      </c>
      <c r="N423" t="s">
        <v>303</v>
      </c>
      <c r="O423" s="4" t="s">
        <v>300</v>
      </c>
      <c r="P423" t="str">
        <f t="shared" si="13"/>
        <v>"40403"</v>
      </c>
    </row>
    <row r="424" spans="1:16" x14ac:dyDescent="0.2">
      <c r="A424" t="s">
        <v>301</v>
      </c>
      <c r="B424" s="5" t="s">
        <v>264</v>
      </c>
      <c r="C424" t="s">
        <v>301</v>
      </c>
      <c r="E424" s="4" t="s">
        <v>301</v>
      </c>
      <c r="F424" t="s">
        <v>278</v>
      </c>
      <c r="G424" t="s">
        <v>301</v>
      </c>
      <c r="I424" t="s">
        <v>298</v>
      </c>
      <c r="J424" t="s">
        <v>299</v>
      </c>
      <c r="K424" s="4" t="s">
        <v>304</v>
      </c>
      <c r="L424" t="str">
        <f t="shared" si="12"/>
        <v>"Valley Vocational Technical Center"</v>
      </c>
      <c r="M424" t="s">
        <v>302</v>
      </c>
      <c r="N424" t="s">
        <v>303</v>
      </c>
      <c r="O424" s="4" t="s">
        <v>300</v>
      </c>
      <c r="P424" t="str">
        <f t="shared" si="13"/>
        <v>"40410"</v>
      </c>
    </row>
    <row r="425" spans="1:16" x14ac:dyDescent="0.2">
      <c r="A425" t="s">
        <v>301</v>
      </c>
      <c r="B425" s="5" t="s">
        <v>295</v>
      </c>
      <c r="C425" t="s">
        <v>301</v>
      </c>
      <c r="E425" s="4" t="s">
        <v>301</v>
      </c>
      <c r="F425" t="s">
        <v>279</v>
      </c>
      <c r="G425" t="s">
        <v>301</v>
      </c>
      <c r="I425" t="s">
        <v>298</v>
      </c>
      <c r="J425" t="s">
        <v>299</v>
      </c>
      <c r="K425" s="4" t="s">
        <v>304</v>
      </c>
      <c r="L425" t="str">
        <f t="shared" si="12"/>
        <v>"Charlottesville/Albemarle Vo-Tech Center"</v>
      </c>
      <c r="M425" t="s">
        <v>302</v>
      </c>
      <c r="N425" t="s">
        <v>303</v>
      </c>
      <c r="O425" s="4" t="s">
        <v>300</v>
      </c>
      <c r="P425" t="str">
        <f t="shared" si="13"/>
        <v>"40412"</v>
      </c>
    </row>
    <row r="426" spans="1:16" x14ac:dyDescent="0.2">
      <c r="A426" t="s">
        <v>301</v>
      </c>
      <c r="B426" s="5" t="s">
        <v>266</v>
      </c>
      <c r="C426" t="s">
        <v>301</v>
      </c>
      <c r="E426" s="4" t="s">
        <v>301</v>
      </c>
      <c r="F426" t="s">
        <v>280</v>
      </c>
      <c r="G426" t="s">
        <v>301</v>
      </c>
      <c r="I426" t="s">
        <v>298</v>
      </c>
      <c r="J426" t="s">
        <v>299</v>
      </c>
      <c r="K426" s="4" t="s">
        <v>304</v>
      </c>
      <c r="L426" t="str">
        <f t="shared" si="12"/>
        <v>"The Pruden Center for Industry and Technology"</v>
      </c>
      <c r="M426" t="s">
        <v>302</v>
      </c>
      <c r="N426" t="s">
        <v>303</v>
      </c>
      <c r="O426" s="4" t="s">
        <v>300</v>
      </c>
      <c r="P426" t="str">
        <f t="shared" si="13"/>
        <v>"40413"</v>
      </c>
    </row>
    <row r="427" spans="1:16" x14ac:dyDescent="0.2">
      <c r="A427" t="s">
        <v>301</v>
      </c>
      <c r="B427" s="5" t="s">
        <v>267</v>
      </c>
      <c r="C427" t="s">
        <v>301</v>
      </c>
      <c r="E427" s="4" t="s">
        <v>301</v>
      </c>
      <c r="F427" t="s">
        <v>281</v>
      </c>
      <c r="G427" t="s">
        <v>301</v>
      </c>
      <c r="I427" t="s">
        <v>298</v>
      </c>
      <c r="J427" t="s">
        <v>299</v>
      </c>
      <c r="K427" s="4" t="s">
        <v>304</v>
      </c>
      <c r="L427" t="str">
        <f t="shared" si="12"/>
        <v>"Jackson River Technical Center"</v>
      </c>
      <c r="M427" t="s">
        <v>302</v>
      </c>
      <c r="N427" t="s">
        <v>303</v>
      </c>
      <c r="O427" s="4" t="s">
        <v>300</v>
      </c>
      <c r="P427" t="str">
        <f t="shared" si="13"/>
        <v>"40414"</v>
      </c>
    </row>
    <row r="428" spans="1:16" x14ac:dyDescent="0.2">
      <c r="A428" t="s">
        <v>301</v>
      </c>
      <c r="B428" s="5" t="s">
        <v>268</v>
      </c>
      <c r="C428" t="s">
        <v>301</v>
      </c>
      <c r="E428" s="4" t="s">
        <v>301</v>
      </c>
      <c r="F428" t="s">
        <v>282</v>
      </c>
      <c r="G428" t="s">
        <v>301</v>
      </c>
      <c r="I428" t="s">
        <v>298</v>
      </c>
      <c r="J428" t="s">
        <v>299</v>
      </c>
      <c r="K428" s="4" t="s">
        <v>304</v>
      </c>
      <c r="L428" t="str">
        <f t="shared" si="12"/>
        <v>"New Horizons Technical Center"</v>
      </c>
      <c r="M428" t="s">
        <v>302</v>
      </c>
      <c r="N428" t="s">
        <v>303</v>
      </c>
      <c r="O428" s="4" t="s">
        <v>300</v>
      </c>
      <c r="P428" t="str">
        <f t="shared" si="13"/>
        <v>"40415"</v>
      </c>
    </row>
    <row r="429" spans="1:16" x14ac:dyDescent="0.2">
      <c r="A429" t="s">
        <v>301</v>
      </c>
      <c r="B429" s="5" t="s">
        <v>269</v>
      </c>
      <c r="C429" t="s">
        <v>301</v>
      </c>
      <c r="E429" s="4" t="s">
        <v>301</v>
      </c>
      <c r="F429" t="s">
        <v>283</v>
      </c>
      <c r="G429" t="s">
        <v>301</v>
      </c>
      <c r="I429" t="s">
        <v>298</v>
      </c>
      <c r="J429" t="s">
        <v>299</v>
      </c>
      <c r="K429" s="4" t="s">
        <v>304</v>
      </c>
      <c r="L429" t="str">
        <f t="shared" si="12"/>
        <v>"Northern Neck Regional Vocational Center"</v>
      </c>
      <c r="M429" t="s">
        <v>302</v>
      </c>
      <c r="N429" t="s">
        <v>303</v>
      </c>
      <c r="O429" s="4" t="s">
        <v>300</v>
      </c>
      <c r="P429" t="str">
        <f t="shared" si="13"/>
        <v>"40416"</v>
      </c>
    </row>
    <row r="430" spans="1:16" x14ac:dyDescent="0.2">
      <c r="A430" t="s">
        <v>301</v>
      </c>
      <c r="B430" s="5" t="s">
        <v>270</v>
      </c>
      <c r="C430" t="s">
        <v>301</v>
      </c>
      <c r="E430" s="4" t="s">
        <v>301</v>
      </c>
      <c r="F430" t="s">
        <v>284</v>
      </c>
      <c r="G430" t="s">
        <v>301</v>
      </c>
      <c r="I430" t="s">
        <v>298</v>
      </c>
      <c r="J430" t="s">
        <v>299</v>
      </c>
      <c r="K430" s="4" t="s">
        <v>304</v>
      </c>
      <c r="L430" t="str">
        <f t="shared" si="12"/>
        <v>"Rowanty Vocational Technical Center"</v>
      </c>
      <c r="M430" t="s">
        <v>302</v>
      </c>
      <c r="N430" t="s">
        <v>303</v>
      </c>
      <c r="O430" s="4" t="s">
        <v>300</v>
      </c>
      <c r="P430" t="str">
        <f t="shared" si="13"/>
        <v>"40417"</v>
      </c>
    </row>
    <row r="431" spans="1:16" x14ac:dyDescent="0.2">
      <c r="A431" t="s">
        <v>301</v>
      </c>
      <c r="B431" s="5" t="s">
        <v>296</v>
      </c>
      <c r="C431" t="s">
        <v>301</v>
      </c>
      <c r="E431" s="4" t="s">
        <v>301</v>
      </c>
      <c r="F431" t="s">
        <v>285</v>
      </c>
      <c r="G431" t="s">
        <v>301</v>
      </c>
      <c r="I431" t="s">
        <v>298</v>
      </c>
      <c r="J431" t="s">
        <v>299</v>
      </c>
      <c r="K431" s="4" t="s">
        <v>304</v>
      </c>
      <c r="L431" t="str">
        <f t="shared" si="12"/>
        <v>"Amelia-Nottoway Vocational Center"</v>
      </c>
      <c r="M431" t="s">
        <v>302</v>
      </c>
      <c r="N431" t="s">
        <v>303</v>
      </c>
      <c r="O431" s="4" t="s">
        <v>300</v>
      </c>
      <c r="P431" t="str">
        <f t="shared" si="13"/>
        <v>"40418"</v>
      </c>
    </row>
    <row r="432" spans="1:16" x14ac:dyDescent="0.2">
      <c r="A432" t="s">
        <v>301</v>
      </c>
      <c r="B432" s="5" t="s">
        <v>272</v>
      </c>
      <c r="C432" t="s">
        <v>301</v>
      </c>
      <c r="E432" s="4" t="s">
        <v>301</v>
      </c>
      <c r="F432" t="s">
        <v>286</v>
      </c>
      <c r="G432" t="s">
        <v>301</v>
      </c>
      <c r="I432" t="s">
        <v>298</v>
      </c>
      <c r="J432" t="s">
        <v>299</v>
      </c>
      <c r="K432" s="4" t="s">
        <v>304</v>
      </c>
      <c r="L432" t="str">
        <f t="shared" si="12"/>
        <v>"Northern Neck Regional Special Education Program"</v>
      </c>
      <c r="M432" t="s">
        <v>302</v>
      </c>
      <c r="N432" t="s">
        <v>303</v>
      </c>
      <c r="O432" s="4" t="s">
        <v>300</v>
      </c>
      <c r="P432" t="str">
        <f t="shared" si="13"/>
        <v>"40421"</v>
      </c>
    </row>
    <row r="433" spans="1:16" x14ac:dyDescent="0.2">
      <c r="A433" t="s">
        <v>301</v>
      </c>
      <c r="B433" s="5" t="s">
        <v>273</v>
      </c>
      <c r="C433" t="s">
        <v>301</v>
      </c>
      <c r="E433" s="4" t="s">
        <v>301</v>
      </c>
      <c r="F433" t="s">
        <v>287</v>
      </c>
      <c r="G433" t="s">
        <v>301</v>
      </c>
      <c r="I433" t="s">
        <v>298</v>
      </c>
      <c r="J433" t="s">
        <v>299</v>
      </c>
      <c r="K433" s="4" t="s">
        <v>304</v>
      </c>
      <c r="L433" t="str">
        <f t="shared" si="12"/>
        <v>"Maggie Walker Governor's School for Govt &amp; Intl Studies"</v>
      </c>
      <c r="M433" t="s">
        <v>302</v>
      </c>
      <c r="N433" t="s">
        <v>303</v>
      </c>
      <c r="O433" s="4" t="s">
        <v>300</v>
      </c>
      <c r="P433" t="str">
        <f t="shared" si="13"/>
        <v>"40423"</v>
      </c>
    </row>
    <row r="434" spans="1:16" x14ac:dyDescent="0.2">
      <c r="A434" t="s">
        <v>301</v>
      </c>
      <c r="B434" s="5" t="s">
        <v>274</v>
      </c>
      <c r="C434" t="s">
        <v>301</v>
      </c>
      <c r="E434" s="4" t="s">
        <v>301</v>
      </c>
      <c r="F434" t="s">
        <v>288</v>
      </c>
      <c r="G434" t="s">
        <v>301</v>
      </c>
      <c r="I434" t="s">
        <v>298</v>
      </c>
      <c r="J434" t="s">
        <v>299</v>
      </c>
      <c r="K434" s="4" t="s">
        <v>304</v>
      </c>
      <c r="L434" t="str">
        <f t="shared" si="12"/>
        <v>"Appomattox Region Governor's School"</v>
      </c>
      <c r="M434" t="s">
        <v>302</v>
      </c>
      <c r="N434" t="s">
        <v>303</v>
      </c>
      <c r="O434" s="4" t="s">
        <v>300</v>
      </c>
      <c r="P434" t="str">
        <f t="shared" si="13"/>
        <v>"40424"</v>
      </c>
    </row>
    <row r="435" spans="1:16" x14ac:dyDescent="0.2">
      <c r="A435" t="s">
        <v>301</v>
      </c>
      <c r="B435" s="5" t="s">
        <v>275</v>
      </c>
      <c r="C435" t="s">
        <v>301</v>
      </c>
      <c r="E435" s="4" t="s">
        <v>301</v>
      </c>
      <c r="F435" t="s">
        <v>289</v>
      </c>
      <c r="G435" t="s">
        <v>301</v>
      </c>
      <c r="I435" t="s">
        <v>298</v>
      </c>
      <c r="J435" t="s">
        <v>299</v>
      </c>
      <c r="K435" s="4" t="s">
        <v>304</v>
      </c>
      <c r="L435" t="str">
        <f t="shared" si="12"/>
        <v>"Bridging Communities Regional Career and Tech Center"</v>
      </c>
      <c r="M435" t="s">
        <v>302</v>
      </c>
      <c r="N435" t="s">
        <v>303</v>
      </c>
      <c r="O435" s="4" t="s">
        <v>300</v>
      </c>
      <c r="P435" t="str">
        <f t="shared" si="13"/>
        <v>"40425"</v>
      </c>
    </row>
    <row r="436" spans="1:16" x14ac:dyDescent="0.2">
      <c r="A436" t="s">
        <v>301</v>
      </c>
      <c r="B436" s="5" t="s">
        <v>0</v>
      </c>
      <c r="C436" t="s">
        <v>301</v>
      </c>
      <c r="E436" s="4" t="s">
        <v>301</v>
      </c>
      <c r="F436" t="s">
        <v>32</v>
      </c>
      <c r="G436" t="s">
        <v>301</v>
      </c>
      <c r="I436" t="s">
        <v>298</v>
      </c>
      <c r="J436" t="s">
        <v>299</v>
      </c>
      <c r="K436" s="4" t="s">
        <v>304</v>
      </c>
      <c r="L436" t="str">
        <f t="shared" si="12"/>
        <v>"Accomack County School Board"</v>
      </c>
      <c r="M436" t="s">
        <v>302</v>
      </c>
      <c r="N436" t="s">
        <v>303</v>
      </c>
      <c r="O436" s="4" t="s">
        <v>300</v>
      </c>
      <c r="P436" t="str">
        <f t="shared" si="13"/>
        <v>"40100"</v>
      </c>
    </row>
    <row r="437" spans="1:16" x14ac:dyDescent="0.2">
      <c r="A437" t="s">
        <v>301</v>
      </c>
      <c r="B437" s="5" t="s">
        <v>1</v>
      </c>
      <c r="C437" t="s">
        <v>301</v>
      </c>
      <c r="E437" s="4" t="s">
        <v>301</v>
      </c>
      <c r="F437" t="s">
        <v>33</v>
      </c>
      <c r="G437" t="s">
        <v>301</v>
      </c>
      <c r="I437" t="s">
        <v>298</v>
      </c>
      <c r="J437" t="s">
        <v>299</v>
      </c>
      <c r="K437" s="4" t="s">
        <v>304</v>
      </c>
      <c r="L437" t="str">
        <f t="shared" si="12"/>
        <v>"Albemarle County Schools"</v>
      </c>
      <c r="M437" t="s">
        <v>302</v>
      </c>
      <c r="N437" t="s">
        <v>303</v>
      </c>
      <c r="O437" s="4" t="s">
        <v>300</v>
      </c>
      <c r="P437" t="str">
        <f t="shared" si="13"/>
        <v>"40101"</v>
      </c>
    </row>
    <row r="438" spans="1:16" x14ac:dyDescent="0.2">
      <c r="A438" t="s">
        <v>301</v>
      </c>
      <c r="B438" s="5" t="s">
        <v>2</v>
      </c>
      <c r="C438" t="s">
        <v>301</v>
      </c>
      <c r="E438" s="4" t="s">
        <v>301</v>
      </c>
      <c r="F438" t="s">
        <v>34</v>
      </c>
      <c r="G438" t="s">
        <v>301</v>
      </c>
      <c r="I438" t="s">
        <v>298</v>
      </c>
      <c r="J438" t="s">
        <v>299</v>
      </c>
      <c r="K438" s="4" t="s">
        <v>304</v>
      </c>
      <c r="L438" t="str">
        <f t="shared" si="12"/>
        <v>"Alleghany County School Board"</v>
      </c>
      <c r="M438" t="s">
        <v>302</v>
      </c>
      <c r="N438" t="s">
        <v>303</v>
      </c>
      <c r="O438" s="4" t="s">
        <v>300</v>
      </c>
      <c r="P438" t="str">
        <f t="shared" si="13"/>
        <v>"40102"</v>
      </c>
    </row>
    <row r="439" spans="1:16" x14ac:dyDescent="0.2">
      <c r="A439" t="s">
        <v>301</v>
      </c>
      <c r="B439" s="5" t="s">
        <v>3</v>
      </c>
      <c r="C439" t="s">
        <v>301</v>
      </c>
      <c r="E439" s="4" t="s">
        <v>301</v>
      </c>
      <c r="F439" t="s">
        <v>35</v>
      </c>
      <c r="G439" t="s">
        <v>301</v>
      </c>
      <c r="I439" t="s">
        <v>298</v>
      </c>
      <c r="J439" t="s">
        <v>299</v>
      </c>
      <c r="K439" s="4" t="s">
        <v>304</v>
      </c>
      <c r="L439" t="str">
        <f t="shared" si="12"/>
        <v>"Amelia County School Board"</v>
      </c>
      <c r="M439" t="s">
        <v>302</v>
      </c>
      <c r="N439" t="s">
        <v>303</v>
      </c>
      <c r="O439" s="4" t="s">
        <v>300</v>
      </c>
      <c r="P439" t="str">
        <f t="shared" si="13"/>
        <v>"40103"</v>
      </c>
    </row>
    <row r="440" spans="1:16" x14ac:dyDescent="0.2">
      <c r="A440" t="s">
        <v>301</v>
      </c>
      <c r="B440" s="5" t="s">
        <v>4</v>
      </c>
      <c r="C440" t="s">
        <v>301</v>
      </c>
      <c r="E440" s="4" t="s">
        <v>301</v>
      </c>
      <c r="F440" t="s">
        <v>36</v>
      </c>
      <c r="G440" t="s">
        <v>301</v>
      </c>
      <c r="I440" t="s">
        <v>298</v>
      </c>
      <c r="J440" t="s">
        <v>299</v>
      </c>
      <c r="K440" s="4" t="s">
        <v>304</v>
      </c>
      <c r="L440" t="str">
        <f t="shared" si="12"/>
        <v>"Amherst County School Board"</v>
      </c>
      <c r="M440" t="s">
        <v>302</v>
      </c>
      <c r="N440" t="s">
        <v>303</v>
      </c>
      <c r="O440" s="4" t="s">
        <v>300</v>
      </c>
      <c r="P440" t="str">
        <f t="shared" si="13"/>
        <v>"40104"</v>
      </c>
    </row>
    <row r="441" spans="1:16" x14ac:dyDescent="0.2">
      <c r="A441" t="s">
        <v>301</v>
      </c>
      <c r="B441" s="5" t="s">
        <v>5</v>
      </c>
      <c r="C441" t="s">
        <v>301</v>
      </c>
      <c r="E441" s="4" t="s">
        <v>301</v>
      </c>
      <c r="F441" t="s">
        <v>37</v>
      </c>
      <c r="G441" t="s">
        <v>301</v>
      </c>
      <c r="I441" t="s">
        <v>298</v>
      </c>
      <c r="J441" t="s">
        <v>299</v>
      </c>
      <c r="K441" s="4" t="s">
        <v>304</v>
      </c>
      <c r="L441" t="str">
        <f t="shared" si="12"/>
        <v>"Appomattox County School Board"</v>
      </c>
      <c r="M441" t="s">
        <v>302</v>
      </c>
      <c r="N441" t="s">
        <v>303</v>
      </c>
      <c r="O441" s="4" t="s">
        <v>300</v>
      </c>
      <c r="P441" t="str">
        <f t="shared" si="13"/>
        <v>"40105"</v>
      </c>
    </row>
    <row r="442" spans="1:16" x14ac:dyDescent="0.2">
      <c r="A442" t="s">
        <v>301</v>
      </c>
      <c r="B442" s="5" t="s">
        <v>6</v>
      </c>
      <c r="C442" t="s">
        <v>301</v>
      </c>
      <c r="E442" s="4" t="s">
        <v>301</v>
      </c>
      <c r="F442" t="s">
        <v>38</v>
      </c>
      <c r="G442" t="s">
        <v>301</v>
      </c>
      <c r="I442" t="s">
        <v>298</v>
      </c>
      <c r="J442" t="s">
        <v>299</v>
      </c>
      <c r="K442" s="4" t="s">
        <v>304</v>
      </c>
      <c r="L442" t="str">
        <f t="shared" si="12"/>
        <v>"Arlington Public Schools"</v>
      </c>
      <c r="M442" t="s">
        <v>302</v>
      </c>
      <c r="N442" t="s">
        <v>303</v>
      </c>
      <c r="O442" s="4" t="s">
        <v>300</v>
      </c>
      <c r="P442" t="str">
        <f t="shared" si="13"/>
        <v>"40106"</v>
      </c>
    </row>
    <row r="443" spans="1:16" x14ac:dyDescent="0.2">
      <c r="A443" t="s">
        <v>301</v>
      </c>
      <c r="B443" s="5" t="s">
        <v>7</v>
      </c>
      <c r="C443" t="s">
        <v>301</v>
      </c>
      <c r="E443" s="4" t="s">
        <v>301</v>
      </c>
      <c r="F443" t="s">
        <v>39</v>
      </c>
      <c r="G443" t="s">
        <v>301</v>
      </c>
      <c r="I443" t="s">
        <v>298</v>
      </c>
      <c r="J443" t="s">
        <v>299</v>
      </c>
      <c r="K443" s="4" t="s">
        <v>304</v>
      </c>
      <c r="L443" t="str">
        <f t="shared" si="12"/>
        <v>"Augusta County School Board"</v>
      </c>
      <c r="M443" t="s">
        <v>302</v>
      </c>
      <c r="N443" t="s">
        <v>303</v>
      </c>
      <c r="O443" s="4" t="s">
        <v>300</v>
      </c>
      <c r="P443" t="str">
        <f t="shared" si="13"/>
        <v>"40107"</v>
      </c>
    </row>
    <row r="444" spans="1:16" x14ac:dyDescent="0.2">
      <c r="A444" t="s">
        <v>301</v>
      </c>
      <c r="B444" s="5" t="s">
        <v>8</v>
      </c>
      <c r="C444" t="s">
        <v>301</v>
      </c>
      <c r="E444" s="4" t="s">
        <v>301</v>
      </c>
      <c r="F444" t="s">
        <v>40</v>
      </c>
      <c r="G444" t="s">
        <v>301</v>
      </c>
      <c r="I444" t="s">
        <v>298</v>
      </c>
      <c r="J444" t="s">
        <v>299</v>
      </c>
      <c r="K444" s="4" t="s">
        <v>304</v>
      </c>
      <c r="L444" t="str">
        <f t="shared" si="12"/>
        <v>"Bath County School Board"</v>
      </c>
      <c r="M444" t="s">
        <v>302</v>
      </c>
      <c r="N444" t="s">
        <v>303</v>
      </c>
      <c r="O444" s="4" t="s">
        <v>300</v>
      </c>
      <c r="P444" t="str">
        <f t="shared" si="13"/>
        <v>"40108"</v>
      </c>
    </row>
    <row r="445" spans="1:16" x14ac:dyDescent="0.2">
      <c r="A445" t="s">
        <v>301</v>
      </c>
      <c r="B445" s="5" t="s">
        <v>9</v>
      </c>
      <c r="C445" t="s">
        <v>301</v>
      </c>
      <c r="E445" s="4" t="s">
        <v>301</v>
      </c>
      <c r="F445" t="s">
        <v>41</v>
      </c>
      <c r="G445" t="s">
        <v>301</v>
      </c>
      <c r="I445" t="s">
        <v>298</v>
      </c>
      <c r="J445" t="s">
        <v>299</v>
      </c>
      <c r="K445" s="4" t="s">
        <v>304</v>
      </c>
      <c r="L445" t="str">
        <f t="shared" si="12"/>
        <v>"Bedford County School Board"</v>
      </c>
      <c r="M445" t="s">
        <v>302</v>
      </c>
      <c r="N445" t="s">
        <v>303</v>
      </c>
      <c r="O445" s="4" t="s">
        <v>300</v>
      </c>
      <c r="P445" t="str">
        <f t="shared" si="13"/>
        <v>"40109"</v>
      </c>
    </row>
    <row r="446" spans="1:16" x14ac:dyDescent="0.2">
      <c r="A446" t="s">
        <v>301</v>
      </c>
      <c r="B446" s="5" t="s">
        <v>10</v>
      </c>
      <c r="C446" t="s">
        <v>301</v>
      </c>
      <c r="E446" s="4" t="s">
        <v>301</v>
      </c>
      <c r="F446" t="s">
        <v>42</v>
      </c>
      <c r="G446" t="s">
        <v>301</v>
      </c>
      <c r="I446" t="s">
        <v>298</v>
      </c>
      <c r="J446" t="s">
        <v>299</v>
      </c>
      <c r="K446" s="4" t="s">
        <v>304</v>
      </c>
      <c r="L446" t="str">
        <f t="shared" si="12"/>
        <v>"Bland County School Board"</v>
      </c>
      <c r="M446" t="s">
        <v>302</v>
      </c>
      <c r="N446" t="s">
        <v>303</v>
      </c>
      <c r="O446" s="4" t="s">
        <v>300</v>
      </c>
      <c r="P446" t="str">
        <f t="shared" si="13"/>
        <v>"40110"</v>
      </c>
    </row>
    <row r="447" spans="1:16" x14ac:dyDescent="0.2">
      <c r="A447" t="s">
        <v>301</v>
      </c>
      <c r="B447" s="5" t="s">
        <v>11</v>
      </c>
      <c r="C447" t="s">
        <v>301</v>
      </c>
      <c r="E447" s="4" t="s">
        <v>301</v>
      </c>
      <c r="F447" t="s">
        <v>43</v>
      </c>
      <c r="G447" t="s">
        <v>301</v>
      </c>
      <c r="I447" t="s">
        <v>298</v>
      </c>
      <c r="J447" t="s">
        <v>299</v>
      </c>
      <c r="K447" s="4" t="s">
        <v>304</v>
      </c>
      <c r="L447" t="str">
        <f t="shared" si="12"/>
        <v>"Botetourt County Schools"</v>
      </c>
      <c r="M447" t="s">
        <v>302</v>
      </c>
      <c r="N447" t="s">
        <v>303</v>
      </c>
      <c r="O447" s="4" t="s">
        <v>300</v>
      </c>
      <c r="P447" t="str">
        <f t="shared" si="13"/>
        <v>"40111"</v>
      </c>
    </row>
    <row r="448" spans="1:16" x14ac:dyDescent="0.2">
      <c r="A448" t="s">
        <v>301</v>
      </c>
      <c r="B448" s="5" t="s">
        <v>12</v>
      </c>
      <c r="C448" t="s">
        <v>301</v>
      </c>
      <c r="E448" s="4" t="s">
        <v>301</v>
      </c>
      <c r="F448" t="s">
        <v>44</v>
      </c>
      <c r="G448" t="s">
        <v>301</v>
      </c>
      <c r="I448" t="s">
        <v>298</v>
      </c>
      <c r="J448" t="s">
        <v>299</v>
      </c>
      <c r="K448" s="4" t="s">
        <v>304</v>
      </c>
      <c r="L448" t="str">
        <f t="shared" si="12"/>
        <v>"Brunswick County Public Schools"</v>
      </c>
      <c r="M448" t="s">
        <v>302</v>
      </c>
      <c r="N448" t="s">
        <v>303</v>
      </c>
      <c r="O448" s="4" t="s">
        <v>300</v>
      </c>
      <c r="P448" t="str">
        <f t="shared" si="13"/>
        <v>"40112"</v>
      </c>
    </row>
    <row r="449" spans="1:16" x14ac:dyDescent="0.2">
      <c r="A449" t="s">
        <v>301</v>
      </c>
      <c r="B449" s="5" t="s">
        <v>13</v>
      </c>
      <c r="C449" t="s">
        <v>301</v>
      </c>
      <c r="E449" s="4" t="s">
        <v>301</v>
      </c>
      <c r="F449" t="s">
        <v>45</v>
      </c>
      <c r="G449" t="s">
        <v>301</v>
      </c>
      <c r="I449" t="s">
        <v>298</v>
      </c>
      <c r="J449" t="s">
        <v>299</v>
      </c>
      <c r="K449" s="4" t="s">
        <v>304</v>
      </c>
      <c r="L449" t="str">
        <f t="shared" si="12"/>
        <v>"Buchanan County School Board"</v>
      </c>
      <c r="M449" t="s">
        <v>302</v>
      </c>
      <c r="N449" t="s">
        <v>303</v>
      </c>
      <c r="O449" s="4" t="s">
        <v>300</v>
      </c>
      <c r="P449" t="str">
        <f t="shared" si="13"/>
        <v>"40113"</v>
      </c>
    </row>
    <row r="450" spans="1:16" x14ac:dyDescent="0.2">
      <c r="A450" t="s">
        <v>301</v>
      </c>
      <c r="B450" s="5" t="s">
        <v>14</v>
      </c>
      <c r="C450" t="s">
        <v>301</v>
      </c>
      <c r="E450" s="4" t="s">
        <v>301</v>
      </c>
      <c r="F450" t="s">
        <v>46</v>
      </c>
      <c r="G450" t="s">
        <v>301</v>
      </c>
      <c r="I450" t="s">
        <v>298</v>
      </c>
      <c r="J450" t="s">
        <v>299</v>
      </c>
      <c r="K450" s="4" t="s">
        <v>304</v>
      </c>
      <c r="L450" t="str">
        <f t="shared" ref="L450:L513" si="14">_xlfn.TEXTJOIN("",TRUE,A450:C450)</f>
        <v>"Buckingham County School Board"</v>
      </c>
      <c r="M450" t="s">
        <v>302</v>
      </c>
      <c r="N450" t="s">
        <v>303</v>
      </c>
      <c r="O450" s="4" t="s">
        <v>300</v>
      </c>
      <c r="P450" t="str">
        <f t="shared" ref="P450:P513" si="15">_xlfn.TEXTJOIN("",TRUE,E450:G450)</f>
        <v>"40114"</v>
      </c>
    </row>
    <row r="451" spans="1:16" x14ac:dyDescent="0.2">
      <c r="A451" t="s">
        <v>301</v>
      </c>
      <c r="B451" s="5" t="s">
        <v>15</v>
      </c>
      <c r="C451" t="s">
        <v>301</v>
      </c>
      <c r="E451" s="4" t="s">
        <v>301</v>
      </c>
      <c r="F451" t="s">
        <v>47</v>
      </c>
      <c r="G451" t="s">
        <v>301</v>
      </c>
      <c r="I451" t="s">
        <v>298</v>
      </c>
      <c r="J451" t="s">
        <v>299</v>
      </c>
      <c r="K451" s="4" t="s">
        <v>304</v>
      </c>
      <c r="L451" t="str">
        <f t="shared" si="14"/>
        <v>"Campbell County School Board"</v>
      </c>
      <c r="M451" t="s">
        <v>302</v>
      </c>
      <c r="N451" t="s">
        <v>303</v>
      </c>
      <c r="O451" s="4" t="s">
        <v>300</v>
      </c>
      <c r="P451" t="str">
        <f t="shared" si="15"/>
        <v>"40115"</v>
      </c>
    </row>
    <row r="452" spans="1:16" x14ac:dyDescent="0.2">
      <c r="A452" t="s">
        <v>301</v>
      </c>
      <c r="B452" s="5" t="s">
        <v>16</v>
      </c>
      <c r="C452" t="s">
        <v>301</v>
      </c>
      <c r="E452" s="4" t="s">
        <v>301</v>
      </c>
      <c r="F452" t="s">
        <v>48</v>
      </c>
      <c r="G452" t="s">
        <v>301</v>
      </c>
      <c r="I452" t="s">
        <v>298</v>
      </c>
      <c r="J452" t="s">
        <v>299</v>
      </c>
      <c r="K452" s="4" t="s">
        <v>304</v>
      </c>
      <c r="L452" t="str">
        <f t="shared" si="14"/>
        <v>"Caroline County School Board"</v>
      </c>
      <c r="M452" t="s">
        <v>302</v>
      </c>
      <c r="N452" t="s">
        <v>303</v>
      </c>
      <c r="O452" s="4" t="s">
        <v>300</v>
      </c>
      <c r="P452" t="str">
        <f t="shared" si="15"/>
        <v>"40116"</v>
      </c>
    </row>
    <row r="453" spans="1:16" x14ac:dyDescent="0.2">
      <c r="A453" t="s">
        <v>301</v>
      </c>
      <c r="B453" s="5" t="s">
        <v>17</v>
      </c>
      <c r="C453" t="s">
        <v>301</v>
      </c>
      <c r="E453" s="4" t="s">
        <v>301</v>
      </c>
      <c r="F453" t="s">
        <v>49</v>
      </c>
      <c r="G453" t="s">
        <v>301</v>
      </c>
      <c r="I453" t="s">
        <v>298</v>
      </c>
      <c r="J453" t="s">
        <v>299</v>
      </c>
      <c r="K453" s="4" t="s">
        <v>304</v>
      </c>
      <c r="L453" t="str">
        <f t="shared" si="14"/>
        <v>"Carroll County School Board"</v>
      </c>
      <c r="M453" t="s">
        <v>302</v>
      </c>
      <c r="N453" t="s">
        <v>303</v>
      </c>
      <c r="O453" s="4" t="s">
        <v>300</v>
      </c>
      <c r="P453" t="str">
        <f t="shared" si="15"/>
        <v>"40117"</v>
      </c>
    </row>
    <row r="454" spans="1:16" x14ac:dyDescent="0.2">
      <c r="A454" t="s">
        <v>301</v>
      </c>
      <c r="B454" s="5" t="s">
        <v>18</v>
      </c>
      <c r="C454" t="s">
        <v>301</v>
      </c>
      <c r="E454" s="4" t="s">
        <v>301</v>
      </c>
      <c r="F454" t="s">
        <v>50</v>
      </c>
      <c r="G454" t="s">
        <v>301</v>
      </c>
      <c r="I454" t="s">
        <v>298</v>
      </c>
      <c r="J454" t="s">
        <v>299</v>
      </c>
      <c r="K454" s="4" t="s">
        <v>304</v>
      </c>
      <c r="L454" t="str">
        <f t="shared" si="14"/>
        <v>"Charles City County School Board"</v>
      </c>
      <c r="M454" t="s">
        <v>302</v>
      </c>
      <c r="N454" t="s">
        <v>303</v>
      </c>
      <c r="O454" s="4" t="s">
        <v>300</v>
      </c>
      <c r="P454" t="str">
        <f t="shared" si="15"/>
        <v>"40118"</v>
      </c>
    </row>
    <row r="455" spans="1:16" x14ac:dyDescent="0.2">
      <c r="A455" t="s">
        <v>301</v>
      </c>
      <c r="B455" s="5" t="s">
        <v>19</v>
      </c>
      <c r="C455" t="s">
        <v>301</v>
      </c>
      <c r="E455" s="4" t="s">
        <v>301</v>
      </c>
      <c r="F455" t="s">
        <v>51</v>
      </c>
      <c r="G455" t="s">
        <v>301</v>
      </c>
      <c r="I455" t="s">
        <v>298</v>
      </c>
      <c r="J455" t="s">
        <v>299</v>
      </c>
      <c r="K455" s="4" t="s">
        <v>304</v>
      </c>
      <c r="L455" t="str">
        <f t="shared" si="14"/>
        <v>"Charlotte County School Board"</v>
      </c>
      <c r="M455" t="s">
        <v>302</v>
      </c>
      <c r="N455" t="s">
        <v>303</v>
      </c>
      <c r="O455" s="4" t="s">
        <v>300</v>
      </c>
      <c r="P455" t="str">
        <f t="shared" si="15"/>
        <v>"40119"</v>
      </c>
    </row>
    <row r="456" spans="1:16" x14ac:dyDescent="0.2">
      <c r="A456" t="s">
        <v>301</v>
      </c>
      <c r="B456" s="5" t="s">
        <v>20</v>
      </c>
      <c r="C456" t="s">
        <v>301</v>
      </c>
      <c r="E456" s="4" t="s">
        <v>301</v>
      </c>
      <c r="F456" t="s">
        <v>52</v>
      </c>
      <c r="G456" t="s">
        <v>301</v>
      </c>
      <c r="I456" t="s">
        <v>298</v>
      </c>
      <c r="J456" t="s">
        <v>299</v>
      </c>
      <c r="K456" s="4" t="s">
        <v>304</v>
      </c>
      <c r="L456" t="str">
        <f t="shared" si="14"/>
        <v>"Chesterfield County School Board"</v>
      </c>
      <c r="M456" t="s">
        <v>302</v>
      </c>
      <c r="N456" t="s">
        <v>303</v>
      </c>
      <c r="O456" s="4" t="s">
        <v>300</v>
      </c>
      <c r="P456" t="str">
        <f t="shared" si="15"/>
        <v>"40120"</v>
      </c>
    </row>
    <row r="457" spans="1:16" x14ac:dyDescent="0.2">
      <c r="A457" t="s">
        <v>301</v>
      </c>
      <c r="B457" s="5" t="s">
        <v>21</v>
      </c>
      <c r="C457" t="s">
        <v>301</v>
      </c>
      <c r="E457" s="4" t="s">
        <v>301</v>
      </c>
      <c r="F457" t="s">
        <v>53</v>
      </c>
      <c r="G457" t="s">
        <v>301</v>
      </c>
      <c r="I457" t="s">
        <v>298</v>
      </c>
      <c r="J457" t="s">
        <v>299</v>
      </c>
      <c r="K457" s="4" t="s">
        <v>304</v>
      </c>
      <c r="L457" t="str">
        <f t="shared" si="14"/>
        <v>"Clarke County School Board"</v>
      </c>
      <c r="M457" t="s">
        <v>302</v>
      </c>
      <c r="N457" t="s">
        <v>303</v>
      </c>
      <c r="O457" s="4" t="s">
        <v>300</v>
      </c>
      <c r="P457" t="str">
        <f t="shared" si="15"/>
        <v>"40121"</v>
      </c>
    </row>
    <row r="458" spans="1:16" x14ac:dyDescent="0.2">
      <c r="A458" t="s">
        <v>301</v>
      </c>
      <c r="B458" s="5" t="s">
        <v>22</v>
      </c>
      <c r="C458" t="s">
        <v>301</v>
      </c>
      <c r="E458" s="4" t="s">
        <v>301</v>
      </c>
      <c r="F458" t="s">
        <v>54</v>
      </c>
      <c r="G458" t="s">
        <v>301</v>
      </c>
      <c r="I458" t="s">
        <v>298</v>
      </c>
      <c r="J458" t="s">
        <v>299</v>
      </c>
      <c r="K458" s="4" t="s">
        <v>304</v>
      </c>
      <c r="L458" t="str">
        <f t="shared" si="14"/>
        <v>"Craig County School Board"</v>
      </c>
      <c r="M458" t="s">
        <v>302</v>
      </c>
      <c r="N458" t="s">
        <v>303</v>
      </c>
      <c r="O458" s="4" t="s">
        <v>300</v>
      </c>
      <c r="P458" t="str">
        <f t="shared" si="15"/>
        <v>"40122"</v>
      </c>
    </row>
    <row r="459" spans="1:16" x14ac:dyDescent="0.2">
      <c r="A459" t="s">
        <v>301</v>
      </c>
      <c r="B459" s="5" t="s">
        <v>23</v>
      </c>
      <c r="C459" t="s">
        <v>301</v>
      </c>
      <c r="E459" s="4" t="s">
        <v>301</v>
      </c>
      <c r="F459" t="s">
        <v>55</v>
      </c>
      <c r="G459" t="s">
        <v>301</v>
      </c>
      <c r="I459" t="s">
        <v>298</v>
      </c>
      <c r="J459" t="s">
        <v>299</v>
      </c>
      <c r="K459" s="4" t="s">
        <v>304</v>
      </c>
      <c r="L459" t="str">
        <f t="shared" si="14"/>
        <v>"Culpeper County School Board"</v>
      </c>
      <c r="M459" t="s">
        <v>302</v>
      </c>
      <c r="N459" t="s">
        <v>303</v>
      </c>
      <c r="O459" s="4" t="s">
        <v>300</v>
      </c>
      <c r="P459" t="str">
        <f t="shared" si="15"/>
        <v>"40123"</v>
      </c>
    </row>
    <row r="460" spans="1:16" x14ac:dyDescent="0.2">
      <c r="A460" t="s">
        <v>301</v>
      </c>
      <c r="B460" s="5" t="s">
        <v>24</v>
      </c>
      <c r="C460" t="s">
        <v>301</v>
      </c>
      <c r="E460" s="4" t="s">
        <v>301</v>
      </c>
      <c r="F460" t="s">
        <v>56</v>
      </c>
      <c r="G460" t="s">
        <v>301</v>
      </c>
      <c r="I460" t="s">
        <v>298</v>
      </c>
      <c r="J460" t="s">
        <v>299</v>
      </c>
      <c r="K460" s="4" t="s">
        <v>304</v>
      </c>
      <c r="L460" t="str">
        <f t="shared" si="14"/>
        <v>"Cumberland County School Board"</v>
      </c>
      <c r="M460" t="s">
        <v>302</v>
      </c>
      <c r="N460" t="s">
        <v>303</v>
      </c>
      <c r="O460" s="4" t="s">
        <v>300</v>
      </c>
      <c r="P460" t="str">
        <f t="shared" si="15"/>
        <v>"40124"</v>
      </c>
    </row>
    <row r="461" spans="1:16" x14ac:dyDescent="0.2">
      <c r="A461" t="s">
        <v>301</v>
      </c>
      <c r="B461" s="5" t="s">
        <v>25</v>
      </c>
      <c r="C461" t="s">
        <v>301</v>
      </c>
      <c r="E461" s="4" t="s">
        <v>301</v>
      </c>
      <c r="F461" t="s">
        <v>57</v>
      </c>
      <c r="G461" t="s">
        <v>301</v>
      </c>
      <c r="I461" t="s">
        <v>298</v>
      </c>
      <c r="J461" t="s">
        <v>299</v>
      </c>
      <c r="K461" s="4" t="s">
        <v>304</v>
      </c>
      <c r="L461" t="str">
        <f t="shared" si="14"/>
        <v>"Dickenson County School Board"</v>
      </c>
      <c r="M461" t="s">
        <v>302</v>
      </c>
      <c r="N461" t="s">
        <v>303</v>
      </c>
      <c r="O461" s="4" t="s">
        <v>300</v>
      </c>
      <c r="P461" t="str">
        <f t="shared" si="15"/>
        <v>"40125"</v>
      </c>
    </row>
    <row r="462" spans="1:16" x14ac:dyDescent="0.2">
      <c r="A462" t="s">
        <v>301</v>
      </c>
      <c r="B462" s="5" t="s">
        <v>26</v>
      </c>
      <c r="C462" t="s">
        <v>301</v>
      </c>
      <c r="E462" s="4" t="s">
        <v>301</v>
      </c>
      <c r="F462" t="s">
        <v>58</v>
      </c>
      <c r="G462" t="s">
        <v>301</v>
      </c>
      <c r="I462" t="s">
        <v>298</v>
      </c>
      <c r="J462" t="s">
        <v>299</v>
      </c>
      <c r="K462" s="4" t="s">
        <v>304</v>
      </c>
      <c r="L462" t="str">
        <f t="shared" si="14"/>
        <v>"Dinwiddie County School Board"</v>
      </c>
      <c r="M462" t="s">
        <v>302</v>
      </c>
      <c r="N462" t="s">
        <v>303</v>
      </c>
      <c r="O462" s="4" t="s">
        <v>300</v>
      </c>
      <c r="P462" t="str">
        <f t="shared" si="15"/>
        <v>"40126"</v>
      </c>
    </row>
    <row r="463" spans="1:16" x14ac:dyDescent="0.2">
      <c r="A463" t="s">
        <v>301</v>
      </c>
      <c r="B463" s="5" t="s">
        <v>27</v>
      </c>
      <c r="C463" t="s">
        <v>301</v>
      </c>
      <c r="E463" s="4" t="s">
        <v>301</v>
      </c>
      <c r="F463" t="s">
        <v>59</v>
      </c>
      <c r="G463" t="s">
        <v>301</v>
      </c>
      <c r="I463" t="s">
        <v>298</v>
      </c>
      <c r="J463" t="s">
        <v>299</v>
      </c>
      <c r="K463" s="4" t="s">
        <v>304</v>
      </c>
      <c r="L463" t="str">
        <f t="shared" si="14"/>
        <v>"Essex County Public Schools"</v>
      </c>
      <c r="M463" t="s">
        <v>302</v>
      </c>
      <c r="N463" t="s">
        <v>303</v>
      </c>
      <c r="O463" s="4" t="s">
        <v>300</v>
      </c>
      <c r="P463" t="str">
        <f t="shared" si="15"/>
        <v>"40128"</v>
      </c>
    </row>
    <row r="464" spans="1:16" x14ac:dyDescent="0.2">
      <c r="A464" t="s">
        <v>301</v>
      </c>
      <c r="B464" s="5" t="s">
        <v>28</v>
      </c>
      <c r="C464" t="s">
        <v>301</v>
      </c>
      <c r="E464" s="4" t="s">
        <v>301</v>
      </c>
      <c r="F464" t="s">
        <v>60</v>
      </c>
      <c r="G464" t="s">
        <v>301</v>
      </c>
      <c r="I464" t="s">
        <v>298</v>
      </c>
      <c r="J464" t="s">
        <v>299</v>
      </c>
      <c r="K464" s="4" t="s">
        <v>304</v>
      </c>
      <c r="L464" t="str">
        <f t="shared" si="14"/>
        <v>"Fairfax County School Board"</v>
      </c>
      <c r="M464" t="s">
        <v>302</v>
      </c>
      <c r="N464" t="s">
        <v>303</v>
      </c>
      <c r="O464" s="4" t="s">
        <v>300</v>
      </c>
      <c r="P464" t="str">
        <f t="shared" si="15"/>
        <v>"40129"</v>
      </c>
    </row>
    <row r="465" spans="1:16" x14ac:dyDescent="0.2">
      <c r="A465" t="s">
        <v>301</v>
      </c>
      <c r="B465" s="5" t="s">
        <v>29</v>
      </c>
      <c r="C465" t="s">
        <v>301</v>
      </c>
      <c r="E465" s="4" t="s">
        <v>301</v>
      </c>
      <c r="F465" t="s">
        <v>61</v>
      </c>
      <c r="G465" t="s">
        <v>301</v>
      </c>
      <c r="I465" t="s">
        <v>298</v>
      </c>
      <c r="J465" t="s">
        <v>299</v>
      </c>
      <c r="K465" s="4" t="s">
        <v>304</v>
      </c>
      <c r="L465" t="str">
        <f t="shared" si="14"/>
        <v>"Fauquier County School Board"</v>
      </c>
      <c r="M465" t="s">
        <v>302</v>
      </c>
      <c r="N465" t="s">
        <v>303</v>
      </c>
      <c r="O465" s="4" t="s">
        <v>300</v>
      </c>
      <c r="P465" t="str">
        <f t="shared" si="15"/>
        <v>"40130"</v>
      </c>
    </row>
    <row r="466" spans="1:16" x14ac:dyDescent="0.2">
      <c r="A466" t="s">
        <v>301</v>
      </c>
      <c r="B466" s="5" t="s">
        <v>30</v>
      </c>
      <c r="C466" t="s">
        <v>301</v>
      </c>
      <c r="E466" s="4" t="s">
        <v>301</v>
      </c>
      <c r="F466" t="s">
        <v>62</v>
      </c>
      <c r="G466" t="s">
        <v>301</v>
      </c>
      <c r="I466" t="s">
        <v>298</v>
      </c>
      <c r="J466" t="s">
        <v>299</v>
      </c>
      <c r="K466" s="4" t="s">
        <v>304</v>
      </c>
      <c r="L466" t="str">
        <f t="shared" si="14"/>
        <v>"Floyd County School Board"</v>
      </c>
      <c r="M466" t="s">
        <v>302</v>
      </c>
      <c r="N466" t="s">
        <v>303</v>
      </c>
      <c r="O466" s="4" t="s">
        <v>300</v>
      </c>
      <c r="P466" t="str">
        <f t="shared" si="15"/>
        <v>"40131"</v>
      </c>
    </row>
    <row r="467" spans="1:16" x14ac:dyDescent="0.2">
      <c r="A467" t="s">
        <v>301</v>
      </c>
      <c r="B467" s="5" t="s">
        <v>31</v>
      </c>
      <c r="C467" t="s">
        <v>301</v>
      </c>
      <c r="E467" s="4" t="s">
        <v>301</v>
      </c>
      <c r="F467" t="s">
        <v>63</v>
      </c>
      <c r="G467" t="s">
        <v>301</v>
      </c>
      <c r="I467" t="s">
        <v>298</v>
      </c>
      <c r="J467" t="s">
        <v>299</v>
      </c>
      <c r="K467" s="4" t="s">
        <v>304</v>
      </c>
      <c r="L467" t="str">
        <f t="shared" si="14"/>
        <v>"Fluvanna County Public Schools"</v>
      </c>
      <c r="M467" t="s">
        <v>302</v>
      </c>
      <c r="N467" t="s">
        <v>303</v>
      </c>
      <c r="O467" s="4" t="s">
        <v>300</v>
      </c>
      <c r="P467" t="str">
        <f t="shared" si="15"/>
        <v>"40132"</v>
      </c>
    </row>
    <row r="468" spans="1:16" x14ac:dyDescent="0.2">
      <c r="A468" t="s">
        <v>301</v>
      </c>
      <c r="B468" s="5" t="s">
        <v>64</v>
      </c>
      <c r="C468" t="s">
        <v>301</v>
      </c>
      <c r="E468" s="4" t="s">
        <v>301</v>
      </c>
      <c r="F468" t="s">
        <v>97</v>
      </c>
      <c r="G468" t="s">
        <v>301</v>
      </c>
      <c r="I468" t="s">
        <v>298</v>
      </c>
      <c r="J468" t="s">
        <v>299</v>
      </c>
      <c r="K468" s="4" t="s">
        <v>304</v>
      </c>
      <c r="L468" t="str">
        <f t="shared" si="14"/>
        <v>"Franklin County Public Schools"</v>
      </c>
      <c r="M468" t="s">
        <v>302</v>
      </c>
      <c r="N468" t="s">
        <v>303</v>
      </c>
      <c r="O468" s="4" t="s">
        <v>300</v>
      </c>
      <c r="P468" t="str">
        <f t="shared" si="15"/>
        <v>"40133"</v>
      </c>
    </row>
    <row r="469" spans="1:16" x14ac:dyDescent="0.2">
      <c r="A469" t="s">
        <v>301</v>
      </c>
      <c r="B469" s="5" t="s">
        <v>65</v>
      </c>
      <c r="C469" t="s">
        <v>301</v>
      </c>
      <c r="E469" s="4" t="s">
        <v>301</v>
      </c>
      <c r="F469" t="s">
        <v>98</v>
      </c>
      <c r="G469" t="s">
        <v>301</v>
      </c>
      <c r="I469" t="s">
        <v>298</v>
      </c>
      <c r="J469" t="s">
        <v>299</v>
      </c>
      <c r="K469" s="4" t="s">
        <v>304</v>
      </c>
      <c r="L469" t="str">
        <f t="shared" si="14"/>
        <v>"Frederick County School Board"</v>
      </c>
      <c r="M469" t="s">
        <v>302</v>
      </c>
      <c r="N469" t="s">
        <v>303</v>
      </c>
      <c r="O469" s="4" t="s">
        <v>300</v>
      </c>
      <c r="P469" t="str">
        <f t="shared" si="15"/>
        <v>"40134"</v>
      </c>
    </row>
    <row r="470" spans="1:16" x14ac:dyDescent="0.2">
      <c r="A470" t="s">
        <v>301</v>
      </c>
      <c r="B470" s="5" t="s">
        <v>66</v>
      </c>
      <c r="C470" t="s">
        <v>301</v>
      </c>
      <c r="E470" s="4" t="s">
        <v>301</v>
      </c>
      <c r="F470" t="s">
        <v>99</v>
      </c>
      <c r="G470" t="s">
        <v>301</v>
      </c>
      <c r="I470" t="s">
        <v>298</v>
      </c>
      <c r="J470" t="s">
        <v>299</v>
      </c>
      <c r="K470" s="4" t="s">
        <v>304</v>
      </c>
      <c r="L470" t="str">
        <f t="shared" si="14"/>
        <v>"Giles County Schools"</v>
      </c>
      <c r="M470" t="s">
        <v>302</v>
      </c>
      <c r="N470" t="s">
        <v>303</v>
      </c>
      <c r="O470" s="4" t="s">
        <v>300</v>
      </c>
      <c r="P470" t="str">
        <f t="shared" si="15"/>
        <v>"40135"</v>
      </c>
    </row>
    <row r="471" spans="1:16" x14ac:dyDescent="0.2">
      <c r="A471" t="s">
        <v>301</v>
      </c>
      <c r="B471" s="5" t="s">
        <v>67</v>
      </c>
      <c r="C471" t="s">
        <v>301</v>
      </c>
      <c r="E471" s="4" t="s">
        <v>301</v>
      </c>
      <c r="F471" t="s">
        <v>100</v>
      </c>
      <c r="G471" t="s">
        <v>301</v>
      </c>
      <c r="I471" t="s">
        <v>298</v>
      </c>
      <c r="J471" t="s">
        <v>299</v>
      </c>
      <c r="K471" s="4" t="s">
        <v>304</v>
      </c>
      <c r="L471" t="str">
        <f t="shared" si="14"/>
        <v>"Gloucester County School Board"</v>
      </c>
      <c r="M471" t="s">
        <v>302</v>
      </c>
      <c r="N471" t="s">
        <v>303</v>
      </c>
      <c r="O471" s="4" t="s">
        <v>300</v>
      </c>
      <c r="P471" t="str">
        <f t="shared" si="15"/>
        <v>"40136"</v>
      </c>
    </row>
    <row r="472" spans="1:16" x14ac:dyDescent="0.2">
      <c r="A472" t="s">
        <v>301</v>
      </c>
      <c r="B472" s="5" t="s">
        <v>68</v>
      </c>
      <c r="C472" t="s">
        <v>301</v>
      </c>
      <c r="E472" s="4" t="s">
        <v>301</v>
      </c>
      <c r="F472" t="s">
        <v>101</v>
      </c>
      <c r="G472" t="s">
        <v>301</v>
      </c>
      <c r="I472" t="s">
        <v>298</v>
      </c>
      <c r="J472" t="s">
        <v>299</v>
      </c>
      <c r="K472" s="4" t="s">
        <v>304</v>
      </c>
      <c r="L472" t="str">
        <f t="shared" si="14"/>
        <v>"Goochland County School Board"</v>
      </c>
      <c r="M472" t="s">
        <v>302</v>
      </c>
      <c r="N472" t="s">
        <v>303</v>
      </c>
      <c r="O472" s="4" t="s">
        <v>300</v>
      </c>
      <c r="P472" t="str">
        <f t="shared" si="15"/>
        <v>"40137"</v>
      </c>
    </row>
    <row r="473" spans="1:16" x14ac:dyDescent="0.2">
      <c r="A473" t="s">
        <v>301</v>
      </c>
      <c r="B473" s="5" t="s">
        <v>69</v>
      </c>
      <c r="C473" t="s">
        <v>301</v>
      </c>
      <c r="E473" s="4" t="s">
        <v>301</v>
      </c>
      <c r="F473" t="s">
        <v>102</v>
      </c>
      <c r="G473" t="s">
        <v>301</v>
      </c>
      <c r="I473" t="s">
        <v>298</v>
      </c>
      <c r="J473" t="s">
        <v>299</v>
      </c>
      <c r="K473" s="4" t="s">
        <v>304</v>
      </c>
      <c r="L473" t="str">
        <f t="shared" si="14"/>
        <v>"Grayson County School Board"</v>
      </c>
      <c r="M473" t="s">
        <v>302</v>
      </c>
      <c r="N473" t="s">
        <v>303</v>
      </c>
      <c r="O473" s="4" t="s">
        <v>300</v>
      </c>
      <c r="P473" t="str">
        <f t="shared" si="15"/>
        <v>"40138"</v>
      </c>
    </row>
    <row r="474" spans="1:16" x14ac:dyDescent="0.2">
      <c r="A474" t="s">
        <v>301</v>
      </c>
      <c r="B474" s="5" t="s">
        <v>70</v>
      </c>
      <c r="C474" t="s">
        <v>301</v>
      </c>
      <c r="E474" s="4" t="s">
        <v>301</v>
      </c>
      <c r="F474" t="s">
        <v>103</v>
      </c>
      <c r="G474" t="s">
        <v>301</v>
      </c>
      <c r="I474" t="s">
        <v>298</v>
      </c>
      <c r="J474" t="s">
        <v>299</v>
      </c>
      <c r="K474" s="4" t="s">
        <v>304</v>
      </c>
      <c r="L474" t="str">
        <f t="shared" si="14"/>
        <v>"Greene County Public Schools"</v>
      </c>
      <c r="M474" t="s">
        <v>302</v>
      </c>
      <c r="N474" t="s">
        <v>303</v>
      </c>
      <c r="O474" s="4" t="s">
        <v>300</v>
      </c>
      <c r="P474" t="str">
        <f t="shared" si="15"/>
        <v>"40139"</v>
      </c>
    </row>
    <row r="475" spans="1:16" x14ac:dyDescent="0.2">
      <c r="A475" t="s">
        <v>301</v>
      </c>
      <c r="B475" s="5" t="s">
        <v>71</v>
      </c>
      <c r="C475" t="s">
        <v>301</v>
      </c>
      <c r="E475" s="4" t="s">
        <v>301</v>
      </c>
      <c r="F475" t="s">
        <v>104</v>
      </c>
      <c r="G475" t="s">
        <v>301</v>
      </c>
      <c r="I475" t="s">
        <v>298</v>
      </c>
      <c r="J475" t="s">
        <v>299</v>
      </c>
      <c r="K475" s="4" t="s">
        <v>304</v>
      </c>
      <c r="L475" t="str">
        <f t="shared" si="14"/>
        <v>"Greensville County School Board"</v>
      </c>
      <c r="M475" t="s">
        <v>302</v>
      </c>
      <c r="N475" t="s">
        <v>303</v>
      </c>
      <c r="O475" s="4" t="s">
        <v>300</v>
      </c>
      <c r="P475" t="str">
        <f t="shared" si="15"/>
        <v>"40140"</v>
      </c>
    </row>
    <row r="476" spans="1:16" x14ac:dyDescent="0.2">
      <c r="A476" t="s">
        <v>301</v>
      </c>
      <c r="B476" s="5" t="s">
        <v>72</v>
      </c>
      <c r="C476" t="s">
        <v>301</v>
      </c>
      <c r="E476" s="4" t="s">
        <v>301</v>
      </c>
      <c r="F476" t="s">
        <v>105</v>
      </c>
      <c r="G476" t="s">
        <v>301</v>
      </c>
      <c r="I476" t="s">
        <v>298</v>
      </c>
      <c r="J476" t="s">
        <v>299</v>
      </c>
      <c r="K476" s="4" t="s">
        <v>304</v>
      </c>
      <c r="L476" t="str">
        <f t="shared" si="14"/>
        <v>"Halifax County School Board"</v>
      </c>
      <c r="M476" t="s">
        <v>302</v>
      </c>
      <c r="N476" t="s">
        <v>303</v>
      </c>
      <c r="O476" s="4" t="s">
        <v>300</v>
      </c>
      <c r="P476" t="str">
        <f t="shared" si="15"/>
        <v>"40141"</v>
      </c>
    </row>
    <row r="477" spans="1:16" x14ac:dyDescent="0.2">
      <c r="A477" t="s">
        <v>301</v>
      </c>
      <c r="B477" s="5" t="s">
        <v>73</v>
      </c>
      <c r="C477" t="s">
        <v>301</v>
      </c>
      <c r="E477" s="4" t="s">
        <v>301</v>
      </c>
      <c r="F477" t="s">
        <v>106</v>
      </c>
      <c r="G477" t="s">
        <v>301</v>
      </c>
      <c r="I477" t="s">
        <v>298</v>
      </c>
      <c r="J477" t="s">
        <v>299</v>
      </c>
      <c r="K477" s="4" t="s">
        <v>304</v>
      </c>
      <c r="L477" t="str">
        <f t="shared" si="14"/>
        <v>"Hanover County School Board"</v>
      </c>
      <c r="M477" t="s">
        <v>302</v>
      </c>
      <c r="N477" t="s">
        <v>303</v>
      </c>
      <c r="O477" s="4" t="s">
        <v>300</v>
      </c>
      <c r="P477" t="str">
        <f t="shared" si="15"/>
        <v>"40142"</v>
      </c>
    </row>
    <row r="478" spans="1:16" x14ac:dyDescent="0.2">
      <c r="A478" t="s">
        <v>301</v>
      </c>
      <c r="B478" s="5" t="s">
        <v>74</v>
      </c>
      <c r="C478" t="s">
        <v>301</v>
      </c>
      <c r="E478" s="4" t="s">
        <v>301</v>
      </c>
      <c r="F478" t="s">
        <v>107</v>
      </c>
      <c r="G478" t="s">
        <v>301</v>
      </c>
      <c r="I478" t="s">
        <v>298</v>
      </c>
      <c r="J478" t="s">
        <v>299</v>
      </c>
      <c r="K478" s="4" t="s">
        <v>304</v>
      </c>
      <c r="L478" t="str">
        <f t="shared" si="14"/>
        <v>"Henrico County School Board"</v>
      </c>
      <c r="M478" t="s">
        <v>302</v>
      </c>
      <c r="N478" t="s">
        <v>303</v>
      </c>
      <c r="O478" s="4" t="s">
        <v>300</v>
      </c>
      <c r="P478" t="str">
        <f t="shared" si="15"/>
        <v>"40143"</v>
      </c>
    </row>
    <row r="479" spans="1:16" x14ac:dyDescent="0.2">
      <c r="A479" t="s">
        <v>301</v>
      </c>
      <c r="B479" s="5" t="s">
        <v>75</v>
      </c>
      <c r="C479" t="s">
        <v>301</v>
      </c>
      <c r="E479" s="4" t="s">
        <v>301</v>
      </c>
      <c r="F479" t="s">
        <v>108</v>
      </c>
      <c r="G479" t="s">
        <v>301</v>
      </c>
      <c r="I479" t="s">
        <v>298</v>
      </c>
      <c r="J479" t="s">
        <v>299</v>
      </c>
      <c r="K479" s="4" t="s">
        <v>304</v>
      </c>
      <c r="L479" t="str">
        <f t="shared" si="14"/>
        <v>"Henry County Public Schools"</v>
      </c>
      <c r="M479" t="s">
        <v>302</v>
      </c>
      <c r="N479" t="s">
        <v>303</v>
      </c>
      <c r="O479" s="4" t="s">
        <v>300</v>
      </c>
      <c r="P479" t="str">
        <f t="shared" si="15"/>
        <v>"40144"</v>
      </c>
    </row>
    <row r="480" spans="1:16" x14ac:dyDescent="0.2">
      <c r="A480" t="s">
        <v>301</v>
      </c>
      <c r="B480" s="5" t="s">
        <v>76</v>
      </c>
      <c r="C480" t="s">
        <v>301</v>
      </c>
      <c r="E480" s="4" t="s">
        <v>301</v>
      </c>
      <c r="F480" t="s">
        <v>109</v>
      </c>
      <c r="G480" t="s">
        <v>301</v>
      </c>
      <c r="I480" t="s">
        <v>298</v>
      </c>
      <c r="J480" t="s">
        <v>299</v>
      </c>
      <c r="K480" s="4" t="s">
        <v>304</v>
      </c>
      <c r="L480" t="str">
        <f t="shared" si="14"/>
        <v>"Highland County Public Schools"</v>
      </c>
      <c r="M480" t="s">
        <v>302</v>
      </c>
      <c r="N480" t="s">
        <v>303</v>
      </c>
      <c r="O480" s="4" t="s">
        <v>300</v>
      </c>
      <c r="P480" t="str">
        <f t="shared" si="15"/>
        <v>"40145"</v>
      </c>
    </row>
    <row r="481" spans="1:16" x14ac:dyDescent="0.2">
      <c r="A481" t="s">
        <v>301</v>
      </c>
      <c r="B481" s="5" t="s">
        <v>77</v>
      </c>
      <c r="C481" t="s">
        <v>301</v>
      </c>
      <c r="E481" s="4" t="s">
        <v>301</v>
      </c>
      <c r="F481" t="s">
        <v>110</v>
      </c>
      <c r="G481" t="s">
        <v>301</v>
      </c>
      <c r="I481" t="s">
        <v>298</v>
      </c>
      <c r="J481" t="s">
        <v>299</v>
      </c>
      <c r="K481" s="4" t="s">
        <v>304</v>
      </c>
      <c r="L481" t="str">
        <f t="shared" si="14"/>
        <v>"Isle of Wight County Schools"</v>
      </c>
      <c r="M481" t="s">
        <v>302</v>
      </c>
      <c r="N481" t="s">
        <v>303</v>
      </c>
      <c r="O481" s="4" t="s">
        <v>300</v>
      </c>
      <c r="P481" t="str">
        <f t="shared" si="15"/>
        <v>"40146"</v>
      </c>
    </row>
    <row r="482" spans="1:16" x14ac:dyDescent="0.2">
      <c r="A482" t="s">
        <v>301</v>
      </c>
      <c r="B482" s="5" t="s">
        <v>78</v>
      </c>
      <c r="C482" t="s">
        <v>301</v>
      </c>
      <c r="E482" s="4" t="s">
        <v>301</v>
      </c>
      <c r="F482" t="s">
        <v>111</v>
      </c>
      <c r="G482" t="s">
        <v>301</v>
      </c>
      <c r="I482" t="s">
        <v>298</v>
      </c>
      <c r="J482" t="s">
        <v>299</v>
      </c>
      <c r="K482" s="4" t="s">
        <v>304</v>
      </c>
      <c r="L482" t="str">
        <f t="shared" si="14"/>
        <v>"King George County School Board"</v>
      </c>
      <c r="M482" t="s">
        <v>302</v>
      </c>
      <c r="N482" t="s">
        <v>303</v>
      </c>
      <c r="O482" s="4" t="s">
        <v>300</v>
      </c>
      <c r="P482" t="str">
        <f t="shared" si="15"/>
        <v>"40148"</v>
      </c>
    </row>
    <row r="483" spans="1:16" x14ac:dyDescent="0.2">
      <c r="A483" t="s">
        <v>301</v>
      </c>
      <c r="B483" s="5" t="s">
        <v>79</v>
      </c>
      <c r="C483" t="s">
        <v>301</v>
      </c>
      <c r="E483" s="4" t="s">
        <v>301</v>
      </c>
      <c r="F483" t="s">
        <v>112</v>
      </c>
      <c r="G483" t="s">
        <v>301</v>
      </c>
      <c r="I483" t="s">
        <v>298</v>
      </c>
      <c r="J483" t="s">
        <v>299</v>
      </c>
      <c r="K483" s="4" t="s">
        <v>304</v>
      </c>
      <c r="L483" t="str">
        <f t="shared" si="14"/>
        <v>"King &amp; Queen County School Board"</v>
      </c>
      <c r="M483" t="s">
        <v>302</v>
      </c>
      <c r="N483" t="s">
        <v>303</v>
      </c>
      <c r="O483" s="4" t="s">
        <v>300</v>
      </c>
      <c r="P483" t="str">
        <f t="shared" si="15"/>
        <v>"40149"</v>
      </c>
    </row>
    <row r="484" spans="1:16" x14ac:dyDescent="0.2">
      <c r="A484" t="s">
        <v>301</v>
      </c>
      <c r="B484" s="5" t="s">
        <v>80</v>
      </c>
      <c r="C484" t="s">
        <v>301</v>
      </c>
      <c r="E484" s="4" t="s">
        <v>301</v>
      </c>
      <c r="F484" t="s">
        <v>113</v>
      </c>
      <c r="G484" t="s">
        <v>301</v>
      </c>
      <c r="I484" t="s">
        <v>298</v>
      </c>
      <c r="J484" t="s">
        <v>299</v>
      </c>
      <c r="K484" s="4" t="s">
        <v>304</v>
      </c>
      <c r="L484" t="str">
        <f t="shared" si="14"/>
        <v>"King William County School Board"</v>
      </c>
      <c r="M484" t="s">
        <v>302</v>
      </c>
      <c r="N484" t="s">
        <v>303</v>
      </c>
      <c r="O484" s="4" t="s">
        <v>300</v>
      </c>
      <c r="P484" t="str">
        <f t="shared" si="15"/>
        <v>"40150"</v>
      </c>
    </row>
    <row r="485" spans="1:16" x14ac:dyDescent="0.2">
      <c r="A485" t="s">
        <v>301</v>
      </c>
      <c r="B485" s="5" t="s">
        <v>81</v>
      </c>
      <c r="C485" t="s">
        <v>301</v>
      </c>
      <c r="E485" s="4" t="s">
        <v>301</v>
      </c>
      <c r="F485" t="s">
        <v>114</v>
      </c>
      <c r="G485" t="s">
        <v>301</v>
      </c>
      <c r="I485" t="s">
        <v>298</v>
      </c>
      <c r="J485" t="s">
        <v>299</v>
      </c>
      <c r="K485" s="4" t="s">
        <v>304</v>
      </c>
      <c r="L485" t="str">
        <f t="shared" si="14"/>
        <v>"Lancaster County Public Schools"</v>
      </c>
      <c r="M485" t="s">
        <v>302</v>
      </c>
      <c r="N485" t="s">
        <v>303</v>
      </c>
      <c r="O485" s="4" t="s">
        <v>300</v>
      </c>
      <c r="P485" t="str">
        <f t="shared" si="15"/>
        <v>"40151"</v>
      </c>
    </row>
    <row r="486" spans="1:16" x14ac:dyDescent="0.2">
      <c r="A486" t="s">
        <v>301</v>
      </c>
      <c r="B486" s="5" t="s">
        <v>82</v>
      </c>
      <c r="C486" t="s">
        <v>301</v>
      </c>
      <c r="E486" s="4" t="s">
        <v>301</v>
      </c>
      <c r="F486" t="s">
        <v>115</v>
      </c>
      <c r="G486" t="s">
        <v>301</v>
      </c>
      <c r="I486" t="s">
        <v>298</v>
      </c>
      <c r="J486" t="s">
        <v>299</v>
      </c>
      <c r="K486" s="4" t="s">
        <v>304</v>
      </c>
      <c r="L486" t="str">
        <f t="shared" si="14"/>
        <v>"Lee County School Board"</v>
      </c>
      <c r="M486" t="s">
        <v>302</v>
      </c>
      <c r="N486" t="s">
        <v>303</v>
      </c>
      <c r="O486" s="4" t="s">
        <v>300</v>
      </c>
      <c r="P486" t="str">
        <f t="shared" si="15"/>
        <v>"40152"</v>
      </c>
    </row>
    <row r="487" spans="1:16" x14ac:dyDescent="0.2">
      <c r="A487" t="s">
        <v>301</v>
      </c>
      <c r="B487" s="5" t="s">
        <v>83</v>
      </c>
      <c r="C487" t="s">
        <v>301</v>
      </c>
      <c r="E487" s="4" t="s">
        <v>301</v>
      </c>
      <c r="F487" t="s">
        <v>116</v>
      </c>
      <c r="G487" t="s">
        <v>301</v>
      </c>
      <c r="I487" t="s">
        <v>298</v>
      </c>
      <c r="J487" t="s">
        <v>299</v>
      </c>
      <c r="K487" s="4" t="s">
        <v>304</v>
      </c>
      <c r="L487" t="str">
        <f t="shared" si="14"/>
        <v>"Loudoun County School Board"</v>
      </c>
      <c r="M487" t="s">
        <v>302</v>
      </c>
      <c r="N487" t="s">
        <v>303</v>
      </c>
      <c r="O487" s="4" t="s">
        <v>300</v>
      </c>
      <c r="P487" t="str">
        <f t="shared" si="15"/>
        <v>"40153"</v>
      </c>
    </row>
    <row r="488" spans="1:16" x14ac:dyDescent="0.2">
      <c r="A488" t="s">
        <v>301</v>
      </c>
      <c r="B488" s="5" t="s">
        <v>84</v>
      </c>
      <c r="C488" t="s">
        <v>301</v>
      </c>
      <c r="E488" s="4" t="s">
        <v>301</v>
      </c>
      <c r="F488" t="s">
        <v>117</v>
      </c>
      <c r="G488" t="s">
        <v>301</v>
      </c>
      <c r="I488" t="s">
        <v>298</v>
      </c>
      <c r="J488" t="s">
        <v>299</v>
      </c>
      <c r="K488" s="4" t="s">
        <v>304</v>
      </c>
      <c r="L488" t="str">
        <f t="shared" si="14"/>
        <v>"Louisa County Public Schools"</v>
      </c>
      <c r="M488" t="s">
        <v>302</v>
      </c>
      <c r="N488" t="s">
        <v>303</v>
      </c>
      <c r="O488" s="4" t="s">
        <v>300</v>
      </c>
      <c r="P488" t="str">
        <f t="shared" si="15"/>
        <v>"40154"</v>
      </c>
    </row>
    <row r="489" spans="1:16" x14ac:dyDescent="0.2">
      <c r="A489" t="s">
        <v>301</v>
      </c>
      <c r="B489" s="5" t="s">
        <v>85</v>
      </c>
      <c r="C489" t="s">
        <v>301</v>
      </c>
      <c r="E489" s="4" t="s">
        <v>301</v>
      </c>
      <c r="F489" t="s">
        <v>118</v>
      </c>
      <c r="G489" t="s">
        <v>301</v>
      </c>
      <c r="I489" t="s">
        <v>298</v>
      </c>
      <c r="J489" t="s">
        <v>299</v>
      </c>
      <c r="K489" s="4" t="s">
        <v>304</v>
      </c>
      <c r="L489" t="str">
        <f t="shared" si="14"/>
        <v>"Lunenburg County School Board"</v>
      </c>
      <c r="M489" t="s">
        <v>302</v>
      </c>
      <c r="N489" t="s">
        <v>303</v>
      </c>
      <c r="O489" s="4" t="s">
        <v>300</v>
      </c>
      <c r="P489" t="str">
        <f t="shared" si="15"/>
        <v>"40155"</v>
      </c>
    </row>
    <row r="490" spans="1:16" x14ac:dyDescent="0.2">
      <c r="A490" t="s">
        <v>301</v>
      </c>
      <c r="B490" s="5" t="s">
        <v>86</v>
      </c>
      <c r="C490" t="s">
        <v>301</v>
      </c>
      <c r="E490" s="4" t="s">
        <v>301</v>
      </c>
      <c r="F490" t="s">
        <v>119</v>
      </c>
      <c r="G490" t="s">
        <v>301</v>
      </c>
      <c r="I490" t="s">
        <v>298</v>
      </c>
      <c r="J490" t="s">
        <v>299</v>
      </c>
      <c r="K490" s="4" t="s">
        <v>304</v>
      </c>
      <c r="L490" t="str">
        <f t="shared" si="14"/>
        <v>"Madison County School Board"</v>
      </c>
      <c r="M490" t="s">
        <v>302</v>
      </c>
      <c r="N490" t="s">
        <v>303</v>
      </c>
      <c r="O490" s="4" t="s">
        <v>300</v>
      </c>
      <c r="P490" t="str">
        <f t="shared" si="15"/>
        <v>"40156"</v>
      </c>
    </row>
    <row r="491" spans="1:16" x14ac:dyDescent="0.2">
      <c r="A491" t="s">
        <v>301</v>
      </c>
      <c r="B491" s="5" t="s">
        <v>87</v>
      </c>
      <c r="C491" t="s">
        <v>301</v>
      </c>
      <c r="E491" s="4" t="s">
        <v>301</v>
      </c>
      <c r="F491" t="s">
        <v>120</v>
      </c>
      <c r="G491" t="s">
        <v>301</v>
      </c>
      <c r="I491" t="s">
        <v>298</v>
      </c>
      <c r="J491" t="s">
        <v>299</v>
      </c>
      <c r="K491" s="4" t="s">
        <v>304</v>
      </c>
      <c r="L491" t="str">
        <f t="shared" si="14"/>
        <v>"Mathews County School Board"</v>
      </c>
      <c r="M491" t="s">
        <v>302</v>
      </c>
      <c r="N491" t="s">
        <v>303</v>
      </c>
      <c r="O491" s="4" t="s">
        <v>300</v>
      </c>
      <c r="P491" t="str">
        <f t="shared" si="15"/>
        <v>"40157"</v>
      </c>
    </row>
    <row r="492" spans="1:16" x14ac:dyDescent="0.2">
      <c r="A492" t="s">
        <v>301</v>
      </c>
      <c r="B492" s="5" t="s">
        <v>88</v>
      </c>
      <c r="C492" t="s">
        <v>301</v>
      </c>
      <c r="E492" s="4" t="s">
        <v>301</v>
      </c>
      <c r="F492" t="s">
        <v>121</v>
      </c>
      <c r="G492" t="s">
        <v>301</v>
      </c>
      <c r="I492" t="s">
        <v>298</v>
      </c>
      <c r="J492" t="s">
        <v>299</v>
      </c>
      <c r="K492" s="4" t="s">
        <v>304</v>
      </c>
      <c r="L492" t="str">
        <f t="shared" si="14"/>
        <v>"Mecklenburg County School Board"</v>
      </c>
      <c r="M492" t="s">
        <v>302</v>
      </c>
      <c r="N492" t="s">
        <v>303</v>
      </c>
      <c r="O492" s="4" t="s">
        <v>300</v>
      </c>
      <c r="P492" t="str">
        <f t="shared" si="15"/>
        <v>"40158"</v>
      </c>
    </row>
    <row r="493" spans="1:16" x14ac:dyDescent="0.2">
      <c r="A493" t="s">
        <v>301</v>
      </c>
      <c r="B493" s="5" t="s">
        <v>89</v>
      </c>
      <c r="C493" t="s">
        <v>301</v>
      </c>
      <c r="E493" s="4" t="s">
        <v>301</v>
      </c>
      <c r="F493" t="s">
        <v>122</v>
      </c>
      <c r="G493" t="s">
        <v>301</v>
      </c>
      <c r="I493" t="s">
        <v>298</v>
      </c>
      <c r="J493" t="s">
        <v>299</v>
      </c>
      <c r="K493" s="4" t="s">
        <v>304</v>
      </c>
      <c r="L493" t="str">
        <f t="shared" si="14"/>
        <v>"Middlesex County School Board"</v>
      </c>
      <c r="M493" t="s">
        <v>302</v>
      </c>
      <c r="N493" t="s">
        <v>303</v>
      </c>
      <c r="O493" s="4" t="s">
        <v>300</v>
      </c>
      <c r="P493" t="str">
        <f t="shared" si="15"/>
        <v>"40159"</v>
      </c>
    </row>
    <row r="494" spans="1:16" x14ac:dyDescent="0.2">
      <c r="A494" t="s">
        <v>301</v>
      </c>
      <c r="B494" s="5" t="s">
        <v>90</v>
      </c>
      <c r="C494" t="s">
        <v>301</v>
      </c>
      <c r="E494" s="4" t="s">
        <v>301</v>
      </c>
      <c r="F494" t="s">
        <v>123</v>
      </c>
      <c r="G494" t="s">
        <v>301</v>
      </c>
      <c r="I494" t="s">
        <v>298</v>
      </c>
      <c r="J494" t="s">
        <v>299</v>
      </c>
      <c r="K494" s="4" t="s">
        <v>304</v>
      </c>
      <c r="L494" t="str">
        <f t="shared" si="14"/>
        <v>"Montgomery County School Board"</v>
      </c>
      <c r="M494" t="s">
        <v>302</v>
      </c>
      <c r="N494" t="s">
        <v>303</v>
      </c>
      <c r="O494" s="4" t="s">
        <v>300</v>
      </c>
      <c r="P494" t="str">
        <f t="shared" si="15"/>
        <v>"40160"</v>
      </c>
    </row>
    <row r="495" spans="1:16" x14ac:dyDescent="0.2">
      <c r="A495" t="s">
        <v>301</v>
      </c>
      <c r="B495" s="5" t="s">
        <v>91</v>
      </c>
      <c r="C495" t="s">
        <v>301</v>
      </c>
      <c r="E495" s="4" t="s">
        <v>301</v>
      </c>
      <c r="F495" t="s">
        <v>124</v>
      </c>
      <c r="G495" t="s">
        <v>301</v>
      </c>
      <c r="I495" t="s">
        <v>298</v>
      </c>
      <c r="J495" t="s">
        <v>299</v>
      </c>
      <c r="K495" s="4" t="s">
        <v>304</v>
      </c>
      <c r="L495" t="str">
        <f t="shared" si="14"/>
        <v>"Nelson County Public Schools"</v>
      </c>
      <c r="M495" t="s">
        <v>302</v>
      </c>
      <c r="N495" t="s">
        <v>303</v>
      </c>
      <c r="O495" s="4" t="s">
        <v>300</v>
      </c>
      <c r="P495" t="str">
        <f t="shared" si="15"/>
        <v>"40162"</v>
      </c>
    </row>
    <row r="496" spans="1:16" x14ac:dyDescent="0.2">
      <c r="A496" t="s">
        <v>301</v>
      </c>
      <c r="B496" s="5" t="s">
        <v>92</v>
      </c>
      <c r="C496" t="s">
        <v>301</v>
      </c>
      <c r="E496" s="4" t="s">
        <v>301</v>
      </c>
      <c r="F496" t="s">
        <v>125</v>
      </c>
      <c r="G496" t="s">
        <v>301</v>
      </c>
      <c r="I496" t="s">
        <v>298</v>
      </c>
      <c r="J496" t="s">
        <v>299</v>
      </c>
      <c r="K496" s="4" t="s">
        <v>304</v>
      </c>
      <c r="L496" t="str">
        <f t="shared" si="14"/>
        <v>"New Kent County School Board"</v>
      </c>
      <c r="M496" t="s">
        <v>302</v>
      </c>
      <c r="N496" t="s">
        <v>303</v>
      </c>
      <c r="O496" s="4" t="s">
        <v>300</v>
      </c>
      <c r="P496" t="str">
        <f t="shared" si="15"/>
        <v>"40163"</v>
      </c>
    </row>
    <row r="497" spans="1:16" x14ac:dyDescent="0.2">
      <c r="A497" t="s">
        <v>301</v>
      </c>
      <c r="B497" s="5" t="s">
        <v>93</v>
      </c>
      <c r="C497" t="s">
        <v>301</v>
      </c>
      <c r="E497" s="4" t="s">
        <v>301</v>
      </c>
      <c r="F497" t="s">
        <v>126</v>
      </c>
      <c r="G497" t="s">
        <v>301</v>
      </c>
      <c r="I497" t="s">
        <v>298</v>
      </c>
      <c r="J497" t="s">
        <v>299</v>
      </c>
      <c r="K497" s="4" t="s">
        <v>304</v>
      </c>
      <c r="L497" t="str">
        <f t="shared" si="14"/>
        <v>"Northampton County Schools"</v>
      </c>
      <c r="M497" t="s">
        <v>302</v>
      </c>
      <c r="N497" t="s">
        <v>303</v>
      </c>
      <c r="O497" s="4" t="s">
        <v>300</v>
      </c>
      <c r="P497" t="str">
        <f t="shared" si="15"/>
        <v>"40165"</v>
      </c>
    </row>
    <row r="498" spans="1:16" x14ac:dyDescent="0.2">
      <c r="A498" t="s">
        <v>301</v>
      </c>
      <c r="B498" s="5" t="s">
        <v>94</v>
      </c>
      <c r="C498" t="s">
        <v>301</v>
      </c>
      <c r="E498" s="4" t="s">
        <v>301</v>
      </c>
      <c r="F498" t="s">
        <v>127</v>
      </c>
      <c r="G498" t="s">
        <v>301</v>
      </c>
      <c r="I498" t="s">
        <v>298</v>
      </c>
      <c r="J498" t="s">
        <v>299</v>
      </c>
      <c r="K498" s="4" t="s">
        <v>304</v>
      </c>
      <c r="L498" t="str">
        <f t="shared" si="14"/>
        <v>"Northumberland County School Board"</v>
      </c>
      <c r="M498" t="s">
        <v>302</v>
      </c>
      <c r="N498" t="s">
        <v>303</v>
      </c>
      <c r="O498" s="4" t="s">
        <v>300</v>
      </c>
      <c r="P498" t="str">
        <f t="shared" si="15"/>
        <v>"40166"</v>
      </c>
    </row>
    <row r="499" spans="1:16" x14ac:dyDescent="0.2">
      <c r="A499" t="s">
        <v>301</v>
      </c>
      <c r="B499" s="5" t="s">
        <v>95</v>
      </c>
      <c r="C499" t="s">
        <v>301</v>
      </c>
      <c r="E499" s="4" t="s">
        <v>301</v>
      </c>
      <c r="F499" t="s">
        <v>128</v>
      </c>
      <c r="G499" t="s">
        <v>301</v>
      </c>
      <c r="I499" t="s">
        <v>298</v>
      </c>
      <c r="J499" t="s">
        <v>299</v>
      </c>
      <c r="K499" s="4" t="s">
        <v>304</v>
      </c>
      <c r="L499" t="str">
        <f t="shared" si="14"/>
        <v>"Nottoway County School Board"</v>
      </c>
      <c r="M499" t="s">
        <v>302</v>
      </c>
      <c r="N499" t="s">
        <v>303</v>
      </c>
      <c r="O499" s="4" t="s">
        <v>300</v>
      </c>
      <c r="P499" t="str">
        <f t="shared" si="15"/>
        <v>"40167"</v>
      </c>
    </row>
    <row r="500" spans="1:16" x14ac:dyDescent="0.2">
      <c r="A500" t="s">
        <v>301</v>
      </c>
      <c r="B500" s="5" t="s">
        <v>96</v>
      </c>
      <c r="C500" t="s">
        <v>301</v>
      </c>
      <c r="E500" s="4" t="s">
        <v>301</v>
      </c>
      <c r="F500" t="s">
        <v>129</v>
      </c>
      <c r="G500" t="s">
        <v>301</v>
      </c>
      <c r="I500" t="s">
        <v>298</v>
      </c>
      <c r="J500" t="s">
        <v>299</v>
      </c>
      <c r="K500" s="4" t="s">
        <v>304</v>
      </c>
      <c r="L500" t="str">
        <f t="shared" si="14"/>
        <v>"Orange County Public Schools"</v>
      </c>
      <c r="M500" t="s">
        <v>302</v>
      </c>
      <c r="N500" t="s">
        <v>303</v>
      </c>
      <c r="O500" s="4" t="s">
        <v>300</v>
      </c>
      <c r="P500" t="str">
        <f t="shared" si="15"/>
        <v>"40168"</v>
      </c>
    </row>
    <row r="501" spans="1:16" x14ac:dyDescent="0.2">
      <c r="A501" t="s">
        <v>301</v>
      </c>
      <c r="B501" s="5" t="s">
        <v>130</v>
      </c>
      <c r="C501" t="s">
        <v>301</v>
      </c>
      <c r="E501" s="4" t="s">
        <v>301</v>
      </c>
      <c r="F501" t="s">
        <v>163</v>
      </c>
      <c r="G501" t="s">
        <v>301</v>
      </c>
      <c r="I501" t="s">
        <v>298</v>
      </c>
      <c r="J501" t="s">
        <v>299</v>
      </c>
      <c r="K501" s="4" t="s">
        <v>304</v>
      </c>
      <c r="L501" t="str">
        <f t="shared" si="14"/>
        <v>"Page County Public Schools"</v>
      </c>
      <c r="M501" t="s">
        <v>302</v>
      </c>
      <c r="N501" t="s">
        <v>303</v>
      </c>
      <c r="O501" s="4" t="s">
        <v>300</v>
      </c>
      <c r="P501" t="str">
        <f t="shared" si="15"/>
        <v>"40169"</v>
      </c>
    </row>
    <row r="502" spans="1:16" x14ac:dyDescent="0.2">
      <c r="A502" t="s">
        <v>301</v>
      </c>
      <c r="B502" s="5" t="s">
        <v>131</v>
      </c>
      <c r="C502" t="s">
        <v>301</v>
      </c>
      <c r="E502" s="4" t="s">
        <v>301</v>
      </c>
      <c r="F502" t="s">
        <v>164</v>
      </c>
      <c r="G502" t="s">
        <v>301</v>
      </c>
      <c r="I502" t="s">
        <v>298</v>
      </c>
      <c r="J502" t="s">
        <v>299</v>
      </c>
      <c r="K502" s="4" t="s">
        <v>304</v>
      </c>
      <c r="L502" t="str">
        <f t="shared" si="14"/>
        <v>"Patrick County School Board"</v>
      </c>
      <c r="M502" t="s">
        <v>302</v>
      </c>
      <c r="N502" t="s">
        <v>303</v>
      </c>
      <c r="O502" s="4" t="s">
        <v>300</v>
      </c>
      <c r="P502" t="str">
        <f t="shared" si="15"/>
        <v>"40170"</v>
      </c>
    </row>
    <row r="503" spans="1:16" x14ac:dyDescent="0.2">
      <c r="A503" t="s">
        <v>301</v>
      </c>
      <c r="B503" s="5" t="s">
        <v>132</v>
      </c>
      <c r="C503" t="s">
        <v>301</v>
      </c>
      <c r="E503" s="4" t="s">
        <v>301</v>
      </c>
      <c r="F503" t="s">
        <v>165</v>
      </c>
      <c r="G503" t="s">
        <v>301</v>
      </c>
      <c r="I503" t="s">
        <v>298</v>
      </c>
      <c r="J503" t="s">
        <v>299</v>
      </c>
      <c r="K503" s="4" t="s">
        <v>304</v>
      </c>
      <c r="L503" t="str">
        <f t="shared" si="14"/>
        <v>"Pittsylvania County School Board"</v>
      </c>
      <c r="M503" t="s">
        <v>302</v>
      </c>
      <c r="N503" t="s">
        <v>303</v>
      </c>
      <c r="O503" s="4" t="s">
        <v>300</v>
      </c>
      <c r="P503" t="str">
        <f t="shared" si="15"/>
        <v>"40171"</v>
      </c>
    </row>
    <row r="504" spans="1:16" x14ac:dyDescent="0.2">
      <c r="A504" t="s">
        <v>301</v>
      </c>
      <c r="B504" s="5" t="s">
        <v>133</v>
      </c>
      <c r="C504" t="s">
        <v>301</v>
      </c>
      <c r="E504" s="4" t="s">
        <v>301</v>
      </c>
      <c r="F504" t="s">
        <v>166</v>
      </c>
      <c r="G504" t="s">
        <v>301</v>
      </c>
      <c r="I504" t="s">
        <v>298</v>
      </c>
      <c r="J504" t="s">
        <v>299</v>
      </c>
      <c r="K504" s="4" t="s">
        <v>304</v>
      </c>
      <c r="L504" t="str">
        <f t="shared" si="14"/>
        <v>"Powhatan County School Board"</v>
      </c>
      <c r="M504" t="s">
        <v>302</v>
      </c>
      <c r="N504" t="s">
        <v>303</v>
      </c>
      <c r="O504" s="4" t="s">
        <v>300</v>
      </c>
      <c r="P504" t="str">
        <f t="shared" si="15"/>
        <v>"40172"</v>
      </c>
    </row>
    <row r="505" spans="1:16" x14ac:dyDescent="0.2">
      <c r="A505" t="s">
        <v>301</v>
      </c>
      <c r="B505" s="5" t="s">
        <v>134</v>
      </c>
      <c r="C505" t="s">
        <v>301</v>
      </c>
      <c r="E505" s="4" t="s">
        <v>301</v>
      </c>
      <c r="F505" t="s">
        <v>167</v>
      </c>
      <c r="G505" t="s">
        <v>301</v>
      </c>
      <c r="I505" t="s">
        <v>298</v>
      </c>
      <c r="J505" t="s">
        <v>299</v>
      </c>
      <c r="K505" s="4" t="s">
        <v>304</v>
      </c>
      <c r="L505" t="str">
        <f t="shared" si="14"/>
        <v>"Prince Edward County School Board"</v>
      </c>
      <c r="M505" t="s">
        <v>302</v>
      </c>
      <c r="N505" t="s">
        <v>303</v>
      </c>
      <c r="O505" s="4" t="s">
        <v>300</v>
      </c>
      <c r="P505" t="str">
        <f t="shared" si="15"/>
        <v>"40173"</v>
      </c>
    </row>
    <row r="506" spans="1:16" x14ac:dyDescent="0.2">
      <c r="A506" t="s">
        <v>301</v>
      </c>
      <c r="B506" s="5" t="s">
        <v>135</v>
      </c>
      <c r="C506" t="s">
        <v>301</v>
      </c>
      <c r="E506" s="4" t="s">
        <v>301</v>
      </c>
      <c r="F506" t="s">
        <v>168</v>
      </c>
      <c r="G506" t="s">
        <v>301</v>
      </c>
      <c r="I506" t="s">
        <v>298</v>
      </c>
      <c r="J506" t="s">
        <v>299</v>
      </c>
      <c r="K506" s="4" t="s">
        <v>304</v>
      </c>
      <c r="L506" t="str">
        <f t="shared" si="14"/>
        <v>"Prince George County School Board"</v>
      </c>
      <c r="M506" t="s">
        <v>302</v>
      </c>
      <c r="N506" t="s">
        <v>303</v>
      </c>
      <c r="O506" s="4" t="s">
        <v>300</v>
      </c>
      <c r="P506" t="str">
        <f t="shared" si="15"/>
        <v>"40174"</v>
      </c>
    </row>
    <row r="507" spans="1:16" x14ac:dyDescent="0.2">
      <c r="A507" t="s">
        <v>301</v>
      </c>
      <c r="B507" s="5" t="s">
        <v>136</v>
      </c>
      <c r="C507" t="s">
        <v>301</v>
      </c>
      <c r="E507" s="4" t="s">
        <v>301</v>
      </c>
      <c r="F507" t="s">
        <v>169</v>
      </c>
      <c r="G507" t="s">
        <v>301</v>
      </c>
      <c r="I507" t="s">
        <v>298</v>
      </c>
      <c r="J507" t="s">
        <v>299</v>
      </c>
      <c r="K507" s="4" t="s">
        <v>304</v>
      </c>
      <c r="L507" t="str">
        <f t="shared" si="14"/>
        <v>"Prince William County School Board"</v>
      </c>
      <c r="M507" t="s">
        <v>302</v>
      </c>
      <c r="N507" t="s">
        <v>303</v>
      </c>
      <c r="O507" s="4" t="s">
        <v>300</v>
      </c>
      <c r="P507" t="str">
        <f t="shared" si="15"/>
        <v>"40176"</v>
      </c>
    </row>
    <row r="508" spans="1:16" x14ac:dyDescent="0.2">
      <c r="A508" t="s">
        <v>301</v>
      </c>
      <c r="B508" s="5" t="s">
        <v>137</v>
      </c>
      <c r="C508" t="s">
        <v>301</v>
      </c>
      <c r="E508" s="4" t="s">
        <v>301</v>
      </c>
      <c r="F508" t="s">
        <v>170</v>
      </c>
      <c r="G508" t="s">
        <v>301</v>
      </c>
      <c r="I508" t="s">
        <v>298</v>
      </c>
      <c r="J508" t="s">
        <v>299</v>
      </c>
      <c r="K508" s="4" t="s">
        <v>304</v>
      </c>
      <c r="L508" t="str">
        <f t="shared" si="14"/>
        <v>"Pulaski County School Board"</v>
      </c>
      <c r="M508" t="s">
        <v>302</v>
      </c>
      <c r="N508" t="s">
        <v>303</v>
      </c>
      <c r="O508" s="4" t="s">
        <v>300</v>
      </c>
      <c r="P508" t="str">
        <f t="shared" si="15"/>
        <v>"40177"</v>
      </c>
    </row>
    <row r="509" spans="1:16" x14ac:dyDescent="0.2">
      <c r="A509" t="s">
        <v>301</v>
      </c>
      <c r="B509" s="5" t="s">
        <v>138</v>
      </c>
      <c r="C509" t="s">
        <v>301</v>
      </c>
      <c r="E509" s="4" t="s">
        <v>301</v>
      </c>
      <c r="F509" t="s">
        <v>171</v>
      </c>
      <c r="G509" t="s">
        <v>301</v>
      </c>
      <c r="I509" t="s">
        <v>298</v>
      </c>
      <c r="J509" t="s">
        <v>299</v>
      </c>
      <c r="K509" s="4" t="s">
        <v>304</v>
      </c>
      <c r="L509" t="str">
        <f t="shared" si="14"/>
        <v>"Rappahannock County School Board"</v>
      </c>
      <c r="M509" t="s">
        <v>302</v>
      </c>
      <c r="N509" t="s">
        <v>303</v>
      </c>
      <c r="O509" s="4" t="s">
        <v>300</v>
      </c>
      <c r="P509" t="str">
        <f t="shared" si="15"/>
        <v>"40178"</v>
      </c>
    </row>
    <row r="510" spans="1:16" x14ac:dyDescent="0.2">
      <c r="A510" t="s">
        <v>301</v>
      </c>
      <c r="B510" s="5" t="s">
        <v>139</v>
      </c>
      <c r="C510" t="s">
        <v>301</v>
      </c>
      <c r="E510" s="4" t="s">
        <v>301</v>
      </c>
      <c r="F510" t="s">
        <v>172</v>
      </c>
      <c r="G510" t="s">
        <v>301</v>
      </c>
      <c r="I510" t="s">
        <v>298</v>
      </c>
      <c r="J510" t="s">
        <v>299</v>
      </c>
      <c r="K510" s="4" t="s">
        <v>304</v>
      </c>
      <c r="L510" t="str">
        <f t="shared" si="14"/>
        <v>"Richmond County School Board"</v>
      </c>
      <c r="M510" t="s">
        <v>302</v>
      </c>
      <c r="N510" t="s">
        <v>303</v>
      </c>
      <c r="O510" s="4" t="s">
        <v>300</v>
      </c>
      <c r="P510" t="str">
        <f t="shared" si="15"/>
        <v>"40179"</v>
      </c>
    </row>
    <row r="511" spans="1:16" x14ac:dyDescent="0.2">
      <c r="A511" t="s">
        <v>301</v>
      </c>
      <c r="B511" s="5" t="s">
        <v>140</v>
      </c>
      <c r="C511" t="s">
        <v>301</v>
      </c>
      <c r="E511" s="4" t="s">
        <v>301</v>
      </c>
      <c r="F511" t="s">
        <v>173</v>
      </c>
      <c r="G511" t="s">
        <v>301</v>
      </c>
      <c r="I511" t="s">
        <v>298</v>
      </c>
      <c r="J511" t="s">
        <v>299</v>
      </c>
      <c r="K511" s="4" t="s">
        <v>304</v>
      </c>
      <c r="L511" t="str">
        <f t="shared" si="14"/>
        <v>"Roanoke County School Board"</v>
      </c>
      <c r="M511" t="s">
        <v>302</v>
      </c>
      <c r="N511" t="s">
        <v>303</v>
      </c>
      <c r="O511" s="4" t="s">
        <v>300</v>
      </c>
      <c r="P511" t="str">
        <f t="shared" si="15"/>
        <v>"40180"</v>
      </c>
    </row>
    <row r="512" spans="1:16" x14ac:dyDescent="0.2">
      <c r="A512" t="s">
        <v>301</v>
      </c>
      <c r="B512" s="5" t="s">
        <v>141</v>
      </c>
      <c r="C512" t="s">
        <v>301</v>
      </c>
      <c r="E512" s="4" t="s">
        <v>301</v>
      </c>
      <c r="F512" t="s">
        <v>174</v>
      </c>
      <c r="G512" t="s">
        <v>301</v>
      </c>
      <c r="I512" t="s">
        <v>298</v>
      </c>
      <c r="J512" t="s">
        <v>299</v>
      </c>
      <c r="K512" s="4" t="s">
        <v>304</v>
      </c>
      <c r="L512" t="str">
        <f t="shared" si="14"/>
        <v>"Rockbridge County School Board"</v>
      </c>
      <c r="M512" t="s">
        <v>302</v>
      </c>
      <c r="N512" t="s">
        <v>303</v>
      </c>
      <c r="O512" s="4" t="s">
        <v>300</v>
      </c>
      <c r="P512" t="str">
        <f t="shared" si="15"/>
        <v>"40181"</v>
      </c>
    </row>
    <row r="513" spans="1:16" x14ac:dyDescent="0.2">
      <c r="A513" t="s">
        <v>301</v>
      </c>
      <c r="B513" s="5" t="s">
        <v>142</v>
      </c>
      <c r="C513" t="s">
        <v>301</v>
      </c>
      <c r="E513" s="4" t="s">
        <v>301</v>
      </c>
      <c r="F513" t="s">
        <v>175</v>
      </c>
      <c r="G513" t="s">
        <v>301</v>
      </c>
      <c r="I513" t="s">
        <v>298</v>
      </c>
      <c r="J513" t="s">
        <v>299</v>
      </c>
      <c r="K513" s="4" t="s">
        <v>304</v>
      </c>
      <c r="L513" t="str">
        <f t="shared" si="14"/>
        <v>"Rockingham County School Board"</v>
      </c>
      <c r="M513" t="s">
        <v>302</v>
      </c>
      <c r="N513" t="s">
        <v>303</v>
      </c>
      <c r="O513" s="4" t="s">
        <v>300</v>
      </c>
      <c r="P513" t="str">
        <f t="shared" si="15"/>
        <v>"40182"</v>
      </c>
    </row>
    <row r="514" spans="1:16" x14ac:dyDescent="0.2">
      <c r="A514" t="s">
        <v>301</v>
      </c>
      <c r="B514" s="5" t="s">
        <v>143</v>
      </c>
      <c r="C514" t="s">
        <v>301</v>
      </c>
      <c r="E514" s="4" t="s">
        <v>301</v>
      </c>
      <c r="F514" t="s">
        <v>176</v>
      </c>
      <c r="G514" t="s">
        <v>301</v>
      </c>
      <c r="I514" t="s">
        <v>298</v>
      </c>
      <c r="J514" t="s">
        <v>299</v>
      </c>
      <c r="K514" s="4" t="s">
        <v>304</v>
      </c>
      <c r="L514" t="str">
        <f t="shared" ref="L514:L577" si="16">_xlfn.TEXTJOIN("",TRUE,A514:C514)</f>
        <v>"Russell County School Board"</v>
      </c>
      <c r="M514" t="s">
        <v>302</v>
      </c>
      <c r="N514" t="s">
        <v>303</v>
      </c>
      <c r="O514" s="4" t="s">
        <v>300</v>
      </c>
      <c r="P514" t="str">
        <f t="shared" ref="P514:P577" si="17">_xlfn.TEXTJOIN("",TRUE,E514:G514)</f>
        <v>"40183"</v>
      </c>
    </row>
    <row r="515" spans="1:16" x14ac:dyDescent="0.2">
      <c r="A515" t="s">
        <v>301</v>
      </c>
      <c r="B515" s="5" t="s">
        <v>144</v>
      </c>
      <c r="C515" t="s">
        <v>301</v>
      </c>
      <c r="E515" s="4" t="s">
        <v>301</v>
      </c>
      <c r="F515" t="s">
        <v>177</v>
      </c>
      <c r="G515" t="s">
        <v>301</v>
      </c>
      <c r="I515" t="s">
        <v>298</v>
      </c>
      <c r="J515" t="s">
        <v>299</v>
      </c>
      <c r="K515" s="4" t="s">
        <v>304</v>
      </c>
      <c r="L515" t="str">
        <f t="shared" si="16"/>
        <v>"Scott County School Board"</v>
      </c>
      <c r="M515" t="s">
        <v>302</v>
      </c>
      <c r="N515" t="s">
        <v>303</v>
      </c>
      <c r="O515" s="4" t="s">
        <v>300</v>
      </c>
      <c r="P515" t="str">
        <f t="shared" si="17"/>
        <v>"40184"</v>
      </c>
    </row>
    <row r="516" spans="1:16" x14ac:dyDescent="0.2">
      <c r="A516" t="s">
        <v>301</v>
      </c>
      <c r="B516" s="5" t="s">
        <v>145</v>
      </c>
      <c r="C516" t="s">
        <v>301</v>
      </c>
      <c r="E516" s="4" t="s">
        <v>301</v>
      </c>
      <c r="F516" t="s">
        <v>178</v>
      </c>
      <c r="G516" t="s">
        <v>301</v>
      </c>
      <c r="I516" t="s">
        <v>298</v>
      </c>
      <c r="J516" t="s">
        <v>299</v>
      </c>
      <c r="K516" s="4" t="s">
        <v>304</v>
      </c>
      <c r="L516" t="str">
        <f t="shared" si="16"/>
        <v>"Shenandoah County School Board"</v>
      </c>
      <c r="M516" t="s">
        <v>302</v>
      </c>
      <c r="N516" t="s">
        <v>303</v>
      </c>
      <c r="O516" s="4" t="s">
        <v>300</v>
      </c>
      <c r="P516" t="str">
        <f t="shared" si="17"/>
        <v>"40185"</v>
      </c>
    </row>
    <row r="517" spans="1:16" x14ac:dyDescent="0.2">
      <c r="A517" t="s">
        <v>301</v>
      </c>
      <c r="B517" s="5" t="s">
        <v>146</v>
      </c>
      <c r="C517" t="s">
        <v>301</v>
      </c>
      <c r="E517" s="4" t="s">
        <v>301</v>
      </c>
      <c r="F517" t="s">
        <v>179</v>
      </c>
      <c r="G517" t="s">
        <v>301</v>
      </c>
      <c r="I517" t="s">
        <v>298</v>
      </c>
      <c r="J517" t="s">
        <v>299</v>
      </c>
      <c r="K517" s="4" t="s">
        <v>304</v>
      </c>
      <c r="L517" t="str">
        <f t="shared" si="16"/>
        <v>"Smyth County School Board"</v>
      </c>
      <c r="M517" t="s">
        <v>302</v>
      </c>
      <c r="N517" t="s">
        <v>303</v>
      </c>
      <c r="O517" s="4" t="s">
        <v>300</v>
      </c>
      <c r="P517" t="str">
        <f t="shared" si="17"/>
        <v>"40186"</v>
      </c>
    </row>
    <row r="518" spans="1:16" x14ac:dyDescent="0.2">
      <c r="A518" t="s">
        <v>301</v>
      </c>
      <c r="B518" s="5" t="s">
        <v>147</v>
      </c>
      <c r="C518" t="s">
        <v>301</v>
      </c>
      <c r="E518" s="4" t="s">
        <v>301</v>
      </c>
      <c r="F518" t="s">
        <v>180</v>
      </c>
      <c r="G518" t="s">
        <v>301</v>
      </c>
      <c r="I518" t="s">
        <v>298</v>
      </c>
      <c r="J518" t="s">
        <v>299</v>
      </c>
      <c r="K518" s="4" t="s">
        <v>304</v>
      </c>
      <c r="L518" t="str">
        <f t="shared" si="16"/>
        <v>"Southampton County School Board"</v>
      </c>
      <c r="M518" t="s">
        <v>302</v>
      </c>
      <c r="N518" t="s">
        <v>303</v>
      </c>
      <c r="O518" s="4" t="s">
        <v>300</v>
      </c>
      <c r="P518" t="str">
        <f t="shared" si="17"/>
        <v>"40187"</v>
      </c>
    </row>
    <row r="519" spans="1:16" x14ac:dyDescent="0.2">
      <c r="A519" t="s">
        <v>301</v>
      </c>
      <c r="B519" s="5" t="s">
        <v>148</v>
      </c>
      <c r="C519" t="s">
        <v>301</v>
      </c>
      <c r="E519" s="4" t="s">
        <v>301</v>
      </c>
      <c r="F519" t="s">
        <v>181</v>
      </c>
      <c r="G519" t="s">
        <v>301</v>
      </c>
      <c r="I519" t="s">
        <v>298</v>
      </c>
      <c r="J519" t="s">
        <v>299</v>
      </c>
      <c r="K519" s="4" t="s">
        <v>304</v>
      </c>
      <c r="L519" t="str">
        <f t="shared" si="16"/>
        <v>"Spotsylvania County School Board"</v>
      </c>
      <c r="M519" t="s">
        <v>302</v>
      </c>
      <c r="N519" t="s">
        <v>303</v>
      </c>
      <c r="O519" s="4" t="s">
        <v>300</v>
      </c>
      <c r="P519" t="str">
        <f t="shared" si="17"/>
        <v>"40188"</v>
      </c>
    </row>
    <row r="520" spans="1:16" x14ac:dyDescent="0.2">
      <c r="A520" t="s">
        <v>301</v>
      </c>
      <c r="B520" s="5" t="s">
        <v>149</v>
      </c>
      <c r="C520" t="s">
        <v>301</v>
      </c>
      <c r="E520" s="4" t="s">
        <v>301</v>
      </c>
      <c r="F520" t="s">
        <v>182</v>
      </c>
      <c r="G520" t="s">
        <v>301</v>
      </c>
      <c r="I520" t="s">
        <v>298</v>
      </c>
      <c r="J520" t="s">
        <v>299</v>
      </c>
      <c r="K520" s="4" t="s">
        <v>304</v>
      </c>
      <c r="L520" t="str">
        <f t="shared" si="16"/>
        <v>"Stafford County School Board"</v>
      </c>
      <c r="M520" t="s">
        <v>302</v>
      </c>
      <c r="N520" t="s">
        <v>303</v>
      </c>
      <c r="O520" s="4" t="s">
        <v>300</v>
      </c>
      <c r="P520" t="str">
        <f t="shared" si="17"/>
        <v>"40189"</v>
      </c>
    </row>
    <row r="521" spans="1:16" x14ac:dyDescent="0.2">
      <c r="A521" t="s">
        <v>301</v>
      </c>
      <c r="B521" s="5" t="s">
        <v>150</v>
      </c>
      <c r="C521" t="s">
        <v>301</v>
      </c>
      <c r="E521" s="4" t="s">
        <v>301</v>
      </c>
      <c r="F521" t="s">
        <v>183</v>
      </c>
      <c r="G521" t="s">
        <v>301</v>
      </c>
      <c r="I521" t="s">
        <v>298</v>
      </c>
      <c r="J521" t="s">
        <v>299</v>
      </c>
      <c r="K521" s="4" t="s">
        <v>304</v>
      </c>
      <c r="L521" t="str">
        <f t="shared" si="16"/>
        <v>"Surry County Schools"</v>
      </c>
      <c r="M521" t="s">
        <v>302</v>
      </c>
      <c r="N521" t="s">
        <v>303</v>
      </c>
      <c r="O521" s="4" t="s">
        <v>300</v>
      </c>
      <c r="P521" t="str">
        <f t="shared" si="17"/>
        <v>"40190"</v>
      </c>
    </row>
    <row r="522" spans="1:16" x14ac:dyDescent="0.2">
      <c r="A522" t="s">
        <v>301</v>
      </c>
      <c r="B522" s="5" t="s">
        <v>151</v>
      </c>
      <c r="C522" t="s">
        <v>301</v>
      </c>
      <c r="E522" s="4" t="s">
        <v>301</v>
      </c>
      <c r="F522" t="s">
        <v>184</v>
      </c>
      <c r="G522" t="s">
        <v>301</v>
      </c>
      <c r="I522" t="s">
        <v>298</v>
      </c>
      <c r="J522" t="s">
        <v>299</v>
      </c>
      <c r="K522" s="4" t="s">
        <v>304</v>
      </c>
      <c r="L522" t="str">
        <f t="shared" si="16"/>
        <v>"Sussex County School Board"</v>
      </c>
      <c r="M522" t="s">
        <v>302</v>
      </c>
      <c r="N522" t="s">
        <v>303</v>
      </c>
      <c r="O522" s="4" t="s">
        <v>300</v>
      </c>
      <c r="P522" t="str">
        <f t="shared" si="17"/>
        <v>"40191"</v>
      </c>
    </row>
    <row r="523" spans="1:16" x14ac:dyDescent="0.2">
      <c r="A523" t="s">
        <v>301</v>
      </c>
      <c r="B523" s="5" t="s">
        <v>152</v>
      </c>
      <c r="C523" t="s">
        <v>301</v>
      </c>
      <c r="E523" s="4" t="s">
        <v>301</v>
      </c>
      <c r="F523" t="s">
        <v>185</v>
      </c>
      <c r="G523" t="s">
        <v>301</v>
      </c>
      <c r="I523" t="s">
        <v>298</v>
      </c>
      <c r="J523" t="s">
        <v>299</v>
      </c>
      <c r="K523" s="4" t="s">
        <v>304</v>
      </c>
      <c r="L523" t="str">
        <f t="shared" si="16"/>
        <v>"Tazewell County Schools"</v>
      </c>
      <c r="M523" t="s">
        <v>302</v>
      </c>
      <c r="N523" t="s">
        <v>303</v>
      </c>
      <c r="O523" s="4" t="s">
        <v>300</v>
      </c>
      <c r="P523" t="str">
        <f t="shared" si="17"/>
        <v>"40192"</v>
      </c>
    </row>
    <row r="524" spans="1:16" x14ac:dyDescent="0.2">
      <c r="A524" t="s">
        <v>301</v>
      </c>
      <c r="B524" s="5" t="s">
        <v>153</v>
      </c>
      <c r="C524" t="s">
        <v>301</v>
      </c>
      <c r="E524" s="4" t="s">
        <v>301</v>
      </c>
      <c r="F524" t="s">
        <v>186</v>
      </c>
      <c r="G524" t="s">
        <v>301</v>
      </c>
      <c r="I524" t="s">
        <v>298</v>
      </c>
      <c r="J524" t="s">
        <v>299</v>
      </c>
      <c r="K524" s="4" t="s">
        <v>304</v>
      </c>
      <c r="L524" t="str">
        <f t="shared" si="16"/>
        <v>"Warren County School Board"</v>
      </c>
      <c r="M524" t="s">
        <v>302</v>
      </c>
      <c r="N524" t="s">
        <v>303</v>
      </c>
      <c r="O524" s="4" t="s">
        <v>300</v>
      </c>
      <c r="P524" t="str">
        <f t="shared" si="17"/>
        <v>"40193"</v>
      </c>
    </row>
    <row r="525" spans="1:16" x14ac:dyDescent="0.2">
      <c r="A525" t="s">
        <v>301</v>
      </c>
      <c r="B525" s="5" t="s">
        <v>154</v>
      </c>
      <c r="C525" t="s">
        <v>301</v>
      </c>
      <c r="E525" s="4" t="s">
        <v>301</v>
      </c>
      <c r="F525" t="s">
        <v>187</v>
      </c>
      <c r="G525" t="s">
        <v>301</v>
      </c>
      <c r="I525" t="s">
        <v>298</v>
      </c>
      <c r="J525" t="s">
        <v>299</v>
      </c>
      <c r="K525" s="4" t="s">
        <v>304</v>
      </c>
      <c r="L525" t="str">
        <f t="shared" si="16"/>
        <v>"Washington County School Board"</v>
      </c>
      <c r="M525" t="s">
        <v>302</v>
      </c>
      <c r="N525" t="s">
        <v>303</v>
      </c>
      <c r="O525" s="4" t="s">
        <v>300</v>
      </c>
      <c r="P525" t="str">
        <f t="shared" si="17"/>
        <v>"40195"</v>
      </c>
    </row>
    <row r="526" spans="1:16" x14ac:dyDescent="0.2">
      <c r="A526" t="s">
        <v>301</v>
      </c>
      <c r="B526" s="5" t="s">
        <v>155</v>
      </c>
      <c r="C526" t="s">
        <v>301</v>
      </c>
      <c r="E526" s="4" t="s">
        <v>301</v>
      </c>
      <c r="F526" t="s">
        <v>188</v>
      </c>
      <c r="G526" t="s">
        <v>301</v>
      </c>
      <c r="I526" t="s">
        <v>298</v>
      </c>
      <c r="J526" t="s">
        <v>299</v>
      </c>
      <c r="K526" s="4" t="s">
        <v>304</v>
      </c>
      <c r="L526" t="str">
        <f t="shared" si="16"/>
        <v>"Westmoreland County School Board"</v>
      </c>
      <c r="M526" t="s">
        <v>302</v>
      </c>
      <c r="N526" t="s">
        <v>303</v>
      </c>
      <c r="O526" s="4" t="s">
        <v>300</v>
      </c>
      <c r="P526" t="str">
        <f t="shared" si="17"/>
        <v>"40196"</v>
      </c>
    </row>
    <row r="527" spans="1:16" x14ac:dyDescent="0.2">
      <c r="A527" t="s">
        <v>301</v>
      </c>
      <c r="B527" s="5" t="s">
        <v>156</v>
      </c>
      <c r="C527" t="s">
        <v>301</v>
      </c>
      <c r="E527" s="4" t="s">
        <v>301</v>
      </c>
      <c r="F527" t="s">
        <v>189</v>
      </c>
      <c r="G527" t="s">
        <v>301</v>
      </c>
      <c r="I527" t="s">
        <v>298</v>
      </c>
      <c r="J527" t="s">
        <v>299</v>
      </c>
      <c r="K527" s="4" t="s">
        <v>304</v>
      </c>
      <c r="L527" t="str">
        <f t="shared" si="16"/>
        <v>"Wise County School Board"</v>
      </c>
      <c r="M527" t="s">
        <v>302</v>
      </c>
      <c r="N527" t="s">
        <v>303</v>
      </c>
      <c r="O527" s="4" t="s">
        <v>300</v>
      </c>
      <c r="P527" t="str">
        <f t="shared" si="17"/>
        <v>"40197"</v>
      </c>
    </row>
    <row r="528" spans="1:16" x14ac:dyDescent="0.2">
      <c r="A528" t="s">
        <v>301</v>
      </c>
      <c r="B528" s="5" t="s">
        <v>157</v>
      </c>
      <c r="C528" t="s">
        <v>301</v>
      </c>
      <c r="E528" s="4" t="s">
        <v>301</v>
      </c>
      <c r="F528" t="s">
        <v>190</v>
      </c>
      <c r="G528" t="s">
        <v>301</v>
      </c>
      <c r="I528" t="s">
        <v>298</v>
      </c>
      <c r="J528" t="s">
        <v>299</v>
      </c>
      <c r="K528" s="4" t="s">
        <v>304</v>
      </c>
      <c r="L528" t="str">
        <f t="shared" si="16"/>
        <v>"Wythe County School Board"</v>
      </c>
      <c r="M528" t="s">
        <v>302</v>
      </c>
      <c r="N528" t="s">
        <v>303</v>
      </c>
      <c r="O528" s="4" t="s">
        <v>300</v>
      </c>
      <c r="P528" t="str">
        <f t="shared" si="17"/>
        <v>"40198"</v>
      </c>
    </row>
    <row r="529" spans="1:16" x14ac:dyDescent="0.2">
      <c r="A529" t="s">
        <v>301</v>
      </c>
      <c r="B529" s="5" t="s">
        <v>158</v>
      </c>
      <c r="C529" t="s">
        <v>301</v>
      </c>
      <c r="E529" s="4" t="s">
        <v>301</v>
      </c>
      <c r="F529" t="s">
        <v>191</v>
      </c>
      <c r="G529" t="s">
        <v>301</v>
      </c>
      <c r="I529" t="s">
        <v>298</v>
      </c>
      <c r="J529" t="s">
        <v>299</v>
      </c>
      <c r="K529" s="4" t="s">
        <v>304</v>
      </c>
      <c r="L529" t="str">
        <f t="shared" si="16"/>
        <v>"York County School Board"</v>
      </c>
      <c r="M529" t="s">
        <v>302</v>
      </c>
      <c r="N529" t="s">
        <v>303</v>
      </c>
      <c r="O529" s="4" t="s">
        <v>300</v>
      </c>
      <c r="P529" t="str">
        <f t="shared" si="17"/>
        <v>"40199"</v>
      </c>
    </row>
    <row r="530" spans="1:16" x14ac:dyDescent="0.2">
      <c r="A530" t="s">
        <v>301</v>
      </c>
      <c r="B530" s="5" t="s">
        <v>159</v>
      </c>
      <c r="C530" t="s">
        <v>301</v>
      </c>
      <c r="E530" s="4" t="s">
        <v>301</v>
      </c>
      <c r="F530" t="s">
        <v>192</v>
      </c>
      <c r="G530" t="s">
        <v>301</v>
      </c>
      <c r="I530" t="s">
        <v>298</v>
      </c>
      <c r="J530" t="s">
        <v>299</v>
      </c>
      <c r="K530" s="4" t="s">
        <v>304</v>
      </c>
      <c r="L530" t="str">
        <f t="shared" si="16"/>
        <v>"Alexandria City School Board"</v>
      </c>
      <c r="M530" t="s">
        <v>302</v>
      </c>
      <c r="N530" t="s">
        <v>303</v>
      </c>
      <c r="O530" s="4" t="s">
        <v>300</v>
      </c>
      <c r="P530" t="str">
        <f t="shared" si="17"/>
        <v>"40200"</v>
      </c>
    </row>
    <row r="531" spans="1:16" x14ac:dyDescent="0.2">
      <c r="A531" t="s">
        <v>301</v>
      </c>
      <c r="B531" s="5" t="s">
        <v>160</v>
      </c>
      <c r="C531" t="s">
        <v>301</v>
      </c>
      <c r="E531" s="4" t="s">
        <v>301</v>
      </c>
      <c r="F531" t="s">
        <v>193</v>
      </c>
      <c r="G531" t="s">
        <v>301</v>
      </c>
      <c r="I531" t="s">
        <v>298</v>
      </c>
      <c r="J531" t="s">
        <v>299</v>
      </c>
      <c r="K531" s="4" t="s">
        <v>304</v>
      </c>
      <c r="L531" t="str">
        <f t="shared" si="16"/>
        <v>"Bristol City School Board"</v>
      </c>
      <c r="M531" t="s">
        <v>302</v>
      </c>
      <c r="N531" t="s">
        <v>303</v>
      </c>
      <c r="O531" s="4" t="s">
        <v>300</v>
      </c>
      <c r="P531" t="str">
        <f t="shared" si="17"/>
        <v>"40201"</v>
      </c>
    </row>
    <row r="532" spans="1:16" x14ac:dyDescent="0.2">
      <c r="A532" t="s">
        <v>301</v>
      </c>
      <c r="B532" s="5" t="s">
        <v>161</v>
      </c>
      <c r="C532" t="s">
        <v>301</v>
      </c>
      <c r="E532" s="4" t="s">
        <v>301</v>
      </c>
      <c r="F532" t="s">
        <v>194</v>
      </c>
      <c r="G532" t="s">
        <v>301</v>
      </c>
      <c r="I532" t="s">
        <v>298</v>
      </c>
      <c r="J532" t="s">
        <v>299</v>
      </c>
      <c r="K532" s="4" t="s">
        <v>304</v>
      </c>
      <c r="L532" t="str">
        <f t="shared" si="16"/>
        <v>"Buena Vista City Schools"</v>
      </c>
      <c r="M532" t="s">
        <v>302</v>
      </c>
      <c r="N532" t="s">
        <v>303</v>
      </c>
      <c r="O532" s="4" t="s">
        <v>300</v>
      </c>
      <c r="P532" t="str">
        <f t="shared" si="17"/>
        <v>"40202"</v>
      </c>
    </row>
    <row r="533" spans="1:16" x14ac:dyDescent="0.2">
      <c r="A533" t="s">
        <v>301</v>
      </c>
      <c r="B533" s="5" t="s">
        <v>162</v>
      </c>
      <c r="C533" t="s">
        <v>301</v>
      </c>
      <c r="E533" s="4" t="s">
        <v>301</v>
      </c>
      <c r="F533" t="s">
        <v>195</v>
      </c>
      <c r="G533" t="s">
        <v>301</v>
      </c>
      <c r="I533" t="s">
        <v>298</v>
      </c>
      <c r="J533" t="s">
        <v>299</v>
      </c>
      <c r="K533" s="4" t="s">
        <v>304</v>
      </c>
      <c r="L533" t="str">
        <f t="shared" si="16"/>
        <v>"Charlottesville Public Schools"</v>
      </c>
      <c r="M533" t="s">
        <v>302</v>
      </c>
      <c r="N533" t="s">
        <v>303</v>
      </c>
      <c r="O533" s="4" t="s">
        <v>300</v>
      </c>
      <c r="P533" t="str">
        <f t="shared" si="17"/>
        <v>"40203"</v>
      </c>
    </row>
    <row r="534" spans="1:16" x14ac:dyDescent="0.2">
      <c r="A534" t="s">
        <v>301</v>
      </c>
      <c r="B534" s="5" t="s">
        <v>196</v>
      </c>
      <c r="C534" t="s">
        <v>301</v>
      </c>
      <c r="E534" s="4" t="s">
        <v>301</v>
      </c>
      <c r="F534" t="s">
        <v>229</v>
      </c>
      <c r="G534" t="s">
        <v>301</v>
      </c>
      <c r="I534" t="s">
        <v>298</v>
      </c>
      <c r="J534" t="s">
        <v>299</v>
      </c>
      <c r="K534" s="4" t="s">
        <v>304</v>
      </c>
      <c r="L534" t="str">
        <f t="shared" si="16"/>
        <v>"Danville City Schools"</v>
      </c>
      <c r="M534" t="s">
        <v>302</v>
      </c>
      <c r="N534" t="s">
        <v>303</v>
      </c>
      <c r="O534" s="4" t="s">
        <v>300</v>
      </c>
      <c r="P534" t="str">
        <f t="shared" si="17"/>
        <v>"40205"</v>
      </c>
    </row>
    <row r="535" spans="1:16" x14ac:dyDescent="0.2">
      <c r="A535" t="s">
        <v>301</v>
      </c>
      <c r="B535" s="5" t="s">
        <v>197</v>
      </c>
      <c r="C535" t="s">
        <v>301</v>
      </c>
      <c r="E535" s="4" t="s">
        <v>301</v>
      </c>
      <c r="F535" t="s">
        <v>230</v>
      </c>
      <c r="G535" t="s">
        <v>301</v>
      </c>
      <c r="I535" t="s">
        <v>298</v>
      </c>
      <c r="J535" t="s">
        <v>299</v>
      </c>
      <c r="K535" s="4" t="s">
        <v>304</v>
      </c>
      <c r="L535" t="str">
        <f t="shared" si="16"/>
        <v>"Fredericksburg City Schools"</v>
      </c>
      <c r="M535" t="s">
        <v>302</v>
      </c>
      <c r="N535" t="s">
        <v>303</v>
      </c>
      <c r="O535" s="4" t="s">
        <v>300</v>
      </c>
      <c r="P535" t="str">
        <f t="shared" si="17"/>
        <v>"40206"</v>
      </c>
    </row>
    <row r="536" spans="1:16" x14ac:dyDescent="0.2">
      <c r="A536" t="s">
        <v>301</v>
      </c>
      <c r="B536" s="5" t="s">
        <v>198</v>
      </c>
      <c r="C536" t="s">
        <v>301</v>
      </c>
      <c r="E536" s="4" t="s">
        <v>301</v>
      </c>
      <c r="F536" t="s">
        <v>231</v>
      </c>
      <c r="G536" t="s">
        <v>301</v>
      </c>
      <c r="I536" t="s">
        <v>298</v>
      </c>
      <c r="J536" t="s">
        <v>299</v>
      </c>
      <c r="K536" s="4" t="s">
        <v>304</v>
      </c>
      <c r="L536" t="str">
        <f t="shared" si="16"/>
        <v>"Hampton City Schools"</v>
      </c>
      <c r="M536" t="s">
        <v>302</v>
      </c>
      <c r="N536" t="s">
        <v>303</v>
      </c>
      <c r="O536" s="4" t="s">
        <v>300</v>
      </c>
      <c r="P536" t="str">
        <f t="shared" si="17"/>
        <v>"40207"</v>
      </c>
    </row>
    <row r="537" spans="1:16" x14ac:dyDescent="0.2">
      <c r="A537" t="s">
        <v>301</v>
      </c>
      <c r="B537" s="5" t="s">
        <v>199</v>
      </c>
      <c r="C537" t="s">
        <v>301</v>
      </c>
      <c r="E537" s="4" t="s">
        <v>301</v>
      </c>
      <c r="F537" t="s">
        <v>232</v>
      </c>
      <c r="G537" t="s">
        <v>301</v>
      </c>
      <c r="I537" t="s">
        <v>298</v>
      </c>
      <c r="J537" t="s">
        <v>299</v>
      </c>
      <c r="K537" s="4" t="s">
        <v>304</v>
      </c>
      <c r="L537" t="str">
        <f t="shared" si="16"/>
        <v>"Harrisonburg City School Board"</v>
      </c>
      <c r="M537" t="s">
        <v>302</v>
      </c>
      <c r="N537" t="s">
        <v>303</v>
      </c>
      <c r="O537" s="4" t="s">
        <v>300</v>
      </c>
      <c r="P537" t="str">
        <f t="shared" si="17"/>
        <v>"40208"</v>
      </c>
    </row>
    <row r="538" spans="1:16" x14ac:dyDescent="0.2">
      <c r="A538" t="s">
        <v>301</v>
      </c>
      <c r="B538" s="5" t="s">
        <v>200</v>
      </c>
      <c r="C538" t="s">
        <v>301</v>
      </c>
      <c r="E538" s="4" t="s">
        <v>301</v>
      </c>
      <c r="F538" t="s">
        <v>233</v>
      </c>
      <c r="G538" t="s">
        <v>301</v>
      </c>
      <c r="I538" t="s">
        <v>298</v>
      </c>
      <c r="J538" t="s">
        <v>299</v>
      </c>
      <c r="K538" s="4" t="s">
        <v>304</v>
      </c>
      <c r="L538" t="str">
        <f t="shared" si="16"/>
        <v>"Hopewell City School Board"</v>
      </c>
      <c r="M538" t="s">
        <v>302</v>
      </c>
      <c r="N538" t="s">
        <v>303</v>
      </c>
      <c r="O538" s="4" t="s">
        <v>300</v>
      </c>
      <c r="P538" t="str">
        <f t="shared" si="17"/>
        <v>"40209"</v>
      </c>
    </row>
    <row r="539" spans="1:16" x14ac:dyDescent="0.2">
      <c r="A539" t="s">
        <v>301</v>
      </c>
      <c r="B539" s="5" t="s">
        <v>201</v>
      </c>
      <c r="C539" t="s">
        <v>301</v>
      </c>
      <c r="E539" s="4" t="s">
        <v>301</v>
      </c>
      <c r="F539" t="s">
        <v>234</v>
      </c>
      <c r="G539" t="s">
        <v>301</v>
      </c>
      <c r="I539" t="s">
        <v>298</v>
      </c>
      <c r="J539" t="s">
        <v>299</v>
      </c>
      <c r="K539" s="4" t="s">
        <v>304</v>
      </c>
      <c r="L539" t="str">
        <f t="shared" si="16"/>
        <v>"Lynchburg Public Schools"</v>
      </c>
      <c r="M539" t="s">
        <v>302</v>
      </c>
      <c r="N539" t="s">
        <v>303</v>
      </c>
      <c r="O539" s="4" t="s">
        <v>300</v>
      </c>
      <c r="P539" t="str">
        <f t="shared" si="17"/>
        <v>"40210"</v>
      </c>
    </row>
    <row r="540" spans="1:16" x14ac:dyDescent="0.2">
      <c r="A540" t="s">
        <v>301</v>
      </c>
      <c r="B540" s="5" t="s">
        <v>202</v>
      </c>
      <c r="C540" t="s">
        <v>301</v>
      </c>
      <c r="E540" s="4" t="s">
        <v>301</v>
      </c>
      <c r="F540" t="s">
        <v>235</v>
      </c>
      <c r="G540" t="s">
        <v>301</v>
      </c>
      <c r="I540" t="s">
        <v>298</v>
      </c>
      <c r="J540" t="s">
        <v>299</v>
      </c>
      <c r="K540" s="4" t="s">
        <v>304</v>
      </c>
      <c r="L540" t="str">
        <f t="shared" si="16"/>
        <v>"Newport News Public Schools"</v>
      </c>
      <c r="M540" t="s">
        <v>302</v>
      </c>
      <c r="N540" t="s">
        <v>303</v>
      </c>
      <c r="O540" s="4" t="s">
        <v>300</v>
      </c>
      <c r="P540" t="str">
        <f t="shared" si="17"/>
        <v>"40211"</v>
      </c>
    </row>
    <row r="541" spans="1:16" x14ac:dyDescent="0.2">
      <c r="A541" t="s">
        <v>301</v>
      </c>
      <c r="B541" s="5" t="s">
        <v>203</v>
      </c>
      <c r="C541" t="s">
        <v>301</v>
      </c>
      <c r="E541" s="4" t="s">
        <v>301</v>
      </c>
      <c r="F541" t="s">
        <v>236</v>
      </c>
      <c r="G541" t="s">
        <v>301</v>
      </c>
      <c r="I541" t="s">
        <v>298</v>
      </c>
      <c r="J541" t="s">
        <v>299</v>
      </c>
      <c r="K541" s="4" t="s">
        <v>304</v>
      </c>
      <c r="L541" t="str">
        <f t="shared" si="16"/>
        <v>"Norfolk Public Schools"</v>
      </c>
      <c r="M541" t="s">
        <v>302</v>
      </c>
      <c r="N541" t="s">
        <v>303</v>
      </c>
      <c r="O541" s="4" t="s">
        <v>300</v>
      </c>
      <c r="P541" t="str">
        <f t="shared" si="17"/>
        <v>"40212"</v>
      </c>
    </row>
    <row r="542" spans="1:16" x14ac:dyDescent="0.2">
      <c r="A542" t="s">
        <v>301</v>
      </c>
      <c r="B542" s="5" t="s">
        <v>204</v>
      </c>
      <c r="C542" t="s">
        <v>301</v>
      </c>
      <c r="E542" s="4" t="s">
        <v>301</v>
      </c>
      <c r="F542" t="s">
        <v>237</v>
      </c>
      <c r="G542" t="s">
        <v>301</v>
      </c>
      <c r="I542" t="s">
        <v>298</v>
      </c>
      <c r="J542" t="s">
        <v>299</v>
      </c>
      <c r="K542" s="4" t="s">
        <v>304</v>
      </c>
      <c r="L542" t="str">
        <f t="shared" si="16"/>
        <v>"Petersburg City Schools"</v>
      </c>
      <c r="M542" t="s">
        <v>302</v>
      </c>
      <c r="N542" t="s">
        <v>303</v>
      </c>
      <c r="O542" s="4" t="s">
        <v>300</v>
      </c>
      <c r="P542" t="str">
        <f t="shared" si="17"/>
        <v>"40213"</v>
      </c>
    </row>
    <row r="543" spans="1:16" x14ac:dyDescent="0.2">
      <c r="A543" t="s">
        <v>301</v>
      </c>
      <c r="B543" s="5" t="s">
        <v>205</v>
      </c>
      <c r="C543" t="s">
        <v>301</v>
      </c>
      <c r="E543" s="4" t="s">
        <v>301</v>
      </c>
      <c r="F543" t="s">
        <v>238</v>
      </c>
      <c r="G543" t="s">
        <v>301</v>
      </c>
      <c r="I543" t="s">
        <v>298</v>
      </c>
      <c r="J543" t="s">
        <v>299</v>
      </c>
      <c r="K543" s="4" t="s">
        <v>304</v>
      </c>
      <c r="L543" t="str">
        <f t="shared" si="16"/>
        <v>"Portsmouth School Board"</v>
      </c>
      <c r="M543" t="s">
        <v>302</v>
      </c>
      <c r="N543" t="s">
        <v>303</v>
      </c>
      <c r="O543" s="4" t="s">
        <v>300</v>
      </c>
      <c r="P543" t="str">
        <f t="shared" si="17"/>
        <v>"40214"</v>
      </c>
    </row>
    <row r="544" spans="1:16" x14ac:dyDescent="0.2">
      <c r="A544" t="s">
        <v>301</v>
      </c>
      <c r="B544" s="5" t="s">
        <v>206</v>
      </c>
      <c r="C544" t="s">
        <v>301</v>
      </c>
      <c r="E544" s="4" t="s">
        <v>301</v>
      </c>
      <c r="F544" t="s">
        <v>239</v>
      </c>
      <c r="G544" t="s">
        <v>301</v>
      </c>
      <c r="I544" t="s">
        <v>298</v>
      </c>
      <c r="J544" t="s">
        <v>299</v>
      </c>
      <c r="K544" s="4" t="s">
        <v>304</v>
      </c>
      <c r="L544" t="str">
        <f t="shared" si="16"/>
        <v>"Radford City School Board"</v>
      </c>
      <c r="M544" t="s">
        <v>302</v>
      </c>
      <c r="N544" t="s">
        <v>303</v>
      </c>
      <c r="O544" s="4" t="s">
        <v>300</v>
      </c>
      <c r="P544" t="str">
        <f t="shared" si="17"/>
        <v>"40215"</v>
      </c>
    </row>
    <row r="545" spans="1:16" x14ac:dyDescent="0.2">
      <c r="A545" t="s">
        <v>301</v>
      </c>
      <c r="B545" s="5" t="s">
        <v>207</v>
      </c>
      <c r="C545" t="s">
        <v>301</v>
      </c>
      <c r="E545" s="4" t="s">
        <v>301</v>
      </c>
      <c r="F545" t="s">
        <v>240</v>
      </c>
      <c r="G545" t="s">
        <v>301</v>
      </c>
      <c r="I545" t="s">
        <v>298</v>
      </c>
      <c r="J545" t="s">
        <v>299</v>
      </c>
      <c r="K545" s="4" t="s">
        <v>304</v>
      </c>
      <c r="L545" t="str">
        <f t="shared" si="16"/>
        <v>"Richmond Public Schools"</v>
      </c>
      <c r="M545" t="s">
        <v>302</v>
      </c>
      <c r="N545" t="s">
        <v>303</v>
      </c>
      <c r="O545" s="4" t="s">
        <v>300</v>
      </c>
      <c r="P545" t="str">
        <f t="shared" si="17"/>
        <v>"40216"</v>
      </c>
    </row>
    <row r="546" spans="1:16" x14ac:dyDescent="0.2">
      <c r="A546" t="s">
        <v>301</v>
      </c>
      <c r="B546" s="5" t="s">
        <v>208</v>
      </c>
      <c r="C546" t="s">
        <v>301</v>
      </c>
      <c r="E546" s="4" t="s">
        <v>301</v>
      </c>
      <c r="F546" t="s">
        <v>241</v>
      </c>
      <c r="G546" t="s">
        <v>301</v>
      </c>
      <c r="I546" t="s">
        <v>298</v>
      </c>
      <c r="J546" t="s">
        <v>299</v>
      </c>
      <c r="K546" s="4" t="s">
        <v>304</v>
      </c>
      <c r="L546" t="str">
        <f t="shared" si="16"/>
        <v>"Roanoke City School Board"</v>
      </c>
      <c r="M546" t="s">
        <v>302</v>
      </c>
      <c r="N546" t="s">
        <v>303</v>
      </c>
      <c r="O546" s="4" t="s">
        <v>300</v>
      </c>
      <c r="P546" t="str">
        <f t="shared" si="17"/>
        <v>"40217"</v>
      </c>
    </row>
    <row r="547" spans="1:16" x14ac:dyDescent="0.2">
      <c r="A547" t="s">
        <v>301</v>
      </c>
      <c r="B547" s="5" t="s">
        <v>209</v>
      </c>
      <c r="C547" t="s">
        <v>301</v>
      </c>
      <c r="E547" s="4" t="s">
        <v>301</v>
      </c>
      <c r="F547" t="s">
        <v>242</v>
      </c>
      <c r="G547" t="s">
        <v>301</v>
      </c>
      <c r="I547" t="s">
        <v>298</v>
      </c>
      <c r="J547" t="s">
        <v>299</v>
      </c>
      <c r="K547" s="4" t="s">
        <v>304</v>
      </c>
      <c r="L547" t="str">
        <f t="shared" si="16"/>
        <v>"Staunton City Schools"</v>
      </c>
      <c r="M547" t="s">
        <v>302</v>
      </c>
      <c r="N547" t="s">
        <v>303</v>
      </c>
      <c r="O547" s="4" t="s">
        <v>300</v>
      </c>
      <c r="P547" t="str">
        <f t="shared" si="17"/>
        <v>"40219"</v>
      </c>
    </row>
    <row r="548" spans="1:16" x14ac:dyDescent="0.2">
      <c r="A548" t="s">
        <v>301</v>
      </c>
      <c r="B548" s="5" t="s">
        <v>210</v>
      </c>
      <c r="C548" t="s">
        <v>301</v>
      </c>
      <c r="E548" s="4" t="s">
        <v>301</v>
      </c>
      <c r="F548" t="s">
        <v>243</v>
      </c>
      <c r="G548" t="s">
        <v>301</v>
      </c>
      <c r="I548" t="s">
        <v>298</v>
      </c>
      <c r="J548" t="s">
        <v>299</v>
      </c>
      <c r="K548" s="4" t="s">
        <v>304</v>
      </c>
      <c r="L548" t="str">
        <f t="shared" si="16"/>
        <v>"Suffolk City School Board"</v>
      </c>
      <c r="M548" t="s">
        <v>302</v>
      </c>
      <c r="N548" t="s">
        <v>303</v>
      </c>
      <c r="O548" s="4" t="s">
        <v>300</v>
      </c>
      <c r="P548" t="str">
        <f t="shared" si="17"/>
        <v>"40220"</v>
      </c>
    </row>
    <row r="549" spans="1:16" x14ac:dyDescent="0.2">
      <c r="A549" t="s">
        <v>301</v>
      </c>
      <c r="B549" s="5" t="s">
        <v>211</v>
      </c>
      <c r="C549" t="s">
        <v>301</v>
      </c>
      <c r="E549" s="4" t="s">
        <v>301</v>
      </c>
      <c r="F549" t="s">
        <v>244</v>
      </c>
      <c r="G549" t="s">
        <v>301</v>
      </c>
      <c r="I549" t="s">
        <v>298</v>
      </c>
      <c r="J549" t="s">
        <v>299</v>
      </c>
      <c r="K549" s="4" t="s">
        <v>304</v>
      </c>
      <c r="L549" t="str">
        <f t="shared" si="16"/>
        <v>"Winchester Public Schools"</v>
      </c>
      <c r="M549" t="s">
        <v>302</v>
      </c>
      <c r="N549" t="s">
        <v>303</v>
      </c>
      <c r="O549" s="4" t="s">
        <v>300</v>
      </c>
      <c r="P549" t="str">
        <f t="shared" si="17"/>
        <v>"40222"</v>
      </c>
    </row>
    <row r="550" spans="1:16" x14ac:dyDescent="0.2">
      <c r="A550" t="s">
        <v>301</v>
      </c>
      <c r="B550" s="5" t="s">
        <v>212</v>
      </c>
      <c r="C550" t="s">
        <v>301</v>
      </c>
      <c r="E550" s="4" t="s">
        <v>301</v>
      </c>
      <c r="F550" t="s">
        <v>245</v>
      </c>
      <c r="G550" t="s">
        <v>301</v>
      </c>
      <c r="I550" t="s">
        <v>298</v>
      </c>
      <c r="J550" t="s">
        <v>299</v>
      </c>
      <c r="K550" s="4" t="s">
        <v>304</v>
      </c>
      <c r="L550" t="str">
        <f t="shared" si="16"/>
        <v>"Martinsville City Schools"</v>
      </c>
      <c r="M550" t="s">
        <v>302</v>
      </c>
      <c r="N550" t="s">
        <v>303</v>
      </c>
      <c r="O550" s="4" t="s">
        <v>300</v>
      </c>
      <c r="P550" t="str">
        <f t="shared" si="17"/>
        <v>"40223"</v>
      </c>
    </row>
    <row r="551" spans="1:16" x14ac:dyDescent="0.2">
      <c r="A551" t="s">
        <v>301</v>
      </c>
      <c r="B551" s="5" t="s">
        <v>213</v>
      </c>
      <c r="C551" t="s">
        <v>301</v>
      </c>
      <c r="E551" s="4" t="s">
        <v>301</v>
      </c>
      <c r="F551" t="s">
        <v>246</v>
      </c>
      <c r="G551" t="s">
        <v>301</v>
      </c>
      <c r="I551" t="s">
        <v>298</v>
      </c>
      <c r="J551" t="s">
        <v>299</v>
      </c>
      <c r="K551" s="4" t="s">
        <v>304</v>
      </c>
      <c r="L551" t="str">
        <f t="shared" si="16"/>
        <v>"Falls Church Public Schools"</v>
      </c>
      <c r="M551" t="s">
        <v>302</v>
      </c>
      <c r="N551" t="s">
        <v>303</v>
      </c>
      <c r="O551" s="4" t="s">
        <v>300</v>
      </c>
      <c r="P551" t="str">
        <f t="shared" si="17"/>
        <v>"40224"</v>
      </c>
    </row>
    <row r="552" spans="1:16" x14ac:dyDescent="0.2">
      <c r="A552" t="s">
        <v>301</v>
      </c>
      <c r="B552" s="5" t="s">
        <v>214</v>
      </c>
      <c r="C552" t="s">
        <v>301</v>
      </c>
      <c r="E552" s="4" t="s">
        <v>301</v>
      </c>
      <c r="F552" t="s">
        <v>247</v>
      </c>
      <c r="G552" t="s">
        <v>301</v>
      </c>
      <c r="I552" t="s">
        <v>298</v>
      </c>
      <c r="J552" t="s">
        <v>299</v>
      </c>
      <c r="K552" s="4" t="s">
        <v>304</v>
      </c>
      <c r="L552" t="str">
        <f t="shared" si="16"/>
        <v>"Colonial Heights City Schools"</v>
      </c>
      <c r="M552" t="s">
        <v>302</v>
      </c>
      <c r="N552" t="s">
        <v>303</v>
      </c>
      <c r="O552" s="4" t="s">
        <v>300</v>
      </c>
      <c r="P552" t="str">
        <f t="shared" si="17"/>
        <v>"40225"</v>
      </c>
    </row>
    <row r="553" spans="1:16" x14ac:dyDescent="0.2">
      <c r="A553" t="s">
        <v>301</v>
      </c>
      <c r="B553" s="5" t="s">
        <v>215</v>
      </c>
      <c r="C553" t="s">
        <v>301</v>
      </c>
      <c r="E553" s="4" t="s">
        <v>301</v>
      </c>
      <c r="F553" t="s">
        <v>248</v>
      </c>
      <c r="G553" t="s">
        <v>301</v>
      </c>
      <c r="I553" t="s">
        <v>298</v>
      </c>
      <c r="J553" t="s">
        <v>299</v>
      </c>
      <c r="K553" s="4" t="s">
        <v>304</v>
      </c>
      <c r="L553" t="str">
        <f t="shared" si="16"/>
        <v>"Covington City School Board"</v>
      </c>
      <c r="M553" t="s">
        <v>302</v>
      </c>
      <c r="N553" t="s">
        <v>303</v>
      </c>
      <c r="O553" s="4" t="s">
        <v>300</v>
      </c>
      <c r="P553" t="str">
        <f t="shared" si="17"/>
        <v>"40230"</v>
      </c>
    </row>
    <row r="554" spans="1:16" x14ac:dyDescent="0.2">
      <c r="A554" t="s">
        <v>301</v>
      </c>
      <c r="B554" s="5" t="s">
        <v>216</v>
      </c>
      <c r="C554" t="s">
        <v>301</v>
      </c>
      <c r="E554" s="4" t="s">
        <v>301</v>
      </c>
      <c r="F554" t="s">
        <v>249</v>
      </c>
      <c r="G554" t="s">
        <v>301</v>
      </c>
      <c r="I554" t="s">
        <v>298</v>
      </c>
      <c r="J554" t="s">
        <v>299</v>
      </c>
      <c r="K554" s="4" t="s">
        <v>304</v>
      </c>
      <c r="L554" t="str">
        <f t="shared" si="16"/>
        <v>"Fairfax City School Board"</v>
      </c>
      <c r="M554" t="s">
        <v>302</v>
      </c>
      <c r="N554" t="s">
        <v>303</v>
      </c>
      <c r="O554" s="4" t="s">
        <v>300</v>
      </c>
      <c r="P554" t="str">
        <f t="shared" si="17"/>
        <v>"40231"</v>
      </c>
    </row>
    <row r="555" spans="1:16" x14ac:dyDescent="0.2">
      <c r="A555" t="s">
        <v>301</v>
      </c>
      <c r="B555" s="5" t="s">
        <v>217</v>
      </c>
      <c r="C555" t="s">
        <v>301</v>
      </c>
      <c r="E555" s="4" t="s">
        <v>301</v>
      </c>
      <c r="F555" t="s">
        <v>250</v>
      </c>
      <c r="G555" t="s">
        <v>301</v>
      </c>
      <c r="I555" t="s">
        <v>298</v>
      </c>
      <c r="J555" t="s">
        <v>299</v>
      </c>
      <c r="K555" s="4" t="s">
        <v>304</v>
      </c>
      <c r="L555" t="str">
        <f t="shared" si="16"/>
        <v>"Franklin City Public Schools"</v>
      </c>
      <c r="M555" t="s">
        <v>302</v>
      </c>
      <c r="N555" t="s">
        <v>303</v>
      </c>
      <c r="O555" s="4" t="s">
        <v>300</v>
      </c>
      <c r="P555" t="str">
        <f t="shared" si="17"/>
        <v>"40232"</v>
      </c>
    </row>
    <row r="556" spans="1:16" x14ac:dyDescent="0.2">
      <c r="A556" t="s">
        <v>301</v>
      </c>
      <c r="B556" s="5" t="s">
        <v>218</v>
      </c>
      <c r="C556" t="s">
        <v>301</v>
      </c>
      <c r="E556" s="4" t="s">
        <v>301</v>
      </c>
      <c r="F556" t="s">
        <v>251</v>
      </c>
      <c r="G556" t="s">
        <v>301</v>
      </c>
      <c r="I556" t="s">
        <v>298</v>
      </c>
      <c r="J556" t="s">
        <v>299</v>
      </c>
      <c r="K556" s="4" t="s">
        <v>304</v>
      </c>
      <c r="L556" t="str">
        <f t="shared" si="16"/>
        <v>"Chesapeake Public Schools"</v>
      </c>
      <c r="M556" t="s">
        <v>302</v>
      </c>
      <c r="N556" t="s">
        <v>303</v>
      </c>
      <c r="O556" s="4" t="s">
        <v>300</v>
      </c>
      <c r="P556" t="str">
        <f t="shared" si="17"/>
        <v>"40233"</v>
      </c>
    </row>
    <row r="557" spans="1:16" x14ac:dyDescent="0.2">
      <c r="A557" t="s">
        <v>301</v>
      </c>
      <c r="B557" s="5" t="s">
        <v>219</v>
      </c>
      <c r="C557" t="s">
        <v>301</v>
      </c>
      <c r="E557" s="4" t="s">
        <v>301</v>
      </c>
      <c r="F557" t="s">
        <v>252</v>
      </c>
      <c r="G557" t="s">
        <v>301</v>
      </c>
      <c r="I557" t="s">
        <v>298</v>
      </c>
      <c r="J557" t="s">
        <v>299</v>
      </c>
      <c r="K557" s="4" t="s">
        <v>304</v>
      </c>
      <c r="L557" t="str">
        <f t="shared" si="16"/>
        <v>"Virginia Beach City School Board"</v>
      </c>
      <c r="M557" t="s">
        <v>302</v>
      </c>
      <c r="N557" t="s">
        <v>303</v>
      </c>
      <c r="O557" s="4" t="s">
        <v>300</v>
      </c>
      <c r="P557" t="str">
        <f t="shared" si="17"/>
        <v>"40234"</v>
      </c>
    </row>
    <row r="558" spans="1:16" x14ac:dyDescent="0.2">
      <c r="A558" t="s">
        <v>301</v>
      </c>
      <c r="B558" s="5" t="s">
        <v>220</v>
      </c>
      <c r="C558" t="s">
        <v>301</v>
      </c>
      <c r="E558" s="4" t="s">
        <v>301</v>
      </c>
      <c r="F558" t="s">
        <v>253</v>
      </c>
      <c r="G558" t="s">
        <v>301</v>
      </c>
      <c r="I558" t="s">
        <v>298</v>
      </c>
      <c r="J558" t="s">
        <v>299</v>
      </c>
      <c r="K558" s="4" t="s">
        <v>304</v>
      </c>
      <c r="L558" t="str">
        <f t="shared" si="16"/>
        <v>"Manassas Park City Schools"</v>
      </c>
      <c r="M558" t="s">
        <v>302</v>
      </c>
      <c r="N558" t="s">
        <v>303</v>
      </c>
      <c r="O558" s="4" t="s">
        <v>300</v>
      </c>
      <c r="P558" t="str">
        <f t="shared" si="17"/>
        <v>"40236"</v>
      </c>
    </row>
    <row r="559" spans="1:16" x14ac:dyDescent="0.2">
      <c r="A559" t="s">
        <v>301</v>
      </c>
      <c r="B559" s="5" t="s">
        <v>221</v>
      </c>
      <c r="C559" t="s">
        <v>301</v>
      </c>
      <c r="E559" s="4" t="s">
        <v>301</v>
      </c>
      <c r="F559" t="s">
        <v>254</v>
      </c>
      <c r="G559" t="s">
        <v>301</v>
      </c>
      <c r="I559" t="s">
        <v>298</v>
      </c>
      <c r="J559" t="s">
        <v>299</v>
      </c>
      <c r="K559" s="4" t="s">
        <v>304</v>
      </c>
      <c r="L559" t="str">
        <f t="shared" si="16"/>
        <v>"Town of West Point School Board"</v>
      </c>
      <c r="M559" t="s">
        <v>302</v>
      </c>
      <c r="N559" t="s">
        <v>303</v>
      </c>
      <c r="O559" s="4" t="s">
        <v>300</v>
      </c>
      <c r="P559" t="str">
        <f t="shared" si="17"/>
        <v>"40306"</v>
      </c>
    </row>
    <row r="560" spans="1:16" x14ac:dyDescent="0.2">
      <c r="A560" t="s">
        <v>301</v>
      </c>
      <c r="B560" s="5" t="s">
        <v>222</v>
      </c>
      <c r="C560" t="s">
        <v>301</v>
      </c>
      <c r="E560" s="4" t="s">
        <v>301</v>
      </c>
      <c r="F560" t="s">
        <v>255</v>
      </c>
      <c r="G560" t="s">
        <v>301</v>
      </c>
      <c r="I560" t="s">
        <v>298</v>
      </c>
      <c r="J560" t="s">
        <v>299</v>
      </c>
      <c r="K560" s="4" t="s">
        <v>304</v>
      </c>
      <c r="L560" t="str">
        <f t="shared" si="16"/>
        <v>"Lexington City School Board"</v>
      </c>
      <c r="M560" t="s">
        <v>302</v>
      </c>
      <c r="N560" t="s">
        <v>303</v>
      </c>
      <c r="O560" s="4" t="s">
        <v>300</v>
      </c>
      <c r="P560" t="str">
        <f t="shared" si="17"/>
        <v>"40307"</v>
      </c>
    </row>
    <row r="561" spans="1:16" x14ac:dyDescent="0.2">
      <c r="A561" t="s">
        <v>301</v>
      </c>
      <c r="B561" s="5" t="s">
        <v>223</v>
      </c>
      <c r="C561" t="s">
        <v>301</v>
      </c>
      <c r="E561" s="4" t="s">
        <v>301</v>
      </c>
      <c r="F561" t="s">
        <v>256</v>
      </c>
      <c r="G561" t="s">
        <v>301</v>
      </c>
      <c r="I561" t="s">
        <v>298</v>
      </c>
      <c r="J561" t="s">
        <v>299</v>
      </c>
      <c r="K561" s="4" t="s">
        <v>304</v>
      </c>
      <c r="L561" t="str">
        <f t="shared" si="16"/>
        <v>"Waynesboro Public Schools"</v>
      </c>
      <c r="M561" t="s">
        <v>302</v>
      </c>
      <c r="N561" t="s">
        <v>303</v>
      </c>
      <c r="O561" s="4" t="s">
        <v>300</v>
      </c>
      <c r="P561" t="str">
        <f t="shared" si="17"/>
        <v>"40308"</v>
      </c>
    </row>
    <row r="562" spans="1:16" x14ac:dyDescent="0.2">
      <c r="A562" t="s">
        <v>301</v>
      </c>
      <c r="B562" s="5" t="s">
        <v>224</v>
      </c>
      <c r="C562" t="s">
        <v>301</v>
      </c>
      <c r="E562" s="4" t="s">
        <v>301</v>
      </c>
      <c r="F562" t="s">
        <v>257</v>
      </c>
      <c r="G562" t="s">
        <v>301</v>
      </c>
      <c r="I562" t="s">
        <v>298</v>
      </c>
      <c r="J562" t="s">
        <v>299</v>
      </c>
      <c r="K562" s="4" t="s">
        <v>304</v>
      </c>
      <c r="L562" t="str">
        <f t="shared" si="16"/>
        <v>"Town of Colonial Beach Schools"</v>
      </c>
      <c r="M562" t="s">
        <v>302</v>
      </c>
      <c r="N562" t="s">
        <v>303</v>
      </c>
      <c r="O562" s="4" t="s">
        <v>300</v>
      </c>
      <c r="P562" t="str">
        <f t="shared" si="17"/>
        <v>"40309"</v>
      </c>
    </row>
    <row r="563" spans="1:16" x14ac:dyDescent="0.2">
      <c r="A563" t="s">
        <v>301</v>
      </c>
      <c r="B563" s="5" t="s">
        <v>225</v>
      </c>
      <c r="C563" t="s">
        <v>301</v>
      </c>
      <c r="E563" s="4" t="s">
        <v>301</v>
      </c>
      <c r="F563" t="s">
        <v>258</v>
      </c>
      <c r="G563" t="s">
        <v>301</v>
      </c>
      <c r="I563" t="s">
        <v>298</v>
      </c>
      <c r="J563" t="s">
        <v>299</v>
      </c>
      <c r="K563" s="4" t="s">
        <v>304</v>
      </c>
      <c r="L563" t="str">
        <f t="shared" si="16"/>
        <v>"Galax City Schools"</v>
      </c>
      <c r="M563" t="s">
        <v>302</v>
      </c>
      <c r="N563" t="s">
        <v>303</v>
      </c>
      <c r="O563" s="4" t="s">
        <v>300</v>
      </c>
      <c r="P563" t="str">
        <f t="shared" si="17"/>
        <v>"40313"</v>
      </c>
    </row>
    <row r="564" spans="1:16" x14ac:dyDescent="0.2">
      <c r="A564" t="s">
        <v>301</v>
      </c>
      <c r="B564" s="5" t="s">
        <v>226</v>
      </c>
      <c r="C564" t="s">
        <v>301</v>
      </c>
      <c r="E564" s="4" t="s">
        <v>301</v>
      </c>
      <c r="F564" t="s">
        <v>259</v>
      </c>
      <c r="G564" t="s">
        <v>301</v>
      </c>
      <c r="I564" t="s">
        <v>298</v>
      </c>
      <c r="J564" t="s">
        <v>299</v>
      </c>
      <c r="K564" s="4" t="s">
        <v>304</v>
      </c>
      <c r="L564" t="str">
        <f t="shared" si="16"/>
        <v>"Norton City Schools"</v>
      </c>
      <c r="M564" t="s">
        <v>302</v>
      </c>
      <c r="N564" t="s">
        <v>303</v>
      </c>
      <c r="O564" s="4" t="s">
        <v>300</v>
      </c>
      <c r="P564" t="str">
        <f t="shared" si="17"/>
        <v>"40314"</v>
      </c>
    </row>
    <row r="565" spans="1:16" x14ac:dyDescent="0.2">
      <c r="A565" t="s">
        <v>301</v>
      </c>
      <c r="B565" s="5" t="s">
        <v>227</v>
      </c>
      <c r="C565" t="s">
        <v>301</v>
      </c>
      <c r="E565" s="4" t="s">
        <v>301</v>
      </c>
      <c r="F565" t="s">
        <v>260</v>
      </c>
      <c r="G565" t="s">
        <v>301</v>
      </c>
      <c r="I565" t="s">
        <v>298</v>
      </c>
      <c r="J565" t="s">
        <v>299</v>
      </c>
      <c r="K565" s="4" t="s">
        <v>304</v>
      </c>
      <c r="L565" t="str">
        <f t="shared" si="16"/>
        <v>"Manassas City Schools"</v>
      </c>
      <c r="M565" t="s">
        <v>302</v>
      </c>
      <c r="N565" t="s">
        <v>303</v>
      </c>
      <c r="O565" s="4" t="s">
        <v>300</v>
      </c>
      <c r="P565" t="str">
        <f t="shared" si="17"/>
        <v>"40332"</v>
      </c>
    </row>
    <row r="566" spans="1:16" x14ac:dyDescent="0.2">
      <c r="A566" t="s">
        <v>301</v>
      </c>
      <c r="B566" s="5" t="s">
        <v>228</v>
      </c>
      <c r="C566" t="s">
        <v>301</v>
      </c>
      <c r="E566" s="4" t="s">
        <v>301</v>
      </c>
      <c r="F566" t="s">
        <v>261</v>
      </c>
      <c r="G566" t="s">
        <v>301</v>
      </c>
      <c r="I566" t="s">
        <v>298</v>
      </c>
      <c r="J566" t="s">
        <v>299</v>
      </c>
      <c r="K566" s="4" t="s">
        <v>304</v>
      </c>
      <c r="L566" t="str">
        <f t="shared" si="16"/>
        <v>"City of Salem Schools"</v>
      </c>
      <c r="M566" t="s">
        <v>302</v>
      </c>
      <c r="N566" t="s">
        <v>303</v>
      </c>
      <c r="O566" s="4" t="s">
        <v>300</v>
      </c>
      <c r="P566" t="str">
        <f t="shared" si="17"/>
        <v>"40335"</v>
      </c>
    </row>
    <row r="567" spans="1:16" x14ac:dyDescent="0.2">
      <c r="A567" t="s">
        <v>301</v>
      </c>
      <c r="B567" s="5" t="s">
        <v>294</v>
      </c>
      <c r="C567" t="s">
        <v>301</v>
      </c>
      <c r="E567" s="4" t="s">
        <v>301</v>
      </c>
      <c r="F567" t="s">
        <v>276</v>
      </c>
      <c r="G567" t="s">
        <v>301</v>
      </c>
      <c r="I567" t="s">
        <v>298</v>
      </c>
      <c r="J567" t="s">
        <v>299</v>
      </c>
      <c r="K567" s="4" t="s">
        <v>304</v>
      </c>
      <c r="L567" t="str">
        <f t="shared" si="16"/>
        <v>"Williamsburg-James City County School Board"</v>
      </c>
      <c r="M567" t="s">
        <v>302</v>
      </c>
      <c r="N567" t="s">
        <v>303</v>
      </c>
      <c r="O567" s="4" t="s">
        <v>300</v>
      </c>
      <c r="P567" t="str">
        <f t="shared" si="17"/>
        <v>"40402"</v>
      </c>
    </row>
    <row r="568" spans="1:16" x14ac:dyDescent="0.2">
      <c r="A568" t="s">
        <v>301</v>
      </c>
      <c r="B568" s="5" t="s">
        <v>263</v>
      </c>
      <c r="C568" t="s">
        <v>301</v>
      </c>
      <c r="E568" s="4" t="s">
        <v>301</v>
      </c>
      <c r="F568" t="s">
        <v>277</v>
      </c>
      <c r="G568" t="s">
        <v>301</v>
      </c>
      <c r="I568" t="s">
        <v>298</v>
      </c>
      <c r="J568" t="s">
        <v>299</v>
      </c>
      <c r="K568" s="4" t="s">
        <v>304</v>
      </c>
      <c r="L568" t="str">
        <f t="shared" si="16"/>
        <v>"Poquoson City Public Schools"</v>
      </c>
      <c r="M568" t="s">
        <v>302</v>
      </c>
      <c r="N568" t="s">
        <v>303</v>
      </c>
      <c r="O568" s="4" t="s">
        <v>300</v>
      </c>
      <c r="P568" t="str">
        <f t="shared" si="17"/>
        <v>"40403"</v>
      </c>
    </row>
    <row r="569" spans="1:16" x14ac:dyDescent="0.2">
      <c r="A569" t="s">
        <v>301</v>
      </c>
      <c r="B569" s="5" t="s">
        <v>264</v>
      </c>
      <c r="C569" t="s">
        <v>301</v>
      </c>
      <c r="E569" s="4" t="s">
        <v>301</v>
      </c>
      <c r="F569" t="s">
        <v>278</v>
      </c>
      <c r="G569" t="s">
        <v>301</v>
      </c>
      <c r="I569" t="s">
        <v>298</v>
      </c>
      <c r="J569" t="s">
        <v>299</v>
      </c>
      <c r="K569" s="4" t="s">
        <v>304</v>
      </c>
      <c r="L569" t="str">
        <f t="shared" si="16"/>
        <v>"Valley Vocational Technical Center"</v>
      </c>
      <c r="M569" t="s">
        <v>302</v>
      </c>
      <c r="N569" t="s">
        <v>303</v>
      </c>
      <c r="O569" s="4" t="s">
        <v>300</v>
      </c>
      <c r="P569" t="str">
        <f t="shared" si="17"/>
        <v>"40410"</v>
      </c>
    </row>
    <row r="570" spans="1:16" x14ac:dyDescent="0.2">
      <c r="A570" t="s">
        <v>301</v>
      </c>
      <c r="B570" s="5" t="s">
        <v>295</v>
      </c>
      <c r="C570" t="s">
        <v>301</v>
      </c>
      <c r="E570" s="4" t="s">
        <v>301</v>
      </c>
      <c r="F570" t="s">
        <v>279</v>
      </c>
      <c r="G570" t="s">
        <v>301</v>
      </c>
      <c r="I570" t="s">
        <v>298</v>
      </c>
      <c r="J570" t="s">
        <v>299</v>
      </c>
      <c r="K570" s="4" t="s">
        <v>304</v>
      </c>
      <c r="L570" t="str">
        <f t="shared" si="16"/>
        <v>"Charlottesville/Albemarle Vo-Tech Center"</v>
      </c>
      <c r="M570" t="s">
        <v>302</v>
      </c>
      <c r="N570" t="s">
        <v>303</v>
      </c>
      <c r="O570" s="4" t="s">
        <v>300</v>
      </c>
      <c r="P570" t="str">
        <f t="shared" si="17"/>
        <v>"40412"</v>
      </c>
    </row>
    <row r="571" spans="1:16" x14ac:dyDescent="0.2">
      <c r="A571" t="s">
        <v>301</v>
      </c>
      <c r="B571" s="5" t="s">
        <v>266</v>
      </c>
      <c r="C571" t="s">
        <v>301</v>
      </c>
      <c r="E571" s="4" t="s">
        <v>301</v>
      </c>
      <c r="F571" t="s">
        <v>280</v>
      </c>
      <c r="G571" t="s">
        <v>301</v>
      </c>
      <c r="I571" t="s">
        <v>298</v>
      </c>
      <c r="J571" t="s">
        <v>299</v>
      </c>
      <c r="K571" s="4" t="s">
        <v>304</v>
      </c>
      <c r="L571" t="str">
        <f t="shared" si="16"/>
        <v>"The Pruden Center for Industry and Technology"</v>
      </c>
      <c r="M571" t="s">
        <v>302</v>
      </c>
      <c r="N571" t="s">
        <v>303</v>
      </c>
      <c r="O571" s="4" t="s">
        <v>300</v>
      </c>
      <c r="P571" t="str">
        <f t="shared" si="17"/>
        <v>"40413"</v>
      </c>
    </row>
    <row r="572" spans="1:16" x14ac:dyDescent="0.2">
      <c r="A572" t="s">
        <v>301</v>
      </c>
      <c r="B572" s="5" t="s">
        <v>267</v>
      </c>
      <c r="C572" t="s">
        <v>301</v>
      </c>
      <c r="E572" s="4" t="s">
        <v>301</v>
      </c>
      <c r="F572" t="s">
        <v>281</v>
      </c>
      <c r="G572" t="s">
        <v>301</v>
      </c>
      <c r="I572" t="s">
        <v>298</v>
      </c>
      <c r="J572" t="s">
        <v>299</v>
      </c>
      <c r="K572" s="4" t="s">
        <v>304</v>
      </c>
      <c r="L572" t="str">
        <f t="shared" si="16"/>
        <v>"Jackson River Technical Center"</v>
      </c>
      <c r="M572" t="s">
        <v>302</v>
      </c>
      <c r="N572" t="s">
        <v>303</v>
      </c>
      <c r="O572" s="4" t="s">
        <v>300</v>
      </c>
      <c r="P572" t="str">
        <f t="shared" si="17"/>
        <v>"40414"</v>
      </c>
    </row>
    <row r="573" spans="1:16" x14ac:dyDescent="0.2">
      <c r="A573" t="s">
        <v>301</v>
      </c>
      <c r="B573" s="5" t="s">
        <v>268</v>
      </c>
      <c r="C573" t="s">
        <v>301</v>
      </c>
      <c r="E573" s="4" t="s">
        <v>301</v>
      </c>
      <c r="F573" t="s">
        <v>282</v>
      </c>
      <c r="G573" t="s">
        <v>301</v>
      </c>
      <c r="I573" t="s">
        <v>298</v>
      </c>
      <c r="J573" t="s">
        <v>299</v>
      </c>
      <c r="K573" s="4" t="s">
        <v>304</v>
      </c>
      <c r="L573" t="str">
        <f t="shared" si="16"/>
        <v>"New Horizons Technical Center"</v>
      </c>
      <c r="M573" t="s">
        <v>302</v>
      </c>
      <c r="N573" t="s">
        <v>303</v>
      </c>
      <c r="O573" s="4" t="s">
        <v>300</v>
      </c>
      <c r="P573" t="str">
        <f t="shared" si="17"/>
        <v>"40415"</v>
      </c>
    </row>
    <row r="574" spans="1:16" x14ac:dyDescent="0.2">
      <c r="A574" t="s">
        <v>301</v>
      </c>
      <c r="B574" s="5" t="s">
        <v>269</v>
      </c>
      <c r="C574" t="s">
        <v>301</v>
      </c>
      <c r="E574" s="4" t="s">
        <v>301</v>
      </c>
      <c r="F574" t="s">
        <v>283</v>
      </c>
      <c r="G574" t="s">
        <v>301</v>
      </c>
      <c r="I574" t="s">
        <v>298</v>
      </c>
      <c r="J574" t="s">
        <v>299</v>
      </c>
      <c r="K574" s="4" t="s">
        <v>304</v>
      </c>
      <c r="L574" t="str">
        <f t="shared" si="16"/>
        <v>"Northern Neck Regional Vocational Center"</v>
      </c>
      <c r="M574" t="s">
        <v>302</v>
      </c>
      <c r="N574" t="s">
        <v>303</v>
      </c>
      <c r="O574" s="4" t="s">
        <v>300</v>
      </c>
      <c r="P574" t="str">
        <f t="shared" si="17"/>
        <v>"40416"</v>
      </c>
    </row>
    <row r="575" spans="1:16" x14ac:dyDescent="0.2">
      <c r="A575" t="s">
        <v>301</v>
      </c>
      <c r="B575" s="5" t="s">
        <v>270</v>
      </c>
      <c r="C575" t="s">
        <v>301</v>
      </c>
      <c r="E575" s="4" t="s">
        <v>301</v>
      </c>
      <c r="F575" t="s">
        <v>284</v>
      </c>
      <c r="G575" t="s">
        <v>301</v>
      </c>
      <c r="I575" t="s">
        <v>298</v>
      </c>
      <c r="J575" t="s">
        <v>299</v>
      </c>
      <c r="K575" s="4" t="s">
        <v>304</v>
      </c>
      <c r="L575" t="str">
        <f t="shared" si="16"/>
        <v>"Rowanty Vocational Technical Center"</v>
      </c>
      <c r="M575" t="s">
        <v>302</v>
      </c>
      <c r="N575" t="s">
        <v>303</v>
      </c>
      <c r="O575" s="4" t="s">
        <v>300</v>
      </c>
      <c r="P575" t="str">
        <f t="shared" si="17"/>
        <v>"40417"</v>
      </c>
    </row>
    <row r="576" spans="1:16" x14ac:dyDescent="0.2">
      <c r="A576" t="s">
        <v>301</v>
      </c>
      <c r="B576" s="5" t="s">
        <v>296</v>
      </c>
      <c r="C576" t="s">
        <v>301</v>
      </c>
      <c r="E576" s="4" t="s">
        <v>301</v>
      </c>
      <c r="F576" t="s">
        <v>285</v>
      </c>
      <c r="G576" t="s">
        <v>301</v>
      </c>
      <c r="I576" t="s">
        <v>298</v>
      </c>
      <c r="J576" t="s">
        <v>299</v>
      </c>
      <c r="K576" s="4" t="s">
        <v>304</v>
      </c>
      <c r="L576" t="str">
        <f t="shared" si="16"/>
        <v>"Amelia-Nottoway Vocational Center"</v>
      </c>
      <c r="M576" t="s">
        <v>302</v>
      </c>
      <c r="N576" t="s">
        <v>303</v>
      </c>
      <c r="O576" s="4" t="s">
        <v>300</v>
      </c>
      <c r="P576" t="str">
        <f t="shared" si="17"/>
        <v>"40418"</v>
      </c>
    </row>
    <row r="577" spans="1:16" x14ac:dyDescent="0.2">
      <c r="A577" t="s">
        <v>301</v>
      </c>
      <c r="B577" s="5" t="s">
        <v>272</v>
      </c>
      <c r="C577" t="s">
        <v>301</v>
      </c>
      <c r="E577" s="4" t="s">
        <v>301</v>
      </c>
      <c r="F577" t="s">
        <v>286</v>
      </c>
      <c r="G577" t="s">
        <v>301</v>
      </c>
      <c r="I577" t="s">
        <v>298</v>
      </c>
      <c r="J577" t="s">
        <v>299</v>
      </c>
      <c r="K577" s="4" t="s">
        <v>304</v>
      </c>
      <c r="L577" t="str">
        <f t="shared" si="16"/>
        <v>"Northern Neck Regional Special Education Program"</v>
      </c>
      <c r="M577" t="s">
        <v>302</v>
      </c>
      <c r="N577" t="s">
        <v>303</v>
      </c>
      <c r="O577" s="4" t="s">
        <v>300</v>
      </c>
      <c r="P577" t="str">
        <f t="shared" si="17"/>
        <v>"40421"</v>
      </c>
    </row>
    <row r="578" spans="1:16" x14ac:dyDescent="0.2">
      <c r="A578" t="s">
        <v>301</v>
      </c>
      <c r="B578" s="5" t="s">
        <v>273</v>
      </c>
      <c r="C578" t="s">
        <v>301</v>
      </c>
      <c r="E578" s="4" t="s">
        <v>301</v>
      </c>
      <c r="F578" t="s">
        <v>287</v>
      </c>
      <c r="G578" t="s">
        <v>301</v>
      </c>
      <c r="I578" t="s">
        <v>298</v>
      </c>
      <c r="J578" t="s">
        <v>299</v>
      </c>
      <c r="K578" s="4" t="s">
        <v>304</v>
      </c>
      <c r="L578" t="str">
        <f t="shared" ref="L578:L641" si="18">_xlfn.TEXTJOIN("",TRUE,A578:C578)</f>
        <v>"Maggie Walker Governor's School for Govt &amp; Intl Studies"</v>
      </c>
      <c r="M578" t="s">
        <v>302</v>
      </c>
      <c r="N578" t="s">
        <v>303</v>
      </c>
      <c r="O578" s="4" t="s">
        <v>300</v>
      </c>
      <c r="P578" t="str">
        <f t="shared" ref="P578:P641" si="19">_xlfn.TEXTJOIN("",TRUE,E578:G578)</f>
        <v>"40423"</v>
      </c>
    </row>
    <row r="579" spans="1:16" x14ac:dyDescent="0.2">
      <c r="A579" t="s">
        <v>301</v>
      </c>
      <c r="B579" s="5" t="s">
        <v>274</v>
      </c>
      <c r="C579" t="s">
        <v>301</v>
      </c>
      <c r="E579" s="4" t="s">
        <v>301</v>
      </c>
      <c r="F579" t="s">
        <v>288</v>
      </c>
      <c r="G579" t="s">
        <v>301</v>
      </c>
      <c r="I579" t="s">
        <v>298</v>
      </c>
      <c r="J579" t="s">
        <v>299</v>
      </c>
      <c r="K579" s="4" t="s">
        <v>304</v>
      </c>
      <c r="L579" t="str">
        <f t="shared" si="18"/>
        <v>"Appomattox Region Governor's School"</v>
      </c>
      <c r="M579" t="s">
        <v>302</v>
      </c>
      <c r="N579" t="s">
        <v>303</v>
      </c>
      <c r="O579" s="4" t="s">
        <v>300</v>
      </c>
      <c r="P579" t="str">
        <f t="shared" si="19"/>
        <v>"40424"</v>
      </c>
    </row>
    <row r="580" spans="1:16" x14ac:dyDescent="0.2">
      <c r="A580" t="s">
        <v>301</v>
      </c>
      <c r="B580" s="5" t="s">
        <v>275</v>
      </c>
      <c r="C580" t="s">
        <v>301</v>
      </c>
      <c r="E580" s="4" t="s">
        <v>301</v>
      </c>
      <c r="F580" t="s">
        <v>289</v>
      </c>
      <c r="G580" t="s">
        <v>301</v>
      </c>
      <c r="I580" t="s">
        <v>298</v>
      </c>
      <c r="J580" t="s">
        <v>299</v>
      </c>
      <c r="K580" s="4" t="s">
        <v>304</v>
      </c>
      <c r="L580" t="str">
        <f t="shared" si="18"/>
        <v>"Bridging Communities Regional Career and Tech Center"</v>
      </c>
      <c r="M580" t="s">
        <v>302</v>
      </c>
      <c r="N580" t="s">
        <v>303</v>
      </c>
      <c r="O580" s="4" t="s">
        <v>300</v>
      </c>
      <c r="P580" t="str">
        <f t="shared" si="19"/>
        <v>"40425"</v>
      </c>
    </row>
    <row r="581" spans="1:16" x14ac:dyDescent="0.2">
      <c r="A581" t="s">
        <v>301</v>
      </c>
      <c r="B581" s="5" t="s">
        <v>0</v>
      </c>
      <c r="C581" t="s">
        <v>301</v>
      </c>
      <c r="E581" s="4" t="s">
        <v>301</v>
      </c>
      <c r="F581">
        <v>40100</v>
      </c>
      <c r="G581" t="s">
        <v>301</v>
      </c>
      <c r="I581" t="s">
        <v>298</v>
      </c>
      <c r="J581" t="s">
        <v>299</v>
      </c>
      <c r="K581" s="4" t="s">
        <v>304</v>
      </c>
      <c r="L581" t="str">
        <f t="shared" si="18"/>
        <v>"Accomack County School Board"</v>
      </c>
      <c r="M581" t="s">
        <v>302</v>
      </c>
      <c r="N581" t="s">
        <v>303</v>
      </c>
      <c r="O581" s="4" t="s">
        <v>300</v>
      </c>
      <c r="P581" t="str">
        <f t="shared" si="19"/>
        <v>"40100"</v>
      </c>
    </row>
    <row r="582" spans="1:16" x14ac:dyDescent="0.2">
      <c r="A582" t="s">
        <v>301</v>
      </c>
      <c r="B582" s="5" t="s">
        <v>1</v>
      </c>
      <c r="C582" t="s">
        <v>301</v>
      </c>
      <c r="E582" s="4" t="s">
        <v>301</v>
      </c>
      <c r="F582">
        <v>40101</v>
      </c>
      <c r="G582" t="s">
        <v>301</v>
      </c>
      <c r="I582" t="s">
        <v>298</v>
      </c>
      <c r="J582" t="s">
        <v>299</v>
      </c>
      <c r="K582" s="4" t="s">
        <v>304</v>
      </c>
      <c r="L582" t="str">
        <f t="shared" si="18"/>
        <v>"Albemarle County Schools"</v>
      </c>
      <c r="M582" t="s">
        <v>302</v>
      </c>
      <c r="N582" t="s">
        <v>303</v>
      </c>
      <c r="O582" s="4" t="s">
        <v>300</v>
      </c>
      <c r="P582" t="str">
        <f t="shared" si="19"/>
        <v>"40101"</v>
      </c>
    </row>
    <row r="583" spans="1:16" x14ac:dyDescent="0.2">
      <c r="A583" t="s">
        <v>301</v>
      </c>
      <c r="B583" s="5" t="s">
        <v>2</v>
      </c>
      <c r="C583" t="s">
        <v>301</v>
      </c>
      <c r="E583" s="4" t="s">
        <v>301</v>
      </c>
      <c r="F583">
        <v>40102</v>
      </c>
      <c r="G583" t="s">
        <v>301</v>
      </c>
      <c r="I583" t="s">
        <v>298</v>
      </c>
      <c r="J583" t="s">
        <v>299</v>
      </c>
      <c r="K583" s="4" t="s">
        <v>304</v>
      </c>
      <c r="L583" t="str">
        <f t="shared" si="18"/>
        <v>"Alleghany County School Board"</v>
      </c>
      <c r="M583" t="s">
        <v>302</v>
      </c>
      <c r="N583" t="s">
        <v>303</v>
      </c>
      <c r="O583" s="4" t="s">
        <v>300</v>
      </c>
      <c r="P583" t="str">
        <f t="shared" si="19"/>
        <v>"40102"</v>
      </c>
    </row>
    <row r="584" spans="1:16" x14ac:dyDescent="0.2">
      <c r="A584" t="s">
        <v>301</v>
      </c>
      <c r="B584" s="5" t="s">
        <v>3</v>
      </c>
      <c r="C584" t="s">
        <v>301</v>
      </c>
      <c r="E584" s="4" t="s">
        <v>301</v>
      </c>
      <c r="F584">
        <v>40103</v>
      </c>
      <c r="G584" t="s">
        <v>301</v>
      </c>
      <c r="I584" t="s">
        <v>298</v>
      </c>
      <c r="J584" t="s">
        <v>299</v>
      </c>
      <c r="K584" s="4" t="s">
        <v>304</v>
      </c>
      <c r="L584" t="str">
        <f t="shared" si="18"/>
        <v>"Amelia County School Board"</v>
      </c>
      <c r="M584" t="s">
        <v>302</v>
      </c>
      <c r="N584" t="s">
        <v>303</v>
      </c>
      <c r="O584" s="4" t="s">
        <v>300</v>
      </c>
      <c r="P584" t="str">
        <f t="shared" si="19"/>
        <v>"40103"</v>
      </c>
    </row>
    <row r="585" spans="1:16" x14ac:dyDescent="0.2">
      <c r="A585" t="s">
        <v>301</v>
      </c>
      <c r="B585" s="5" t="s">
        <v>4</v>
      </c>
      <c r="C585" t="s">
        <v>301</v>
      </c>
      <c r="E585" s="4" t="s">
        <v>301</v>
      </c>
      <c r="F585">
        <v>40104</v>
      </c>
      <c r="G585" t="s">
        <v>301</v>
      </c>
      <c r="I585" t="s">
        <v>298</v>
      </c>
      <c r="J585" t="s">
        <v>299</v>
      </c>
      <c r="K585" s="4" t="s">
        <v>304</v>
      </c>
      <c r="L585" t="str">
        <f t="shared" si="18"/>
        <v>"Amherst County School Board"</v>
      </c>
      <c r="M585" t="s">
        <v>302</v>
      </c>
      <c r="N585" t="s">
        <v>303</v>
      </c>
      <c r="O585" s="4" t="s">
        <v>300</v>
      </c>
      <c r="P585" t="str">
        <f t="shared" si="19"/>
        <v>"40104"</v>
      </c>
    </row>
    <row r="586" spans="1:16" x14ac:dyDescent="0.2">
      <c r="A586" t="s">
        <v>301</v>
      </c>
      <c r="B586" s="5" t="s">
        <v>5</v>
      </c>
      <c r="C586" t="s">
        <v>301</v>
      </c>
      <c r="E586" s="4" t="s">
        <v>301</v>
      </c>
      <c r="F586">
        <v>40105</v>
      </c>
      <c r="G586" t="s">
        <v>301</v>
      </c>
      <c r="I586" t="s">
        <v>298</v>
      </c>
      <c r="J586" t="s">
        <v>299</v>
      </c>
      <c r="K586" s="4" t="s">
        <v>304</v>
      </c>
      <c r="L586" t="str">
        <f t="shared" si="18"/>
        <v>"Appomattox County School Board"</v>
      </c>
      <c r="M586" t="s">
        <v>302</v>
      </c>
      <c r="N586" t="s">
        <v>303</v>
      </c>
      <c r="O586" s="4" t="s">
        <v>300</v>
      </c>
      <c r="P586" t="str">
        <f t="shared" si="19"/>
        <v>"40105"</v>
      </c>
    </row>
    <row r="587" spans="1:16" x14ac:dyDescent="0.2">
      <c r="A587" t="s">
        <v>301</v>
      </c>
      <c r="B587" s="5" t="s">
        <v>6</v>
      </c>
      <c r="C587" t="s">
        <v>301</v>
      </c>
      <c r="E587" s="4" t="s">
        <v>301</v>
      </c>
      <c r="F587">
        <v>40106</v>
      </c>
      <c r="G587" t="s">
        <v>301</v>
      </c>
      <c r="I587" t="s">
        <v>298</v>
      </c>
      <c r="J587" t="s">
        <v>299</v>
      </c>
      <c r="K587" s="4" t="s">
        <v>304</v>
      </c>
      <c r="L587" t="str">
        <f t="shared" si="18"/>
        <v>"Arlington Public Schools"</v>
      </c>
      <c r="M587" t="s">
        <v>302</v>
      </c>
      <c r="N587" t="s">
        <v>303</v>
      </c>
      <c r="O587" s="4" t="s">
        <v>300</v>
      </c>
      <c r="P587" t="str">
        <f t="shared" si="19"/>
        <v>"40106"</v>
      </c>
    </row>
    <row r="588" spans="1:16" x14ac:dyDescent="0.2">
      <c r="A588" t="s">
        <v>301</v>
      </c>
      <c r="B588" s="5" t="s">
        <v>7</v>
      </c>
      <c r="C588" t="s">
        <v>301</v>
      </c>
      <c r="E588" s="4" t="s">
        <v>301</v>
      </c>
      <c r="F588">
        <v>40107</v>
      </c>
      <c r="G588" t="s">
        <v>301</v>
      </c>
      <c r="I588" t="s">
        <v>298</v>
      </c>
      <c r="J588" t="s">
        <v>299</v>
      </c>
      <c r="K588" s="4" t="s">
        <v>304</v>
      </c>
      <c r="L588" t="str">
        <f t="shared" si="18"/>
        <v>"Augusta County School Board"</v>
      </c>
      <c r="M588" t="s">
        <v>302</v>
      </c>
      <c r="N588" t="s">
        <v>303</v>
      </c>
      <c r="O588" s="4" t="s">
        <v>300</v>
      </c>
      <c r="P588" t="str">
        <f t="shared" si="19"/>
        <v>"40107"</v>
      </c>
    </row>
    <row r="589" spans="1:16" x14ac:dyDescent="0.2">
      <c r="A589" t="s">
        <v>301</v>
      </c>
      <c r="B589" s="5" t="s">
        <v>8</v>
      </c>
      <c r="C589" t="s">
        <v>301</v>
      </c>
      <c r="E589" s="4" t="s">
        <v>301</v>
      </c>
      <c r="F589">
        <v>40108</v>
      </c>
      <c r="G589" t="s">
        <v>301</v>
      </c>
      <c r="I589" t="s">
        <v>298</v>
      </c>
      <c r="J589" t="s">
        <v>299</v>
      </c>
      <c r="K589" s="4" t="s">
        <v>304</v>
      </c>
      <c r="L589" t="str">
        <f t="shared" si="18"/>
        <v>"Bath County School Board"</v>
      </c>
      <c r="M589" t="s">
        <v>302</v>
      </c>
      <c r="N589" t="s">
        <v>303</v>
      </c>
      <c r="O589" s="4" t="s">
        <v>300</v>
      </c>
      <c r="P589" t="str">
        <f t="shared" si="19"/>
        <v>"40108"</v>
      </c>
    </row>
    <row r="590" spans="1:16" x14ac:dyDescent="0.2">
      <c r="A590" t="s">
        <v>301</v>
      </c>
      <c r="B590" s="5" t="s">
        <v>9</v>
      </c>
      <c r="C590" t="s">
        <v>301</v>
      </c>
      <c r="E590" s="4" t="s">
        <v>301</v>
      </c>
      <c r="F590">
        <v>40109</v>
      </c>
      <c r="G590" t="s">
        <v>301</v>
      </c>
      <c r="I590" t="s">
        <v>298</v>
      </c>
      <c r="J590" t="s">
        <v>299</v>
      </c>
      <c r="K590" s="4" t="s">
        <v>304</v>
      </c>
      <c r="L590" t="str">
        <f t="shared" si="18"/>
        <v>"Bedford County School Board"</v>
      </c>
      <c r="M590" t="s">
        <v>302</v>
      </c>
      <c r="N590" t="s">
        <v>303</v>
      </c>
      <c r="O590" s="4" t="s">
        <v>300</v>
      </c>
      <c r="P590" t="str">
        <f t="shared" si="19"/>
        <v>"40109"</v>
      </c>
    </row>
    <row r="591" spans="1:16" x14ac:dyDescent="0.2">
      <c r="A591" t="s">
        <v>301</v>
      </c>
      <c r="B591" s="5" t="s">
        <v>10</v>
      </c>
      <c r="C591" t="s">
        <v>301</v>
      </c>
      <c r="E591" s="4" t="s">
        <v>301</v>
      </c>
      <c r="F591">
        <v>40110</v>
      </c>
      <c r="G591" t="s">
        <v>301</v>
      </c>
      <c r="I591" t="s">
        <v>298</v>
      </c>
      <c r="J591" t="s">
        <v>299</v>
      </c>
      <c r="K591" s="4" t="s">
        <v>304</v>
      </c>
      <c r="L591" t="str">
        <f t="shared" si="18"/>
        <v>"Bland County School Board"</v>
      </c>
      <c r="M591" t="s">
        <v>302</v>
      </c>
      <c r="N591" t="s">
        <v>303</v>
      </c>
      <c r="O591" s="4" t="s">
        <v>300</v>
      </c>
      <c r="P591" t="str">
        <f t="shared" si="19"/>
        <v>"40110"</v>
      </c>
    </row>
    <row r="592" spans="1:16" x14ac:dyDescent="0.2">
      <c r="A592" t="s">
        <v>301</v>
      </c>
      <c r="B592" s="5" t="s">
        <v>11</v>
      </c>
      <c r="C592" t="s">
        <v>301</v>
      </c>
      <c r="E592" s="4" t="s">
        <v>301</v>
      </c>
      <c r="F592">
        <v>40111</v>
      </c>
      <c r="G592" t="s">
        <v>301</v>
      </c>
      <c r="I592" t="s">
        <v>298</v>
      </c>
      <c r="J592" t="s">
        <v>299</v>
      </c>
      <c r="K592" s="4" t="s">
        <v>304</v>
      </c>
      <c r="L592" t="str">
        <f t="shared" si="18"/>
        <v>"Botetourt County Schools"</v>
      </c>
      <c r="M592" t="s">
        <v>302</v>
      </c>
      <c r="N592" t="s">
        <v>303</v>
      </c>
      <c r="O592" s="4" t="s">
        <v>300</v>
      </c>
      <c r="P592" t="str">
        <f t="shared" si="19"/>
        <v>"40111"</v>
      </c>
    </row>
    <row r="593" spans="1:16" x14ac:dyDescent="0.2">
      <c r="A593" t="s">
        <v>301</v>
      </c>
      <c r="B593" s="5" t="s">
        <v>12</v>
      </c>
      <c r="C593" t="s">
        <v>301</v>
      </c>
      <c r="E593" s="4" t="s">
        <v>301</v>
      </c>
      <c r="F593">
        <v>40112</v>
      </c>
      <c r="G593" t="s">
        <v>301</v>
      </c>
      <c r="I593" t="s">
        <v>298</v>
      </c>
      <c r="J593" t="s">
        <v>299</v>
      </c>
      <c r="K593" s="4" t="s">
        <v>304</v>
      </c>
      <c r="L593" t="str">
        <f t="shared" si="18"/>
        <v>"Brunswick County Public Schools"</v>
      </c>
      <c r="M593" t="s">
        <v>302</v>
      </c>
      <c r="N593" t="s">
        <v>303</v>
      </c>
      <c r="O593" s="4" t="s">
        <v>300</v>
      </c>
      <c r="P593" t="str">
        <f t="shared" si="19"/>
        <v>"40112"</v>
      </c>
    </row>
    <row r="594" spans="1:16" x14ac:dyDescent="0.2">
      <c r="A594" t="s">
        <v>301</v>
      </c>
      <c r="B594" s="5" t="s">
        <v>13</v>
      </c>
      <c r="C594" t="s">
        <v>301</v>
      </c>
      <c r="E594" s="4" t="s">
        <v>301</v>
      </c>
      <c r="F594">
        <v>40113</v>
      </c>
      <c r="G594" t="s">
        <v>301</v>
      </c>
      <c r="I594" t="s">
        <v>298</v>
      </c>
      <c r="J594" t="s">
        <v>299</v>
      </c>
      <c r="K594" s="4" t="s">
        <v>304</v>
      </c>
      <c r="L594" t="str">
        <f t="shared" si="18"/>
        <v>"Buchanan County School Board"</v>
      </c>
      <c r="M594" t="s">
        <v>302</v>
      </c>
      <c r="N594" t="s">
        <v>303</v>
      </c>
      <c r="O594" s="4" t="s">
        <v>300</v>
      </c>
      <c r="P594" t="str">
        <f t="shared" si="19"/>
        <v>"40113"</v>
      </c>
    </row>
    <row r="595" spans="1:16" x14ac:dyDescent="0.2">
      <c r="A595" t="s">
        <v>301</v>
      </c>
      <c r="B595" s="5" t="s">
        <v>14</v>
      </c>
      <c r="C595" t="s">
        <v>301</v>
      </c>
      <c r="E595" s="4" t="s">
        <v>301</v>
      </c>
      <c r="F595">
        <v>40114</v>
      </c>
      <c r="G595" t="s">
        <v>301</v>
      </c>
      <c r="I595" t="s">
        <v>298</v>
      </c>
      <c r="J595" t="s">
        <v>299</v>
      </c>
      <c r="K595" s="4" t="s">
        <v>304</v>
      </c>
      <c r="L595" t="str">
        <f t="shared" si="18"/>
        <v>"Buckingham County School Board"</v>
      </c>
      <c r="M595" t="s">
        <v>302</v>
      </c>
      <c r="N595" t="s">
        <v>303</v>
      </c>
      <c r="O595" s="4" t="s">
        <v>300</v>
      </c>
      <c r="P595" t="str">
        <f t="shared" si="19"/>
        <v>"40114"</v>
      </c>
    </row>
    <row r="596" spans="1:16" x14ac:dyDescent="0.2">
      <c r="A596" t="s">
        <v>301</v>
      </c>
      <c r="B596" s="5" t="s">
        <v>15</v>
      </c>
      <c r="C596" t="s">
        <v>301</v>
      </c>
      <c r="E596" s="4" t="s">
        <v>301</v>
      </c>
      <c r="F596">
        <v>40115</v>
      </c>
      <c r="G596" t="s">
        <v>301</v>
      </c>
      <c r="I596" t="s">
        <v>298</v>
      </c>
      <c r="J596" t="s">
        <v>299</v>
      </c>
      <c r="K596" s="4" t="s">
        <v>304</v>
      </c>
      <c r="L596" t="str">
        <f t="shared" si="18"/>
        <v>"Campbell County School Board"</v>
      </c>
      <c r="M596" t="s">
        <v>302</v>
      </c>
      <c r="N596" t="s">
        <v>303</v>
      </c>
      <c r="O596" s="4" t="s">
        <v>300</v>
      </c>
      <c r="P596" t="str">
        <f t="shared" si="19"/>
        <v>"40115"</v>
      </c>
    </row>
    <row r="597" spans="1:16" x14ac:dyDescent="0.2">
      <c r="A597" t="s">
        <v>301</v>
      </c>
      <c r="B597" s="5" t="s">
        <v>16</v>
      </c>
      <c r="C597" t="s">
        <v>301</v>
      </c>
      <c r="E597" s="4" t="s">
        <v>301</v>
      </c>
      <c r="F597">
        <v>40116</v>
      </c>
      <c r="G597" t="s">
        <v>301</v>
      </c>
      <c r="I597" t="s">
        <v>298</v>
      </c>
      <c r="J597" t="s">
        <v>299</v>
      </c>
      <c r="K597" s="4" t="s">
        <v>304</v>
      </c>
      <c r="L597" t="str">
        <f t="shared" si="18"/>
        <v>"Caroline County School Board"</v>
      </c>
      <c r="M597" t="s">
        <v>302</v>
      </c>
      <c r="N597" t="s">
        <v>303</v>
      </c>
      <c r="O597" s="4" t="s">
        <v>300</v>
      </c>
      <c r="P597" t="str">
        <f t="shared" si="19"/>
        <v>"40116"</v>
      </c>
    </row>
    <row r="598" spans="1:16" x14ac:dyDescent="0.2">
      <c r="A598" t="s">
        <v>301</v>
      </c>
      <c r="B598" s="5" t="s">
        <v>17</v>
      </c>
      <c r="C598" t="s">
        <v>301</v>
      </c>
      <c r="E598" s="4" t="s">
        <v>301</v>
      </c>
      <c r="F598">
        <v>40117</v>
      </c>
      <c r="G598" t="s">
        <v>301</v>
      </c>
      <c r="I598" t="s">
        <v>298</v>
      </c>
      <c r="J598" t="s">
        <v>299</v>
      </c>
      <c r="K598" s="4" t="s">
        <v>304</v>
      </c>
      <c r="L598" t="str">
        <f t="shared" si="18"/>
        <v>"Carroll County School Board"</v>
      </c>
      <c r="M598" t="s">
        <v>302</v>
      </c>
      <c r="N598" t="s">
        <v>303</v>
      </c>
      <c r="O598" s="4" t="s">
        <v>300</v>
      </c>
      <c r="P598" t="str">
        <f t="shared" si="19"/>
        <v>"40117"</v>
      </c>
    </row>
    <row r="599" spans="1:16" x14ac:dyDescent="0.2">
      <c r="A599" t="s">
        <v>301</v>
      </c>
      <c r="B599" s="5" t="s">
        <v>18</v>
      </c>
      <c r="C599" t="s">
        <v>301</v>
      </c>
      <c r="E599" s="4" t="s">
        <v>301</v>
      </c>
      <c r="F599">
        <v>40118</v>
      </c>
      <c r="G599" t="s">
        <v>301</v>
      </c>
      <c r="I599" t="s">
        <v>298</v>
      </c>
      <c r="J599" t="s">
        <v>299</v>
      </c>
      <c r="K599" s="4" t="s">
        <v>304</v>
      </c>
      <c r="L599" t="str">
        <f t="shared" si="18"/>
        <v>"Charles City County School Board"</v>
      </c>
      <c r="M599" t="s">
        <v>302</v>
      </c>
      <c r="N599" t="s">
        <v>303</v>
      </c>
      <c r="O599" s="4" t="s">
        <v>300</v>
      </c>
      <c r="P599" t="str">
        <f t="shared" si="19"/>
        <v>"40118"</v>
      </c>
    </row>
    <row r="600" spans="1:16" x14ac:dyDescent="0.2">
      <c r="A600" t="s">
        <v>301</v>
      </c>
      <c r="B600" s="5" t="s">
        <v>19</v>
      </c>
      <c r="C600" t="s">
        <v>301</v>
      </c>
      <c r="E600" s="4" t="s">
        <v>301</v>
      </c>
      <c r="F600">
        <v>40119</v>
      </c>
      <c r="G600" t="s">
        <v>301</v>
      </c>
      <c r="I600" t="s">
        <v>298</v>
      </c>
      <c r="J600" t="s">
        <v>299</v>
      </c>
      <c r="K600" s="4" t="s">
        <v>304</v>
      </c>
      <c r="L600" t="str">
        <f t="shared" si="18"/>
        <v>"Charlotte County School Board"</v>
      </c>
      <c r="M600" t="s">
        <v>302</v>
      </c>
      <c r="N600" t="s">
        <v>303</v>
      </c>
      <c r="O600" s="4" t="s">
        <v>300</v>
      </c>
      <c r="P600" t="str">
        <f t="shared" si="19"/>
        <v>"40119"</v>
      </c>
    </row>
    <row r="601" spans="1:16" x14ac:dyDescent="0.2">
      <c r="A601" t="s">
        <v>301</v>
      </c>
      <c r="B601" s="5" t="s">
        <v>20</v>
      </c>
      <c r="C601" t="s">
        <v>301</v>
      </c>
      <c r="E601" s="4" t="s">
        <v>301</v>
      </c>
      <c r="F601">
        <v>40120</v>
      </c>
      <c r="G601" t="s">
        <v>301</v>
      </c>
      <c r="I601" t="s">
        <v>298</v>
      </c>
      <c r="J601" t="s">
        <v>299</v>
      </c>
      <c r="K601" s="4" t="s">
        <v>304</v>
      </c>
      <c r="L601" t="str">
        <f t="shared" si="18"/>
        <v>"Chesterfield County School Board"</v>
      </c>
      <c r="M601" t="s">
        <v>302</v>
      </c>
      <c r="N601" t="s">
        <v>303</v>
      </c>
      <c r="O601" s="4" t="s">
        <v>300</v>
      </c>
      <c r="P601" t="str">
        <f t="shared" si="19"/>
        <v>"40120"</v>
      </c>
    </row>
    <row r="602" spans="1:16" x14ac:dyDescent="0.2">
      <c r="A602" t="s">
        <v>301</v>
      </c>
      <c r="B602" s="5" t="s">
        <v>21</v>
      </c>
      <c r="C602" t="s">
        <v>301</v>
      </c>
      <c r="E602" s="4" t="s">
        <v>301</v>
      </c>
      <c r="F602">
        <v>40121</v>
      </c>
      <c r="G602" t="s">
        <v>301</v>
      </c>
      <c r="I602" t="s">
        <v>298</v>
      </c>
      <c r="J602" t="s">
        <v>299</v>
      </c>
      <c r="K602" s="4" t="s">
        <v>304</v>
      </c>
      <c r="L602" t="str">
        <f t="shared" si="18"/>
        <v>"Clarke County School Board"</v>
      </c>
      <c r="M602" t="s">
        <v>302</v>
      </c>
      <c r="N602" t="s">
        <v>303</v>
      </c>
      <c r="O602" s="4" t="s">
        <v>300</v>
      </c>
      <c r="P602" t="str">
        <f t="shared" si="19"/>
        <v>"40121"</v>
      </c>
    </row>
    <row r="603" spans="1:16" x14ac:dyDescent="0.2">
      <c r="A603" t="s">
        <v>301</v>
      </c>
      <c r="B603" s="5" t="s">
        <v>22</v>
      </c>
      <c r="C603" t="s">
        <v>301</v>
      </c>
      <c r="E603" s="4" t="s">
        <v>301</v>
      </c>
      <c r="F603">
        <v>40122</v>
      </c>
      <c r="G603" t="s">
        <v>301</v>
      </c>
      <c r="I603" t="s">
        <v>298</v>
      </c>
      <c r="J603" t="s">
        <v>299</v>
      </c>
      <c r="K603" s="4" t="s">
        <v>304</v>
      </c>
      <c r="L603" t="str">
        <f t="shared" si="18"/>
        <v>"Craig County School Board"</v>
      </c>
      <c r="M603" t="s">
        <v>302</v>
      </c>
      <c r="N603" t="s">
        <v>303</v>
      </c>
      <c r="O603" s="4" t="s">
        <v>300</v>
      </c>
      <c r="P603" t="str">
        <f t="shared" si="19"/>
        <v>"40122"</v>
      </c>
    </row>
    <row r="604" spans="1:16" x14ac:dyDescent="0.2">
      <c r="A604" t="s">
        <v>301</v>
      </c>
      <c r="B604" s="5" t="s">
        <v>23</v>
      </c>
      <c r="C604" t="s">
        <v>301</v>
      </c>
      <c r="E604" s="4" t="s">
        <v>301</v>
      </c>
      <c r="F604">
        <v>40123</v>
      </c>
      <c r="G604" t="s">
        <v>301</v>
      </c>
      <c r="I604" t="s">
        <v>298</v>
      </c>
      <c r="J604" t="s">
        <v>299</v>
      </c>
      <c r="K604" s="4" t="s">
        <v>304</v>
      </c>
      <c r="L604" t="str">
        <f t="shared" si="18"/>
        <v>"Culpeper County School Board"</v>
      </c>
      <c r="M604" t="s">
        <v>302</v>
      </c>
      <c r="N604" t="s">
        <v>303</v>
      </c>
      <c r="O604" s="4" t="s">
        <v>300</v>
      </c>
      <c r="P604" t="str">
        <f t="shared" si="19"/>
        <v>"40123"</v>
      </c>
    </row>
    <row r="605" spans="1:16" x14ac:dyDescent="0.2">
      <c r="A605" t="s">
        <v>301</v>
      </c>
      <c r="B605" s="5" t="s">
        <v>24</v>
      </c>
      <c r="C605" t="s">
        <v>301</v>
      </c>
      <c r="E605" s="4" t="s">
        <v>301</v>
      </c>
      <c r="F605">
        <v>40124</v>
      </c>
      <c r="G605" t="s">
        <v>301</v>
      </c>
      <c r="I605" t="s">
        <v>298</v>
      </c>
      <c r="J605" t="s">
        <v>299</v>
      </c>
      <c r="K605" s="4" t="s">
        <v>304</v>
      </c>
      <c r="L605" t="str">
        <f t="shared" si="18"/>
        <v>"Cumberland County School Board"</v>
      </c>
      <c r="M605" t="s">
        <v>302</v>
      </c>
      <c r="N605" t="s">
        <v>303</v>
      </c>
      <c r="O605" s="4" t="s">
        <v>300</v>
      </c>
      <c r="P605" t="str">
        <f t="shared" si="19"/>
        <v>"40124"</v>
      </c>
    </row>
    <row r="606" spans="1:16" x14ac:dyDescent="0.2">
      <c r="A606" t="s">
        <v>301</v>
      </c>
      <c r="B606" s="5" t="s">
        <v>25</v>
      </c>
      <c r="C606" t="s">
        <v>301</v>
      </c>
      <c r="E606" s="4" t="s">
        <v>301</v>
      </c>
      <c r="F606">
        <v>40125</v>
      </c>
      <c r="G606" t="s">
        <v>301</v>
      </c>
      <c r="I606" t="s">
        <v>298</v>
      </c>
      <c r="J606" t="s">
        <v>299</v>
      </c>
      <c r="K606" s="4" t="s">
        <v>304</v>
      </c>
      <c r="L606" t="str">
        <f t="shared" si="18"/>
        <v>"Dickenson County School Board"</v>
      </c>
      <c r="M606" t="s">
        <v>302</v>
      </c>
      <c r="N606" t="s">
        <v>303</v>
      </c>
      <c r="O606" s="4" t="s">
        <v>300</v>
      </c>
      <c r="P606" t="str">
        <f t="shared" si="19"/>
        <v>"40125"</v>
      </c>
    </row>
    <row r="607" spans="1:16" x14ac:dyDescent="0.2">
      <c r="A607" t="s">
        <v>301</v>
      </c>
      <c r="B607" s="5" t="s">
        <v>26</v>
      </c>
      <c r="C607" t="s">
        <v>301</v>
      </c>
      <c r="E607" s="4" t="s">
        <v>301</v>
      </c>
      <c r="F607">
        <v>40126</v>
      </c>
      <c r="G607" t="s">
        <v>301</v>
      </c>
      <c r="I607" t="s">
        <v>298</v>
      </c>
      <c r="J607" t="s">
        <v>299</v>
      </c>
      <c r="K607" s="4" t="s">
        <v>304</v>
      </c>
      <c r="L607" t="str">
        <f t="shared" si="18"/>
        <v>"Dinwiddie County School Board"</v>
      </c>
      <c r="M607" t="s">
        <v>302</v>
      </c>
      <c r="N607" t="s">
        <v>303</v>
      </c>
      <c r="O607" s="4" t="s">
        <v>300</v>
      </c>
      <c r="P607" t="str">
        <f t="shared" si="19"/>
        <v>"40126"</v>
      </c>
    </row>
    <row r="608" spans="1:16" x14ac:dyDescent="0.2">
      <c r="A608" t="s">
        <v>301</v>
      </c>
      <c r="B608" s="5" t="s">
        <v>27</v>
      </c>
      <c r="C608" t="s">
        <v>301</v>
      </c>
      <c r="E608" s="4" t="s">
        <v>301</v>
      </c>
      <c r="F608">
        <v>40128</v>
      </c>
      <c r="G608" t="s">
        <v>301</v>
      </c>
      <c r="I608" t="s">
        <v>298</v>
      </c>
      <c r="J608" t="s">
        <v>299</v>
      </c>
      <c r="K608" s="4" t="s">
        <v>304</v>
      </c>
      <c r="L608" t="str">
        <f t="shared" si="18"/>
        <v>"Essex County Public Schools"</v>
      </c>
      <c r="M608" t="s">
        <v>302</v>
      </c>
      <c r="N608" t="s">
        <v>303</v>
      </c>
      <c r="O608" s="4" t="s">
        <v>300</v>
      </c>
      <c r="P608" t="str">
        <f t="shared" si="19"/>
        <v>"40128"</v>
      </c>
    </row>
    <row r="609" spans="1:16" x14ac:dyDescent="0.2">
      <c r="A609" t="s">
        <v>301</v>
      </c>
      <c r="B609" s="5" t="s">
        <v>28</v>
      </c>
      <c r="C609" t="s">
        <v>301</v>
      </c>
      <c r="E609" s="4" t="s">
        <v>301</v>
      </c>
      <c r="F609">
        <v>40129</v>
      </c>
      <c r="G609" t="s">
        <v>301</v>
      </c>
      <c r="I609" t="s">
        <v>298</v>
      </c>
      <c r="J609" t="s">
        <v>299</v>
      </c>
      <c r="K609" s="4" t="s">
        <v>304</v>
      </c>
      <c r="L609" t="str">
        <f t="shared" si="18"/>
        <v>"Fairfax County School Board"</v>
      </c>
      <c r="M609" t="s">
        <v>302</v>
      </c>
      <c r="N609" t="s">
        <v>303</v>
      </c>
      <c r="O609" s="4" t="s">
        <v>300</v>
      </c>
      <c r="P609" t="str">
        <f t="shared" si="19"/>
        <v>"40129"</v>
      </c>
    </row>
    <row r="610" spans="1:16" x14ac:dyDescent="0.2">
      <c r="A610" t="s">
        <v>301</v>
      </c>
      <c r="B610" s="5" t="s">
        <v>29</v>
      </c>
      <c r="C610" t="s">
        <v>301</v>
      </c>
      <c r="E610" s="4" t="s">
        <v>301</v>
      </c>
      <c r="F610">
        <v>40130</v>
      </c>
      <c r="G610" t="s">
        <v>301</v>
      </c>
      <c r="I610" t="s">
        <v>298</v>
      </c>
      <c r="J610" t="s">
        <v>299</v>
      </c>
      <c r="K610" s="4" t="s">
        <v>304</v>
      </c>
      <c r="L610" t="str">
        <f t="shared" si="18"/>
        <v>"Fauquier County School Board"</v>
      </c>
      <c r="M610" t="s">
        <v>302</v>
      </c>
      <c r="N610" t="s">
        <v>303</v>
      </c>
      <c r="O610" s="4" t="s">
        <v>300</v>
      </c>
      <c r="P610" t="str">
        <f t="shared" si="19"/>
        <v>"40130"</v>
      </c>
    </row>
    <row r="611" spans="1:16" x14ac:dyDescent="0.2">
      <c r="A611" t="s">
        <v>301</v>
      </c>
      <c r="B611" s="5" t="s">
        <v>30</v>
      </c>
      <c r="C611" t="s">
        <v>301</v>
      </c>
      <c r="E611" s="4" t="s">
        <v>301</v>
      </c>
      <c r="F611">
        <v>40131</v>
      </c>
      <c r="G611" t="s">
        <v>301</v>
      </c>
      <c r="I611" t="s">
        <v>298</v>
      </c>
      <c r="J611" t="s">
        <v>299</v>
      </c>
      <c r="K611" s="4" t="s">
        <v>304</v>
      </c>
      <c r="L611" t="str">
        <f t="shared" si="18"/>
        <v>"Floyd County School Board"</v>
      </c>
      <c r="M611" t="s">
        <v>302</v>
      </c>
      <c r="N611" t="s">
        <v>303</v>
      </c>
      <c r="O611" s="4" t="s">
        <v>300</v>
      </c>
      <c r="P611" t="str">
        <f t="shared" si="19"/>
        <v>"40131"</v>
      </c>
    </row>
    <row r="612" spans="1:16" x14ac:dyDescent="0.2">
      <c r="A612" t="s">
        <v>301</v>
      </c>
      <c r="B612" s="5" t="s">
        <v>31</v>
      </c>
      <c r="C612" t="s">
        <v>301</v>
      </c>
      <c r="E612" s="4" t="s">
        <v>301</v>
      </c>
      <c r="F612">
        <v>40132</v>
      </c>
      <c r="G612" t="s">
        <v>301</v>
      </c>
      <c r="I612" t="s">
        <v>298</v>
      </c>
      <c r="J612" t="s">
        <v>299</v>
      </c>
      <c r="K612" s="4" t="s">
        <v>304</v>
      </c>
      <c r="L612" t="str">
        <f t="shared" si="18"/>
        <v>"Fluvanna County Public Schools"</v>
      </c>
      <c r="M612" t="s">
        <v>302</v>
      </c>
      <c r="N612" t="s">
        <v>303</v>
      </c>
      <c r="O612" s="4" t="s">
        <v>300</v>
      </c>
      <c r="P612" t="str">
        <f t="shared" si="19"/>
        <v>"40132"</v>
      </c>
    </row>
    <row r="613" spans="1:16" x14ac:dyDescent="0.2">
      <c r="A613" t="s">
        <v>301</v>
      </c>
      <c r="B613" s="5" t="s">
        <v>64</v>
      </c>
      <c r="C613" t="s">
        <v>301</v>
      </c>
      <c r="E613" s="4" t="s">
        <v>301</v>
      </c>
      <c r="F613">
        <v>40133</v>
      </c>
      <c r="G613" t="s">
        <v>301</v>
      </c>
      <c r="I613" t="s">
        <v>298</v>
      </c>
      <c r="J613" t="s">
        <v>299</v>
      </c>
      <c r="K613" s="4" t="s">
        <v>304</v>
      </c>
      <c r="L613" t="str">
        <f t="shared" si="18"/>
        <v>"Franklin County Public Schools"</v>
      </c>
      <c r="M613" t="s">
        <v>302</v>
      </c>
      <c r="N613" t="s">
        <v>303</v>
      </c>
      <c r="O613" s="4" t="s">
        <v>300</v>
      </c>
      <c r="P613" t="str">
        <f t="shared" si="19"/>
        <v>"40133"</v>
      </c>
    </row>
    <row r="614" spans="1:16" x14ac:dyDescent="0.2">
      <c r="A614" t="s">
        <v>301</v>
      </c>
      <c r="B614" s="5" t="s">
        <v>65</v>
      </c>
      <c r="C614" t="s">
        <v>301</v>
      </c>
      <c r="E614" s="4" t="s">
        <v>301</v>
      </c>
      <c r="F614">
        <v>40134</v>
      </c>
      <c r="G614" t="s">
        <v>301</v>
      </c>
      <c r="I614" t="s">
        <v>298</v>
      </c>
      <c r="J614" t="s">
        <v>299</v>
      </c>
      <c r="K614" s="4" t="s">
        <v>304</v>
      </c>
      <c r="L614" t="str">
        <f t="shared" si="18"/>
        <v>"Frederick County School Board"</v>
      </c>
      <c r="M614" t="s">
        <v>302</v>
      </c>
      <c r="N614" t="s">
        <v>303</v>
      </c>
      <c r="O614" s="4" t="s">
        <v>300</v>
      </c>
      <c r="P614" t="str">
        <f t="shared" si="19"/>
        <v>"40134"</v>
      </c>
    </row>
    <row r="615" spans="1:16" x14ac:dyDescent="0.2">
      <c r="A615" t="s">
        <v>301</v>
      </c>
      <c r="B615" s="5" t="s">
        <v>66</v>
      </c>
      <c r="C615" t="s">
        <v>301</v>
      </c>
      <c r="E615" s="4" t="s">
        <v>301</v>
      </c>
      <c r="F615">
        <v>40135</v>
      </c>
      <c r="G615" t="s">
        <v>301</v>
      </c>
      <c r="I615" t="s">
        <v>298</v>
      </c>
      <c r="J615" t="s">
        <v>299</v>
      </c>
      <c r="K615" s="4" t="s">
        <v>304</v>
      </c>
      <c r="L615" t="str">
        <f t="shared" si="18"/>
        <v>"Giles County Schools"</v>
      </c>
      <c r="M615" t="s">
        <v>302</v>
      </c>
      <c r="N615" t="s">
        <v>303</v>
      </c>
      <c r="O615" s="4" t="s">
        <v>300</v>
      </c>
      <c r="P615" t="str">
        <f t="shared" si="19"/>
        <v>"40135"</v>
      </c>
    </row>
    <row r="616" spans="1:16" x14ac:dyDescent="0.2">
      <c r="A616" t="s">
        <v>301</v>
      </c>
      <c r="B616" s="5" t="s">
        <v>67</v>
      </c>
      <c r="C616" t="s">
        <v>301</v>
      </c>
      <c r="E616" s="4" t="s">
        <v>301</v>
      </c>
      <c r="F616">
        <v>40136</v>
      </c>
      <c r="G616" t="s">
        <v>301</v>
      </c>
      <c r="I616" t="s">
        <v>298</v>
      </c>
      <c r="J616" t="s">
        <v>299</v>
      </c>
      <c r="K616" s="4" t="s">
        <v>304</v>
      </c>
      <c r="L616" t="str">
        <f t="shared" si="18"/>
        <v>"Gloucester County School Board"</v>
      </c>
      <c r="M616" t="s">
        <v>302</v>
      </c>
      <c r="N616" t="s">
        <v>303</v>
      </c>
      <c r="O616" s="4" t="s">
        <v>300</v>
      </c>
      <c r="P616" t="str">
        <f t="shared" si="19"/>
        <v>"40136"</v>
      </c>
    </row>
    <row r="617" spans="1:16" x14ac:dyDescent="0.2">
      <c r="A617" t="s">
        <v>301</v>
      </c>
      <c r="B617" s="5" t="s">
        <v>68</v>
      </c>
      <c r="C617" t="s">
        <v>301</v>
      </c>
      <c r="E617" s="4" t="s">
        <v>301</v>
      </c>
      <c r="F617">
        <v>40137</v>
      </c>
      <c r="G617" t="s">
        <v>301</v>
      </c>
      <c r="I617" t="s">
        <v>298</v>
      </c>
      <c r="J617" t="s">
        <v>299</v>
      </c>
      <c r="K617" s="4" t="s">
        <v>304</v>
      </c>
      <c r="L617" t="str">
        <f t="shared" si="18"/>
        <v>"Goochland County School Board"</v>
      </c>
      <c r="M617" t="s">
        <v>302</v>
      </c>
      <c r="N617" t="s">
        <v>303</v>
      </c>
      <c r="O617" s="4" t="s">
        <v>300</v>
      </c>
      <c r="P617" t="str">
        <f t="shared" si="19"/>
        <v>"40137"</v>
      </c>
    </row>
    <row r="618" spans="1:16" x14ac:dyDescent="0.2">
      <c r="A618" t="s">
        <v>301</v>
      </c>
      <c r="B618" s="5" t="s">
        <v>69</v>
      </c>
      <c r="C618" t="s">
        <v>301</v>
      </c>
      <c r="E618" s="4" t="s">
        <v>301</v>
      </c>
      <c r="F618">
        <v>40138</v>
      </c>
      <c r="G618" t="s">
        <v>301</v>
      </c>
      <c r="I618" t="s">
        <v>298</v>
      </c>
      <c r="J618" t="s">
        <v>299</v>
      </c>
      <c r="K618" s="4" t="s">
        <v>304</v>
      </c>
      <c r="L618" t="str">
        <f t="shared" si="18"/>
        <v>"Grayson County School Board"</v>
      </c>
      <c r="M618" t="s">
        <v>302</v>
      </c>
      <c r="N618" t="s">
        <v>303</v>
      </c>
      <c r="O618" s="4" t="s">
        <v>300</v>
      </c>
      <c r="P618" t="str">
        <f t="shared" si="19"/>
        <v>"40138"</v>
      </c>
    </row>
    <row r="619" spans="1:16" x14ac:dyDescent="0.2">
      <c r="A619" t="s">
        <v>301</v>
      </c>
      <c r="B619" s="5" t="s">
        <v>70</v>
      </c>
      <c r="C619" t="s">
        <v>301</v>
      </c>
      <c r="E619" s="4" t="s">
        <v>301</v>
      </c>
      <c r="F619">
        <v>40139</v>
      </c>
      <c r="G619" t="s">
        <v>301</v>
      </c>
      <c r="I619" t="s">
        <v>298</v>
      </c>
      <c r="J619" t="s">
        <v>299</v>
      </c>
      <c r="K619" s="4" t="s">
        <v>304</v>
      </c>
      <c r="L619" t="str">
        <f t="shared" si="18"/>
        <v>"Greene County Public Schools"</v>
      </c>
      <c r="M619" t="s">
        <v>302</v>
      </c>
      <c r="N619" t="s">
        <v>303</v>
      </c>
      <c r="O619" s="4" t="s">
        <v>300</v>
      </c>
      <c r="P619" t="str">
        <f t="shared" si="19"/>
        <v>"40139"</v>
      </c>
    </row>
    <row r="620" spans="1:16" x14ac:dyDescent="0.2">
      <c r="A620" t="s">
        <v>301</v>
      </c>
      <c r="B620" s="5" t="s">
        <v>71</v>
      </c>
      <c r="C620" t="s">
        <v>301</v>
      </c>
      <c r="E620" s="4" t="s">
        <v>301</v>
      </c>
      <c r="F620">
        <v>40140</v>
      </c>
      <c r="G620" t="s">
        <v>301</v>
      </c>
      <c r="I620" t="s">
        <v>298</v>
      </c>
      <c r="J620" t="s">
        <v>299</v>
      </c>
      <c r="K620" s="4" t="s">
        <v>304</v>
      </c>
      <c r="L620" t="str">
        <f t="shared" si="18"/>
        <v>"Greensville County School Board"</v>
      </c>
      <c r="M620" t="s">
        <v>302</v>
      </c>
      <c r="N620" t="s">
        <v>303</v>
      </c>
      <c r="O620" s="4" t="s">
        <v>300</v>
      </c>
      <c r="P620" t="str">
        <f t="shared" si="19"/>
        <v>"40140"</v>
      </c>
    </row>
    <row r="621" spans="1:16" x14ac:dyDescent="0.2">
      <c r="A621" t="s">
        <v>301</v>
      </c>
      <c r="B621" s="5" t="s">
        <v>72</v>
      </c>
      <c r="C621" t="s">
        <v>301</v>
      </c>
      <c r="E621" s="4" t="s">
        <v>301</v>
      </c>
      <c r="F621">
        <v>40141</v>
      </c>
      <c r="G621" t="s">
        <v>301</v>
      </c>
      <c r="I621" t="s">
        <v>298</v>
      </c>
      <c r="J621" t="s">
        <v>299</v>
      </c>
      <c r="K621" s="4" t="s">
        <v>304</v>
      </c>
      <c r="L621" t="str">
        <f t="shared" si="18"/>
        <v>"Halifax County School Board"</v>
      </c>
      <c r="M621" t="s">
        <v>302</v>
      </c>
      <c r="N621" t="s">
        <v>303</v>
      </c>
      <c r="O621" s="4" t="s">
        <v>300</v>
      </c>
      <c r="P621" t="str">
        <f t="shared" si="19"/>
        <v>"40141"</v>
      </c>
    </row>
    <row r="622" spans="1:16" x14ac:dyDescent="0.2">
      <c r="A622" t="s">
        <v>301</v>
      </c>
      <c r="B622" s="5" t="s">
        <v>73</v>
      </c>
      <c r="C622" t="s">
        <v>301</v>
      </c>
      <c r="E622" s="4" t="s">
        <v>301</v>
      </c>
      <c r="F622">
        <v>40142</v>
      </c>
      <c r="G622" t="s">
        <v>301</v>
      </c>
      <c r="I622" t="s">
        <v>298</v>
      </c>
      <c r="J622" t="s">
        <v>299</v>
      </c>
      <c r="K622" s="4" t="s">
        <v>304</v>
      </c>
      <c r="L622" t="str">
        <f t="shared" si="18"/>
        <v>"Hanover County School Board"</v>
      </c>
      <c r="M622" t="s">
        <v>302</v>
      </c>
      <c r="N622" t="s">
        <v>303</v>
      </c>
      <c r="O622" s="4" t="s">
        <v>300</v>
      </c>
      <c r="P622" t="str">
        <f t="shared" si="19"/>
        <v>"40142"</v>
      </c>
    </row>
    <row r="623" spans="1:16" x14ac:dyDescent="0.2">
      <c r="A623" t="s">
        <v>301</v>
      </c>
      <c r="B623" s="5" t="s">
        <v>74</v>
      </c>
      <c r="C623" t="s">
        <v>301</v>
      </c>
      <c r="E623" s="4" t="s">
        <v>301</v>
      </c>
      <c r="F623">
        <v>40143</v>
      </c>
      <c r="G623" t="s">
        <v>301</v>
      </c>
      <c r="I623" t="s">
        <v>298</v>
      </c>
      <c r="J623" t="s">
        <v>299</v>
      </c>
      <c r="K623" s="4" t="s">
        <v>304</v>
      </c>
      <c r="L623" t="str">
        <f t="shared" si="18"/>
        <v>"Henrico County School Board"</v>
      </c>
      <c r="M623" t="s">
        <v>302</v>
      </c>
      <c r="N623" t="s">
        <v>303</v>
      </c>
      <c r="O623" s="4" t="s">
        <v>300</v>
      </c>
      <c r="P623" t="str">
        <f t="shared" si="19"/>
        <v>"40143"</v>
      </c>
    </row>
    <row r="624" spans="1:16" x14ac:dyDescent="0.2">
      <c r="A624" t="s">
        <v>301</v>
      </c>
      <c r="B624" s="5" t="s">
        <v>75</v>
      </c>
      <c r="C624" t="s">
        <v>301</v>
      </c>
      <c r="E624" s="4" t="s">
        <v>301</v>
      </c>
      <c r="F624">
        <v>40144</v>
      </c>
      <c r="G624" t="s">
        <v>301</v>
      </c>
      <c r="I624" t="s">
        <v>298</v>
      </c>
      <c r="J624" t="s">
        <v>299</v>
      </c>
      <c r="K624" s="4" t="s">
        <v>304</v>
      </c>
      <c r="L624" t="str">
        <f t="shared" si="18"/>
        <v>"Henry County Public Schools"</v>
      </c>
      <c r="M624" t="s">
        <v>302</v>
      </c>
      <c r="N624" t="s">
        <v>303</v>
      </c>
      <c r="O624" s="4" t="s">
        <v>300</v>
      </c>
      <c r="P624" t="str">
        <f t="shared" si="19"/>
        <v>"40144"</v>
      </c>
    </row>
    <row r="625" spans="1:16" x14ac:dyDescent="0.2">
      <c r="A625" t="s">
        <v>301</v>
      </c>
      <c r="B625" s="5" t="s">
        <v>76</v>
      </c>
      <c r="C625" t="s">
        <v>301</v>
      </c>
      <c r="E625" s="4" t="s">
        <v>301</v>
      </c>
      <c r="F625">
        <v>40145</v>
      </c>
      <c r="G625" t="s">
        <v>301</v>
      </c>
      <c r="I625" t="s">
        <v>298</v>
      </c>
      <c r="J625" t="s">
        <v>299</v>
      </c>
      <c r="K625" s="4" t="s">
        <v>304</v>
      </c>
      <c r="L625" t="str">
        <f t="shared" si="18"/>
        <v>"Highland County Public Schools"</v>
      </c>
      <c r="M625" t="s">
        <v>302</v>
      </c>
      <c r="N625" t="s">
        <v>303</v>
      </c>
      <c r="O625" s="4" t="s">
        <v>300</v>
      </c>
      <c r="P625" t="str">
        <f t="shared" si="19"/>
        <v>"40145"</v>
      </c>
    </row>
    <row r="626" spans="1:16" x14ac:dyDescent="0.2">
      <c r="A626" t="s">
        <v>301</v>
      </c>
      <c r="B626" s="5" t="s">
        <v>77</v>
      </c>
      <c r="C626" t="s">
        <v>301</v>
      </c>
      <c r="E626" s="4" t="s">
        <v>301</v>
      </c>
      <c r="F626">
        <v>40146</v>
      </c>
      <c r="G626" t="s">
        <v>301</v>
      </c>
      <c r="I626" t="s">
        <v>298</v>
      </c>
      <c r="J626" t="s">
        <v>299</v>
      </c>
      <c r="K626" s="4" t="s">
        <v>304</v>
      </c>
      <c r="L626" t="str">
        <f t="shared" si="18"/>
        <v>"Isle of Wight County Schools"</v>
      </c>
      <c r="M626" t="s">
        <v>302</v>
      </c>
      <c r="N626" t="s">
        <v>303</v>
      </c>
      <c r="O626" s="4" t="s">
        <v>300</v>
      </c>
      <c r="P626" t="str">
        <f t="shared" si="19"/>
        <v>"40146"</v>
      </c>
    </row>
    <row r="627" spans="1:16" x14ac:dyDescent="0.2">
      <c r="A627" t="s">
        <v>301</v>
      </c>
      <c r="B627" s="5" t="s">
        <v>78</v>
      </c>
      <c r="C627" t="s">
        <v>301</v>
      </c>
      <c r="E627" s="4" t="s">
        <v>301</v>
      </c>
      <c r="F627">
        <v>40148</v>
      </c>
      <c r="G627" t="s">
        <v>301</v>
      </c>
      <c r="I627" t="s">
        <v>298</v>
      </c>
      <c r="J627" t="s">
        <v>299</v>
      </c>
      <c r="K627" s="4" t="s">
        <v>304</v>
      </c>
      <c r="L627" t="str">
        <f t="shared" si="18"/>
        <v>"King George County School Board"</v>
      </c>
      <c r="M627" t="s">
        <v>302</v>
      </c>
      <c r="N627" t="s">
        <v>303</v>
      </c>
      <c r="O627" s="4" t="s">
        <v>300</v>
      </c>
      <c r="P627" t="str">
        <f t="shared" si="19"/>
        <v>"40148"</v>
      </c>
    </row>
    <row r="628" spans="1:16" x14ac:dyDescent="0.2">
      <c r="A628" t="s">
        <v>301</v>
      </c>
      <c r="B628" s="5" t="s">
        <v>79</v>
      </c>
      <c r="C628" t="s">
        <v>301</v>
      </c>
      <c r="E628" s="4" t="s">
        <v>301</v>
      </c>
      <c r="F628">
        <v>40149</v>
      </c>
      <c r="G628" t="s">
        <v>301</v>
      </c>
      <c r="I628" t="s">
        <v>298</v>
      </c>
      <c r="J628" t="s">
        <v>299</v>
      </c>
      <c r="K628" s="4" t="s">
        <v>304</v>
      </c>
      <c r="L628" t="str">
        <f t="shared" si="18"/>
        <v>"King &amp; Queen County School Board"</v>
      </c>
      <c r="M628" t="s">
        <v>302</v>
      </c>
      <c r="N628" t="s">
        <v>303</v>
      </c>
      <c r="O628" s="4" t="s">
        <v>300</v>
      </c>
      <c r="P628" t="str">
        <f t="shared" si="19"/>
        <v>"40149"</v>
      </c>
    </row>
    <row r="629" spans="1:16" x14ac:dyDescent="0.2">
      <c r="A629" t="s">
        <v>301</v>
      </c>
      <c r="B629" s="5" t="s">
        <v>80</v>
      </c>
      <c r="C629" t="s">
        <v>301</v>
      </c>
      <c r="E629" s="4" t="s">
        <v>301</v>
      </c>
      <c r="F629">
        <v>40150</v>
      </c>
      <c r="G629" t="s">
        <v>301</v>
      </c>
      <c r="I629" t="s">
        <v>298</v>
      </c>
      <c r="J629" t="s">
        <v>299</v>
      </c>
      <c r="K629" s="4" t="s">
        <v>304</v>
      </c>
      <c r="L629" t="str">
        <f t="shared" si="18"/>
        <v>"King William County School Board"</v>
      </c>
      <c r="M629" t="s">
        <v>302</v>
      </c>
      <c r="N629" t="s">
        <v>303</v>
      </c>
      <c r="O629" s="4" t="s">
        <v>300</v>
      </c>
      <c r="P629" t="str">
        <f t="shared" si="19"/>
        <v>"40150"</v>
      </c>
    </row>
    <row r="630" spans="1:16" x14ac:dyDescent="0.2">
      <c r="A630" t="s">
        <v>301</v>
      </c>
      <c r="B630" s="5" t="s">
        <v>81</v>
      </c>
      <c r="C630" t="s">
        <v>301</v>
      </c>
      <c r="E630" s="4" t="s">
        <v>301</v>
      </c>
      <c r="F630">
        <v>40151</v>
      </c>
      <c r="G630" t="s">
        <v>301</v>
      </c>
      <c r="I630" t="s">
        <v>298</v>
      </c>
      <c r="J630" t="s">
        <v>299</v>
      </c>
      <c r="K630" s="4" t="s">
        <v>304</v>
      </c>
      <c r="L630" t="str">
        <f t="shared" si="18"/>
        <v>"Lancaster County Public Schools"</v>
      </c>
      <c r="M630" t="s">
        <v>302</v>
      </c>
      <c r="N630" t="s">
        <v>303</v>
      </c>
      <c r="O630" s="4" t="s">
        <v>300</v>
      </c>
      <c r="P630" t="str">
        <f t="shared" si="19"/>
        <v>"40151"</v>
      </c>
    </row>
    <row r="631" spans="1:16" x14ac:dyDescent="0.2">
      <c r="A631" t="s">
        <v>301</v>
      </c>
      <c r="B631" s="5" t="s">
        <v>82</v>
      </c>
      <c r="C631" t="s">
        <v>301</v>
      </c>
      <c r="E631" s="4" t="s">
        <v>301</v>
      </c>
      <c r="F631">
        <v>40152</v>
      </c>
      <c r="G631" t="s">
        <v>301</v>
      </c>
      <c r="I631" t="s">
        <v>298</v>
      </c>
      <c r="J631" t="s">
        <v>299</v>
      </c>
      <c r="K631" s="4" t="s">
        <v>304</v>
      </c>
      <c r="L631" t="str">
        <f t="shared" si="18"/>
        <v>"Lee County School Board"</v>
      </c>
      <c r="M631" t="s">
        <v>302</v>
      </c>
      <c r="N631" t="s">
        <v>303</v>
      </c>
      <c r="O631" s="4" t="s">
        <v>300</v>
      </c>
      <c r="P631" t="str">
        <f t="shared" si="19"/>
        <v>"40152"</v>
      </c>
    </row>
    <row r="632" spans="1:16" x14ac:dyDescent="0.2">
      <c r="A632" t="s">
        <v>301</v>
      </c>
      <c r="B632" s="5" t="s">
        <v>83</v>
      </c>
      <c r="C632" t="s">
        <v>301</v>
      </c>
      <c r="E632" s="4" t="s">
        <v>301</v>
      </c>
      <c r="F632">
        <v>40153</v>
      </c>
      <c r="G632" t="s">
        <v>301</v>
      </c>
      <c r="I632" t="s">
        <v>298</v>
      </c>
      <c r="J632" t="s">
        <v>299</v>
      </c>
      <c r="K632" s="4" t="s">
        <v>304</v>
      </c>
      <c r="L632" t="str">
        <f t="shared" si="18"/>
        <v>"Loudoun County School Board"</v>
      </c>
      <c r="M632" t="s">
        <v>302</v>
      </c>
      <c r="N632" t="s">
        <v>303</v>
      </c>
      <c r="O632" s="4" t="s">
        <v>300</v>
      </c>
      <c r="P632" t="str">
        <f t="shared" si="19"/>
        <v>"40153"</v>
      </c>
    </row>
    <row r="633" spans="1:16" x14ac:dyDescent="0.2">
      <c r="A633" t="s">
        <v>301</v>
      </c>
      <c r="B633" s="5" t="s">
        <v>84</v>
      </c>
      <c r="C633" t="s">
        <v>301</v>
      </c>
      <c r="E633" s="4" t="s">
        <v>301</v>
      </c>
      <c r="F633">
        <v>40154</v>
      </c>
      <c r="G633" t="s">
        <v>301</v>
      </c>
      <c r="I633" t="s">
        <v>298</v>
      </c>
      <c r="J633" t="s">
        <v>299</v>
      </c>
      <c r="K633" s="4" t="s">
        <v>304</v>
      </c>
      <c r="L633" t="str">
        <f t="shared" si="18"/>
        <v>"Louisa County Public Schools"</v>
      </c>
      <c r="M633" t="s">
        <v>302</v>
      </c>
      <c r="N633" t="s">
        <v>303</v>
      </c>
      <c r="O633" s="4" t="s">
        <v>300</v>
      </c>
      <c r="P633" t="str">
        <f t="shared" si="19"/>
        <v>"40154"</v>
      </c>
    </row>
    <row r="634" spans="1:16" x14ac:dyDescent="0.2">
      <c r="A634" t="s">
        <v>301</v>
      </c>
      <c r="B634" s="5" t="s">
        <v>85</v>
      </c>
      <c r="C634" t="s">
        <v>301</v>
      </c>
      <c r="E634" s="4" t="s">
        <v>301</v>
      </c>
      <c r="F634">
        <v>40155</v>
      </c>
      <c r="G634" t="s">
        <v>301</v>
      </c>
      <c r="I634" t="s">
        <v>298</v>
      </c>
      <c r="J634" t="s">
        <v>299</v>
      </c>
      <c r="K634" s="4" t="s">
        <v>304</v>
      </c>
      <c r="L634" t="str">
        <f t="shared" si="18"/>
        <v>"Lunenburg County School Board"</v>
      </c>
      <c r="M634" t="s">
        <v>302</v>
      </c>
      <c r="N634" t="s">
        <v>303</v>
      </c>
      <c r="O634" s="4" t="s">
        <v>300</v>
      </c>
      <c r="P634" t="str">
        <f t="shared" si="19"/>
        <v>"40155"</v>
      </c>
    </row>
    <row r="635" spans="1:16" x14ac:dyDescent="0.2">
      <c r="A635" t="s">
        <v>301</v>
      </c>
      <c r="B635" s="5" t="s">
        <v>86</v>
      </c>
      <c r="C635" t="s">
        <v>301</v>
      </c>
      <c r="E635" s="4" t="s">
        <v>301</v>
      </c>
      <c r="F635">
        <v>40156</v>
      </c>
      <c r="G635" t="s">
        <v>301</v>
      </c>
      <c r="I635" t="s">
        <v>298</v>
      </c>
      <c r="J635" t="s">
        <v>299</v>
      </c>
      <c r="K635" s="4" t="s">
        <v>304</v>
      </c>
      <c r="L635" t="str">
        <f t="shared" si="18"/>
        <v>"Madison County School Board"</v>
      </c>
      <c r="M635" t="s">
        <v>302</v>
      </c>
      <c r="N635" t="s">
        <v>303</v>
      </c>
      <c r="O635" s="4" t="s">
        <v>300</v>
      </c>
      <c r="P635" t="str">
        <f t="shared" si="19"/>
        <v>"40156"</v>
      </c>
    </row>
    <row r="636" spans="1:16" x14ac:dyDescent="0.2">
      <c r="A636" t="s">
        <v>301</v>
      </c>
      <c r="B636" s="5" t="s">
        <v>87</v>
      </c>
      <c r="C636" t="s">
        <v>301</v>
      </c>
      <c r="E636" s="4" t="s">
        <v>301</v>
      </c>
      <c r="F636">
        <v>40157</v>
      </c>
      <c r="G636" t="s">
        <v>301</v>
      </c>
      <c r="I636" t="s">
        <v>298</v>
      </c>
      <c r="J636" t="s">
        <v>299</v>
      </c>
      <c r="K636" s="4" t="s">
        <v>304</v>
      </c>
      <c r="L636" t="str">
        <f t="shared" si="18"/>
        <v>"Mathews County School Board"</v>
      </c>
      <c r="M636" t="s">
        <v>302</v>
      </c>
      <c r="N636" t="s">
        <v>303</v>
      </c>
      <c r="O636" s="4" t="s">
        <v>300</v>
      </c>
      <c r="P636" t="str">
        <f t="shared" si="19"/>
        <v>"40157"</v>
      </c>
    </row>
    <row r="637" spans="1:16" x14ac:dyDescent="0.2">
      <c r="A637" t="s">
        <v>301</v>
      </c>
      <c r="B637" s="5" t="s">
        <v>88</v>
      </c>
      <c r="C637" t="s">
        <v>301</v>
      </c>
      <c r="E637" s="4" t="s">
        <v>301</v>
      </c>
      <c r="F637">
        <v>40158</v>
      </c>
      <c r="G637" t="s">
        <v>301</v>
      </c>
      <c r="I637" t="s">
        <v>298</v>
      </c>
      <c r="J637" t="s">
        <v>299</v>
      </c>
      <c r="K637" s="4" t="s">
        <v>304</v>
      </c>
      <c r="L637" t="str">
        <f t="shared" si="18"/>
        <v>"Mecklenburg County School Board"</v>
      </c>
      <c r="M637" t="s">
        <v>302</v>
      </c>
      <c r="N637" t="s">
        <v>303</v>
      </c>
      <c r="O637" s="4" t="s">
        <v>300</v>
      </c>
      <c r="P637" t="str">
        <f t="shared" si="19"/>
        <v>"40158"</v>
      </c>
    </row>
    <row r="638" spans="1:16" x14ac:dyDescent="0.2">
      <c r="A638" t="s">
        <v>301</v>
      </c>
      <c r="B638" s="5" t="s">
        <v>89</v>
      </c>
      <c r="C638" t="s">
        <v>301</v>
      </c>
      <c r="E638" s="4" t="s">
        <v>301</v>
      </c>
      <c r="F638">
        <v>40159</v>
      </c>
      <c r="G638" t="s">
        <v>301</v>
      </c>
      <c r="I638" t="s">
        <v>298</v>
      </c>
      <c r="J638" t="s">
        <v>299</v>
      </c>
      <c r="K638" s="4" t="s">
        <v>304</v>
      </c>
      <c r="L638" t="str">
        <f t="shared" si="18"/>
        <v>"Middlesex County School Board"</v>
      </c>
      <c r="M638" t="s">
        <v>302</v>
      </c>
      <c r="N638" t="s">
        <v>303</v>
      </c>
      <c r="O638" s="4" t="s">
        <v>300</v>
      </c>
      <c r="P638" t="str">
        <f t="shared" si="19"/>
        <v>"40159"</v>
      </c>
    </row>
    <row r="639" spans="1:16" x14ac:dyDescent="0.2">
      <c r="A639" t="s">
        <v>301</v>
      </c>
      <c r="B639" s="5" t="s">
        <v>90</v>
      </c>
      <c r="C639" t="s">
        <v>301</v>
      </c>
      <c r="E639" s="4" t="s">
        <v>301</v>
      </c>
      <c r="F639">
        <v>40160</v>
      </c>
      <c r="G639" t="s">
        <v>301</v>
      </c>
      <c r="I639" t="s">
        <v>298</v>
      </c>
      <c r="J639" t="s">
        <v>299</v>
      </c>
      <c r="K639" s="4" t="s">
        <v>304</v>
      </c>
      <c r="L639" t="str">
        <f t="shared" si="18"/>
        <v>"Montgomery County School Board"</v>
      </c>
      <c r="M639" t="s">
        <v>302</v>
      </c>
      <c r="N639" t="s">
        <v>303</v>
      </c>
      <c r="O639" s="4" t="s">
        <v>300</v>
      </c>
      <c r="P639" t="str">
        <f t="shared" si="19"/>
        <v>"40160"</v>
      </c>
    </row>
    <row r="640" spans="1:16" x14ac:dyDescent="0.2">
      <c r="A640" t="s">
        <v>301</v>
      </c>
      <c r="B640" s="5" t="s">
        <v>91</v>
      </c>
      <c r="C640" t="s">
        <v>301</v>
      </c>
      <c r="E640" s="4" t="s">
        <v>301</v>
      </c>
      <c r="F640">
        <v>40162</v>
      </c>
      <c r="G640" t="s">
        <v>301</v>
      </c>
      <c r="I640" t="s">
        <v>298</v>
      </c>
      <c r="J640" t="s">
        <v>299</v>
      </c>
      <c r="K640" s="4" t="s">
        <v>304</v>
      </c>
      <c r="L640" t="str">
        <f t="shared" si="18"/>
        <v>"Nelson County Public Schools"</v>
      </c>
      <c r="M640" t="s">
        <v>302</v>
      </c>
      <c r="N640" t="s">
        <v>303</v>
      </c>
      <c r="O640" s="4" t="s">
        <v>300</v>
      </c>
      <c r="P640" t="str">
        <f t="shared" si="19"/>
        <v>"40162"</v>
      </c>
    </row>
    <row r="641" spans="1:16" x14ac:dyDescent="0.2">
      <c r="A641" t="s">
        <v>301</v>
      </c>
      <c r="B641" s="5" t="s">
        <v>92</v>
      </c>
      <c r="C641" t="s">
        <v>301</v>
      </c>
      <c r="E641" s="4" t="s">
        <v>301</v>
      </c>
      <c r="F641">
        <v>40163</v>
      </c>
      <c r="G641" t="s">
        <v>301</v>
      </c>
      <c r="I641" t="s">
        <v>298</v>
      </c>
      <c r="J641" t="s">
        <v>299</v>
      </c>
      <c r="K641" s="4" t="s">
        <v>304</v>
      </c>
      <c r="L641" t="str">
        <f t="shared" si="18"/>
        <v>"New Kent County School Board"</v>
      </c>
      <c r="M641" t="s">
        <v>302</v>
      </c>
      <c r="N641" t="s">
        <v>303</v>
      </c>
      <c r="O641" s="4" t="s">
        <v>300</v>
      </c>
      <c r="P641" t="str">
        <f t="shared" si="19"/>
        <v>"40163"</v>
      </c>
    </row>
    <row r="642" spans="1:16" x14ac:dyDescent="0.2">
      <c r="A642" t="s">
        <v>301</v>
      </c>
      <c r="B642" s="5" t="s">
        <v>93</v>
      </c>
      <c r="C642" t="s">
        <v>301</v>
      </c>
      <c r="E642" s="4" t="s">
        <v>301</v>
      </c>
      <c r="F642">
        <v>40165</v>
      </c>
      <c r="G642" t="s">
        <v>301</v>
      </c>
      <c r="I642" t="s">
        <v>298</v>
      </c>
      <c r="J642" t="s">
        <v>299</v>
      </c>
      <c r="K642" s="4" t="s">
        <v>304</v>
      </c>
      <c r="L642" t="str">
        <f t="shared" ref="L642:L705" si="20">_xlfn.TEXTJOIN("",TRUE,A642:C642)</f>
        <v>"Northampton County Schools"</v>
      </c>
      <c r="M642" t="s">
        <v>302</v>
      </c>
      <c r="N642" t="s">
        <v>303</v>
      </c>
      <c r="O642" s="4" t="s">
        <v>300</v>
      </c>
      <c r="P642" t="str">
        <f t="shared" ref="P642:P705" si="21">_xlfn.TEXTJOIN("",TRUE,E642:G642)</f>
        <v>"40165"</v>
      </c>
    </row>
    <row r="643" spans="1:16" x14ac:dyDescent="0.2">
      <c r="A643" t="s">
        <v>301</v>
      </c>
      <c r="B643" s="5" t="s">
        <v>94</v>
      </c>
      <c r="C643" t="s">
        <v>301</v>
      </c>
      <c r="E643" s="4" t="s">
        <v>301</v>
      </c>
      <c r="F643">
        <v>40166</v>
      </c>
      <c r="G643" t="s">
        <v>301</v>
      </c>
      <c r="I643" t="s">
        <v>298</v>
      </c>
      <c r="J643" t="s">
        <v>299</v>
      </c>
      <c r="K643" s="4" t="s">
        <v>304</v>
      </c>
      <c r="L643" t="str">
        <f t="shared" si="20"/>
        <v>"Northumberland County School Board"</v>
      </c>
      <c r="M643" t="s">
        <v>302</v>
      </c>
      <c r="N643" t="s">
        <v>303</v>
      </c>
      <c r="O643" s="4" t="s">
        <v>300</v>
      </c>
      <c r="P643" t="str">
        <f t="shared" si="21"/>
        <v>"40166"</v>
      </c>
    </row>
    <row r="644" spans="1:16" x14ac:dyDescent="0.2">
      <c r="A644" t="s">
        <v>301</v>
      </c>
      <c r="B644" s="5" t="s">
        <v>95</v>
      </c>
      <c r="C644" t="s">
        <v>301</v>
      </c>
      <c r="E644" s="4" t="s">
        <v>301</v>
      </c>
      <c r="F644">
        <v>40167</v>
      </c>
      <c r="G644" t="s">
        <v>301</v>
      </c>
      <c r="I644" t="s">
        <v>298</v>
      </c>
      <c r="J644" t="s">
        <v>299</v>
      </c>
      <c r="K644" s="4" t="s">
        <v>304</v>
      </c>
      <c r="L644" t="str">
        <f t="shared" si="20"/>
        <v>"Nottoway County School Board"</v>
      </c>
      <c r="M644" t="s">
        <v>302</v>
      </c>
      <c r="N644" t="s">
        <v>303</v>
      </c>
      <c r="O644" s="4" t="s">
        <v>300</v>
      </c>
      <c r="P644" t="str">
        <f t="shared" si="21"/>
        <v>"40167"</v>
      </c>
    </row>
    <row r="645" spans="1:16" x14ac:dyDescent="0.2">
      <c r="A645" t="s">
        <v>301</v>
      </c>
      <c r="B645" s="5" t="s">
        <v>96</v>
      </c>
      <c r="C645" t="s">
        <v>301</v>
      </c>
      <c r="E645" s="4" t="s">
        <v>301</v>
      </c>
      <c r="F645">
        <v>40168</v>
      </c>
      <c r="G645" t="s">
        <v>301</v>
      </c>
      <c r="I645" t="s">
        <v>298</v>
      </c>
      <c r="J645" t="s">
        <v>299</v>
      </c>
      <c r="K645" s="4" t="s">
        <v>304</v>
      </c>
      <c r="L645" t="str">
        <f t="shared" si="20"/>
        <v>"Orange County Public Schools"</v>
      </c>
      <c r="M645" t="s">
        <v>302</v>
      </c>
      <c r="N645" t="s">
        <v>303</v>
      </c>
      <c r="O645" s="4" t="s">
        <v>300</v>
      </c>
      <c r="P645" t="str">
        <f t="shared" si="21"/>
        <v>"40168"</v>
      </c>
    </row>
    <row r="646" spans="1:16" x14ac:dyDescent="0.2">
      <c r="A646" t="s">
        <v>301</v>
      </c>
      <c r="B646" s="5" t="s">
        <v>130</v>
      </c>
      <c r="C646" t="s">
        <v>301</v>
      </c>
      <c r="E646" s="4" t="s">
        <v>301</v>
      </c>
      <c r="F646">
        <v>40169</v>
      </c>
      <c r="G646" t="s">
        <v>301</v>
      </c>
      <c r="I646" t="s">
        <v>298</v>
      </c>
      <c r="J646" t="s">
        <v>299</v>
      </c>
      <c r="K646" s="4" t="s">
        <v>304</v>
      </c>
      <c r="L646" t="str">
        <f t="shared" si="20"/>
        <v>"Page County Public Schools"</v>
      </c>
      <c r="M646" t="s">
        <v>302</v>
      </c>
      <c r="N646" t="s">
        <v>303</v>
      </c>
      <c r="O646" s="4" t="s">
        <v>300</v>
      </c>
      <c r="P646" t="str">
        <f t="shared" si="21"/>
        <v>"40169"</v>
      </c>
    </row>
    <row r="647" spans="1:16" x14ac:dyDescent="0.2">
      <c r="A647" t="s">
        <v>301</v>
      </c>
      <c r="B647" s="5" t="s">
        <v>131</v>
      </c>
      <c r="C647" t="s">
        <v>301</v>
      </c>
      <c r="E647" s="4" t="s">
        <v>301</v>
      </c>
      <c r="F647">
        <v>40170</v>
      </c>
      <c r="G647" t="s">
        <v>301</v>
      </c>
      <c r="I647" t="s">
        <v>298</v>
      </c>
      <c r="J647" t="s">
        <v>299</v>
      </c>
      <c r="K647" s="4" t="s">
        <v>304</v>
      </c>
      <c r="L647" t="str">
        <f t="shared" si="20"/>
        <v>"Patrick County School Board"</v>
      </c>
      <c r="M647" t="s">
        <v>302</v>
      </c>
      <c r="N647" t="s">
        <v>303</v>
      </c>
      <c r="O647" s="4" t="s">
        <v>300</v>
      </c>
      <c r="P647" t="str">
        <f t="shared" si="21"/>
        <v>"40170"</v>
      </c>
    </row>
    <row r="648" spans="1:16" x14ac:dyDescent="0.2">
      <c r="A648" t="s">
        <v>301</v>
      </c>
      <c r="B648" s="5" t="s">
        <v>132</v>
      </c>
      <c r="C648" t="s">
        <v>301</v>
      </c>
      <c r="E648" s="4" t="s">
        <v>301</v>
      </c>
      <c r="F648">
        <v>40171</v>
      </c>
      <c r="G648" t="s">
        <v>301</v>
      </c>
      <c r="I648" t="s">
        <v>298</v>
      </c>
      <c r="J648" t="s">
        <v>299</v>
      </c>
      <c r="K648" s="4" t="s">
        <v>304</v>
      </c>
      <c r="L648" t="str">
        <f t="shared" si="20"/>
        <v>"Pittsylvania County School Board"</v>
      </c>
      <c r="M648" t="s">
        <v>302</v>
      </c>
      <c r="N648" t="s">
        <v>303</v>
      </c>
      <c r="O648" s="4" t="s">
        <v>300</v>
      </c>
      <c r="P648" t="str">
        <f t="shared" si="21"/>
        <v>"40171"</v>
      </c>
    </row>
    <row r="649" spans="1:16" x14ac:dyDescent="0.2">
      <c r="A649" t="s">
        <v>301</v>
      </c>
      <c r="B649" s="5" t="s">
        <v>133</v>
      </c>
      <c r="C649" t="s">
        <v>301</v>
      </c>
      <c r="E649" s="4" t="s">
        <v>301</v>
      </c>
      <c r="F649">
        <v>40172</v>
      </c>
      <c r="G649" t="s">
        <v>301</v>
      </c>
      <c r="I649" t="s">
        <v>298</v>
      </c>
      <c r="J649" t="s">
        <v>299</v>
      </c>
      <c r="K649" s="4" t="s">
        <v>304</v>
      </c>
      <c r="L649" t="str">
        <f t="shared" si="20"/>
        <v>"Powhatan County School Board"</v>
      </c>
      <c r="M649" t="s">
        <v>302</v>
      </c>
      <c r="N649" t="s">
        <v>303</v>
      </c>
      <c r="O649" s="4" t="s">
        <v>300</v>
      </c>
      <c r="P649" t="str">
        <f t="shared" si="21"/>
        <v>"40172"</v>
      </c>
    </row>
    <row r="650" spans="1:16" x14ac:dyDescent="0.2">
      <c r="A650" t="s">
        <v>301</v>
      </c>
      <c r="B650" s="5" t="s">
        <v>134</v>
      </c>
      <c r="C650" t="s">
        <v>301</v>
      </c>
      <c r="E650" s="4" t="s">
        <v>301</v>
      </c>
      <c r="F650">
        <v>40173</v>
      </c>
      <c r="G650" t="s">
        <v>301</v>
      </c>
      <c r="I650" t="s">
        <v>298</v>
      </c>
      <c r="J650" t="s">
        <v>299</v>
      </c>
      <c r="K650" s="4" t="s">
        <v>304</v>
      </c>
      <c r="L650" t="str">
        <f t="shared" si="20"/>
        <v>"Prince Edward County School Board"</v>
      </c>
      <c r="M650" t="s">
        <v>302</v>
      </c>
      <c r="N650" t="s">
        <v>303</v>
      </c>
      <c r="O650" s="4" t="s">
        <v>300</v>
      </c>
      <c r="P650" t="str">
        <f t="shared" si="21"/>
        <v>"40173"</v>
      </c>
    </row>
    <row r="651" spans="1:16" x14ac:dyDescent="0.2">
      <c r="A651" t="s">
        <v>301</v>
      </c>
      <c r="B651" s="5" t="s">
        <v>135</v>
      </c>
      <c r="C651" t="s">
        <v>301</v>
      </c>
      <c r="E651" s="4" t="s">
        <v>301</v>
      </c>
      <c r="F651">
        <v>40174</v>
      </c>
      <c r="G651" t="s">
        <v>301</v>
      </c>
      <c r="I651" t="s">
        <v>298</v>
      </c>
      <c r="J651" t="s">
        <v>299</v>
      </c>
      <c r="K651" s="4" t="s">
        <v>304</v>
      </c>
      <c r="L651" t="str">
        <f t="shared" si="20"/>
        <v>"Prince George County School Board"</v>
      </c>
      <c r="M651" t="s">
        <v>302</v>
      </c>
      <c r="N651" t="s">
        <v>303</v>
      </c>
      <c r="O651" s="4" t="s">
        <v>300</v>
      </c>
      <c r="P651" t="str">
        <f t="shared" si="21"/>
        <v>"40174"</v>
      </c>
    </row>
    <row r="652" spans="1:16" x14ac:dyDescent="0.2">
      <c r="A652" t="s">
        <v>301</v>
      </c>
      <c r="B652" s="5" t="s">
        <v>136</v>
      </c>
      <c r="C652" t="s">
        <v>301</v>
      </c>
      <c r="E652" s="4" t="s">
        <v>301</v>
      </c>
      <c r="F652">
        <v>40176</v>
      </c>
      <c r="G652" t="s">
        <v>301</v>
      </c>
      <c r="I652" t="s">
        <v>298</v>
      </c>
      <c r="J652" t="s">
        <v>299</v>
      </c>
      <c r="K652" s="4" t="s">
        <v>304</v>
      </c>
      <c r="L652" t="str">
        <f t="shared" si="20"/>
        <v>"Prince William County School Board"</v>
      </c>
      <c r="M652" t="s">
        <v>302</v>
      </c>
      <c r="N652" t="s">
        <v>303</v>
      </c>
      <c r="O652" s="4" t="s">
        <v>300</v>
      </c>
      <c r="P652" t="str">
        <f t="shared" si="21"/>
        <v>"40176"</v>
      </c>
    </row>
    <row r="653" spans="1:16" x14ac:dyDescent="0.2">
      <c r="A653" t="s">
        <v>301</v>
      </c>
      <c r="B653" s="5" t="s">
        <v>137</v>
      </c>
      <c r="C653" t="s">
        <v>301</v>
      </c>
      <c r="E653" s="4" t="s">
        <v>301</v>
      </c>
      <c r="F653">
        <v>40177</v>
      </c>
      <c r="G653" t="s">
        <v>301</v>
      </c>
      <c r="I653" t="s">
        <v>298</v>
      </c>
      <c r="J653" t="s">
        <v>299</v>
      </c>
      <c r="K653" s="4" t="s">
        <v>304</v>
      </c>
      <c r="L653" t="str">
        <f t="shared" si="20"/>
        <v>"Pulaski County School Board"</v>
      </c>
      <c r="M653" t="s">
        <v>302</v>
      </c>
      <c r="N653" t="s">
        <v>303</v>
      </c>
      <c r="O653" s="4" t="s">
        <v>300</v>
      </c>
      <c r="P653" t="str">
        <f t="shared" si="21"/>
        <v>"40177"</v>
      </c>
    </row>
    <row r="654" spans="1:16" x14ac:dyDescent="0.2">
      <c r="A654" t="s">
        <v>301</v>
      </c>
      <c r="B654" s="5" t="s">
        <v>138</v>
      </c>
      <c r="C654" t="s">
        <v>301</v>
      </c>
      <c r="E654" s="4" t="s">
        <v>301</v>
      </c>
      <c r="F654">
        <v>40178</v>
      </c>
      <c r="G654" t="s">
        <v>301</v>
      </c>
      <c r="I654" t="s">
        <v>298</v>
      </c>
      <c r="J654" t="s">
        <v>299</v>
      </c>
      <c r="K654" s="4" t="s">
        <v>304</v>
      </c>
      <c r="L654" t="str">
        <f t="shared" si="20"/>
        <v>"Rappahannock County School Board"</v>
      </c>
      <c r="M654" t="s">
        <v>302</v>
      </c>
      <c r="N654" t="s">
        <v>303</v>
      </c>
      <c r="O654" s="4" t="s">
        <v>300</v>
      </c>
      <c r="P654" t="str">
        <f t="shared" si="21"/>
        <v>"40178"</v>
      </c>
    </row>
    <row r="655" spans="1:16" x14ac:dyDescent="0.2">
      <c r="A655" t="s">
        <v>301</v>
      </c>
      <c r="B655" s="5" t="s">
        <v>139</v>
      </c>
      <c r="C655" t="s">
        <v>301</v>
      </c>
      <c r="E655" s="4" t="s">
        <v>301</v>
      </c>
      <c r="F655">
        <v>40179</v>
      </c>
      <c r="G655" t="s">
        <v>301</v>
      </c>
      <c r="I655" t="s">
        <v>298</v>
      </c>
      <c r="J655" t="s">
        <v>299</v>
      </c>
      <c r="K655" s="4" t="s">
        <v>304</v>
      </c>
      <c r="L655" t="str">
        <f t="shared" si="20"/>
        <v>"Richmond County School Board"</v>
      </c>
      <c r="M655" t="s">
        <v>302</v>
      </c>
      <c r="N655" t="s">
        <v>303</v>
      </c>
      <c r="O655" s="4" t="s">
        <v>300</v>
      </c>
      <c r="P655" t="str">
        <f t="shared" si="21"/>
        <v>"40179"</v>
      </c>
    </row>
    <row r="656" spans="1:16" x14ac:dyDescent="0.2">
      <c r="A656" t="s">
        <v>301</v>
      </c>
      <c r="B656" s="5" t="s">
        <v>140</v>
      </c>
      <c r="C656" t="s">
        <v>301</v>
      </c>
      <c r="E656" s="4" t="s">
        <v>301</v>
      </c>
      <c r="F656">
        <v>40180</v>
      </c>
      <c r="G656" t="s">
        <v>301</v>
      </c>
      <c r="I656" t="s">
        <v>298</v>
      </c>
      <c r="J656" t="s">
        <v>299</v>
      </c>
      <c r="K656" s="4" t="s">
        <v>304</v>
      </c>
      <c r="L656" t="str">
        <f t="shared" si="20"/>
        <v>"Roanoke County School Board"</v>
      </c>
      <c r="M656" t="s">
        <v>302</v>
      </c>
      <c r="N656" t="s">
        <v>303</v>
      </c>
      <c r="O656" s="4" t="s">
        <v>300</v>
      </c>
      <c r="P656" t="str">
        <f t="shared" si="21"/>
        <v>"40180"</v>
      </c>
    </row>
    <row r="657" spans="1:16" x14ac:dyDescent="0.2">
      <c r="A657" t="s">
        <v>301</v>
      </c>
      <c r="B657" s="5" t="s">
        <v>141</v>
      </c>
      <c r="C657" t="s">
        <v>301</v>
      </c>
      <c r="E657" s="4" t="s">
        <v>301</v>
      </c>
      <c r="F657">
        <v>40181</v>
      </c>
      <c r="G657" t="s">
        <v>301</v>
      </c>
      <c r="I657" t="s">
        <v>298</v>
      </c>
      <c r="J657" t="s">
        <v>299</v>
      </c>
      <c r="K657" s="4" t="s">
        <v>304</v>
      </c>
      <c r="L657" t="str">
        <f t="shared" si="20"/>
        <v>"Rockbridge County School Board"</v>
      </c>
      <c r="M657" t="s">
        <v>302</v>
      </c>
      <c r="N657" t="s">
        <v>303</v>
      </c>
      <c r="O657" s="4" t="s">
        <v>300</v>
      </c>
      <c r="P657" t="str">
        <f t="shared" si="21"/>
        <v>"40181"</v>
      </c>
    </row>
    <row r="658" spans="1:16" x14ac:dyDescent="0.2">
      <c r="A658" t="s">
        <v>301</v>
      </c>
      <c r="B658" s="5" t="s">
        <v>142</v>
      </c>
      <c r="C658" t="s">
        <v>301</v>
      </c>
      <c r="E658" s="4" t="s">
        <v>301</v>
      </c>
      <c r="F658">
        <v>40182</v>
      </c>
      <c r="G658" t="s">
        <v>301</v>
      </c>
      <c r="I658" t="s">
        <v>298</v>
      </c>
      <c r="J658" t="s">
        <v>299</v>
      </c>
      <c r="K658" s="4" t="s">
        <v>304</v>
      </c>
      <c r="L658" t="str">
        <f t="shared" si="20"/>
        <v>"Rockingham County School Board"</v>
      </c>
      <c r="M658" t="s">
        <v>302</v>
      </c>
      <c r="N658" t="s">
        <v>303</v>
      </c>
      <c r="O658" s="4" t="s">
        <v>300</v>
      </c>
      <c r="P658" t="str">
        <f t="shared" si="21"/>
        <v>"40182"</v>
      </c>
    </row>
    <row r="659" spans="1:16" x14ac:dyDescent="0.2">
      <c r="A659" t="s">
        <v>301</v>
      </c>
      <c r="B659" s="5" t="s">
        <v>143</v>
      </c>
      <c r="C659" t="s">
        <v>301</v>
      </c>
      <c r="E659" s="4" t="s">
        <v>301</v>
      </c>
      <c r="F659">
        <v>40183</v>
      </c>
      <c r="G659" t="s">
        <v>301</v>
      </c>
      <c r="I659" t="s">
        <v>298</v>
      </c>
      <c r="J659" t="s">
        <v>299</v>
      </c>
      <c r="K659" s="4" t="s">
        <v>304</v>
      </c>
      <c r="L659" t="str">
        <f t="shared" si="20"/>
        <v>"Russell County School Board"</v>
      </c>
      <c r="M659" t="s">
        <v>302</v>
      </c>
      <c r="N659" t="s">
        <v>303</v>
      </c>
      <c r="O659" s="4" t="s">
        <v>300</v>
      </c>
      <c r="P659" t="str">
        <f t="shared" si="21"/>
        <v>"40183"</v>
      </c>
    </row>
    <row r="660" spans="1:16" x14ac:dyDescent="0.2">
      <c r="A660" t="s">
        <v>301</v>
      </c>
      <c r="B660" s="5" t="s">
        <v>144</v>
      </c>
      <c r="C660" t="s">
        <v>301</v>
      </c>
      <c r="E660" s="4" t="s">
        <v>301</v>
      </c>
      <c r="F660">
        <v>40184</v>
      </c>
      <c r="G660" t="s">
        <v>301</v>
      </c>
      <c r="I660" t="s">
        <v>298</v>
      </c>
      <c r="J660" t="s">
        <v>299</v>
      </c>
      <c r="K660" s="4" t="s">
        <v>304</v>
      </c>
      <c r="L660" t="str">
        <f t="shared" si="20"/>
        <v>"Scott County School Board"</v>
      </c>
      <c r="M660" t="s">
        <v>302</v>
      </c>
      <c r="N660" t="s">
        <v>303</v>
      </c>
      <c r="O660" s="4" t="s">
        <v>300</v>
      </c>
      <c r="P660" t="str">
        <f t="shared" si="21"/>
        <v>"40184"</v>
      </c>
    </row>
    <row r="661" spans="1:16" x14ac:dyDescent="0.2">
      <c r="A661" t="s">
        <v>301</v>
      </c>
      <c r="B661" s="5" t="s">
        <v>145</v>
      </c>
      <c r="C661" t="s">
        <v>301</v>
      </c>
      <c r="E661" s="4" t="s">
        <v>301</v>
      </c>
      <c r="F661">
        <v>40185</v>
      </c>
      <c r="G661" t="s">
        <v>301</v>
      </c>
      <c r="I661" t="s">
        <v>298</v>
      </c>
      <c r="J661" t="s">
        <v>299</v>
      </c>
      <c r="K661" s="4" t="s">
        <v>304</v>
      </c>
      <c r="L661" t="str">
        <f t="shared" si="20"/>
        <v>"Shenandoah County School Board"</v>
      </c>
      <c r="M661" t="s">
        <v>302</v>
      </c>
      <c r="N661" t="s">
        <v>303</v>
      </c>
      <c r="O661" s="4" t="s">
        <v>300</v>
      </c>
      <c r="P661" t="str">
        <f t="shared" si="21"/>
        <v>"40185"</v>
      </c>
    </row>
    <row r="662" spans="1:16" x14ac:dyDescent="0.2">
      <c r="A662" t="s">
        <v>301</v>
      </c>
      <c r="B662" s="5" t="s">
        <v>146</v>
      </c>
      <c r="C662" t="s">
        <v>301</v>
      </c>
      <c r="E662" s="4" t="s">
        <v>301</v>
      </c>
      <c r="F662">
        <v>40186</v>
      </c>
      <c r="G662" t="s">
        <v>301</v>
      </c>
      <c r="I662" t="s">
        <v>298</v>
      </c>
      <c r="J662" t="s">
        <v>299</v>
      </c>
      <c r="K662" s="4" t="s">
        <v>304</v>
      </c>
      <c r="L662" t="str">
        <f t="shared" si="20"/>
        <v>"Smyth County School Board"</v>
      </c>
      <c r="M662" t="s">
        <v>302</v>
      </c>
      <c r="N662" t="s">
        <v>303</v>
      </c>
      <c r="O662" s="4" t="s">
        <v>300</v>
      </c>
      <c r="P662" t="str">
        <f t="shared" si="21"/>
        <v>"40186"</v>
      </c>
    </row>
    <row r="663" spans="1:16" x14ac:dyDescent="0.2">
      <c r="A663" t="s">
        <v>301</v>
      </c>
      <c r="B663" s="5" t="s">
        <v>147</v>
      </c>
      <c r="C663" t="s">
        <v>301</v>
      </c>
      <c r="E663" s="4" t="s">
        <v>301</v>
      </c>
      <c r="F663">
        <v>40187</v>
      </c>
      <c r="G663" t="s">
        <v>301</v>
      </c>
      <c r="I663" t="s">
        <v>298</v>
      </c>
      <c r="J663" t="s">
        <v>299</v>
      </c>
      <c r="K663" s="4" t="s">
        <v>304</v>
      </c>
      <c r="L663" t="str">
        <f t="shared" si="20"/>
        <v>"Southampton County School Board"</v>
      </c>
      <c r="M663" t="s">
        <v>302</v>
      </c>
      <c r="N663" t="s">
        <v>303</v>
      </c>
      <c r="O663" s="4" t="s">
        <v>300</v>
      </c>
      <c r="P663" t="str">
        <f t="shared" si="21"/>
        <v>"40187"</v>
      </c>
    </row>
    <row r="664" spans="1:16" x14ac:dyDescent="0.2">
      <c r="A664" t="s">
        <v>301</v>
      </c>
      <c r="B664" s="5" t="s">
        <v>148</v>
      </c>
      <c r="C664" t="s">
        <v>301</v>
      </c>
      <c r="E664" s="4" t="s">
        <v>301</v>
      </c>
      <c r="F664">
        <v>40188</v>
      </c>
      <c r="G664" t="s">
        <v>301</v>
      </c>
      <c r="I664" t="s">
        <v>298</v>
      </c>
      <c r="J664" t="s">
        <v>299</v>
      </c>
      <c r="K664" s="4" t="s">
        <v>304</v>
      </c>
      <c r="L664" t="str">
        <f t="shared" si="20"/>
        <v>"Spotsylvania County School Board"</v>
      </c>
      <c r="M664" t="s">
        <v>302</v>
      </c>
      <c r="N664" t="s">
        <v>303</v>
      </c>
      <c r="O664" s="4" t="s">
        <v>300</v>
      </c>
      <c r="P664" t="str">
        <f t="shared" si="21"/>
        <v>"40188"</v>
      </c>
    </row>
    <row r="665" spans="1:16" x14ac:dyDescent="0.2">
      <c r="A665" t="s">
        <v>301</v>
      </c>
      <c r="B665" s="5" t="s">
        <v>149</v>
      </c>
      <c r="C665" t="s">
        <v>301</v>
      </c>
      <c r="E665" s="4" t="s">
        <v>301</v>
      </c>
      <c r="F665">
        <v>40189</v>
      </c>
      <c r="G665" t="s">
        <v>301</v>
      </c>
      <c r="I665" t="s">
        <v>298</v>
      </c>
      <c r="J665" t="s">
        <v>299</v>
      </c>
      <c r="K665" s="4" t="s">
        <v>304</v>
      </c>
      <c r="L665" t="str">
        <f t="shared" si="20"/>
        <v>"Stafford County School Board"</v>
      </c>
      <c r="M665" t="s">
        <v>302</v>
      </c>
      <c r="N665" t="s">
        <v>303</v>
      </c>
      <c r="O665" s="4" t="s">
        <v>300</v>
      </c>
      <c r="P665" t="str">
        <f t="shared" si="21"/>
        <v>"40189"</v>
      </c>
    </row>
    <row r="666" spans="1:16" x14ac:dyDescent="0.2">
      <c r="A666" t="s">
        <v>301</v>
      </c>
      <c r="B666" s="5" t="s">
        <v>150</v>
      </c>
      <c r="C666" t="s">
        <v>301</v>
      </c>
      <c r="E666" s="4" t="s">
        <v>301</v>
      </c>
      <c r="F666">
        <v>40190</v>
      </c>
      <c r="G666" t="s">
        <v>301</v>
      </c>
      <c r="I666" t="s">
        <v>298</v>
      </c>
      <c r="J666" t="s">
        <v>299</v>
      </c>
      <c r="K666" s="4" t="s">
        <v>304</v>
      </c>
      <c r="L666" t="str">
        <f t="shared" si="20"/>
        <v>"Surry County Schools"</v>
      </c>
      <c r="M666" t="s">
        <v>302</v>
      </c>
      <c r="N666" t="s">
        <v>303</v>
      </c>
      <c r="O666" s="4" t="s">
        <v>300</v>
      </c>
      <c r="P666" t="str">
        <f t="shared" si="21"/>
        <v>"40190"</v>
      </c>
    </row>
    <row r="667" spans="1:16" x14ac:dyDescent="0.2">
      <c r="A667" t="s">
        <v>301</v>
      </c>
      <c r="B667" s="5" t="s">
        <v>151</v>
      </c>
      <c r="C667" t="s">
        <v>301</v>
      </c>
      <c r="E667" s="4" t="s">
        <v>301</v>
      </c>
      <c r="F667">
        <v>40191</v>
      </c>
      <c r="G667" t="s">
        <v>301</v>
      </c>
      <c r="I667" t="s">
        <v>298</v>
      </c>
      <c r="J667" t="s">
        <v>299</v>
      </c>
      <c r="K667" s="4" t="s">
        <v>304</v>
      </c>
      <c r="L667" t="str">
        <f t="shared" si="20"/>
        <v>"Sussex County School Board"</v>
      </c>
      <c r="M667" t="s">
        <v>302</v>
      </c>
      <c r="N667" t="s">
        <v>303</v>
      </c>
      <c r="O667" s="4" t="s">
        <v>300</v>
      </c>
      <c r="P667" t="str">
        <f t="shared" si="21"/>
        <v>"40191"</v>
      </c>
    </row>
    <row r="668" spans="1:16" x14ac:dyDescent="0.2">
      <c r="A668" t="s">
        <v>301</v>
      </c>
      <c r="B668" s="5" t="s">
        <v>152</v>
      </c>
      <c r="C668" t="s">
        <v>301</v>
      </c>
      <c r="E668" s="4" t="s">
        <v>301</v>
      </c>
      <c r="F668">
        <v>40192</v>
      </c>
      <c r="G668" t="s">
        <v>301</v>
      </c>
      <c r="I668" t="s">
        <v>298</v>
      </c>
      <c r="J668" t="s">
        <v>299</v>
      </c>
      <c r="K668" s="4" t="s">
        <v>304</v>
      </c>
      <c r="L668" t="str">
        <f t="shared" si="20"/>
        <v>"Tazewell County Schools"</v>
      </c>
      <c r="M668" t="s">
        <v>302</v>
      </c>
      <c r="N668" t="s">
        <v>303</v>
      </c>
      <c r="O668" s="4" t="s">
        <v>300</v>
      </c>
      <c r="P668" t="str">
        <f t="shared" si="21"/>
        <v>"40192"</v>
      </c>
    </row>
    <row r="669" spans="1:16" x14ac:dyDescent="0.2">
      <c r="A669" t="s">
        <v>301</v>
      </c>
      <c r="B669" s="5" t="s">
        <v>153</v>
      </c>
      <c r="C669" t="s">
        <v>301</v>
      </c>
      <c r="E669" s="4" t="s">
        <v>301</v>
      </c>
      <c r="F669">
        <v>40193</v>
      </c>
      <c r="G669" t="s">
        <v>301</v>
      </c>
      <c r="I669" t="s">
        <v>298</v>
      </c>
      <c r="J669" t="s">
        <v>299</v>
      </c>
      <c r="K669" s="4" t="s">
        <v>304</v>
      </c>
      <c r="L669" t="str">
        <f t="shared" si="20"/>
        <v>"Warren County School Board"</v>
      </c>
      <c r="M669" t="s">
        <v>302</v>
      </c>
      <c r="N669" t="s">
        <v>303</v>
      </c>
      <c r="O669" s="4" t="s">
        <v>300</v>
      </c>
      <c r="P669" t="str">
        <f t="shared" si="21"/>
        <v>"40193"</v>
      </c>
    </row>
    <row r="670" spans="1:16" x14ac:dyDescent="0.2">
      <c r="A670" t="s">
        <v>301</v>
      </c>
      <c r="B670" s="5" t="s">
        <v>154</v>
      </c>
      <c r="C670" t="s">
        <v>301</v>
      </c>
      <c r="E670" s="4" t="s">
        <v>301</v>
      </c>
      <c r="F670">
        <v>40195</v>
      </c>
      <c r="G670" t="s">
        <v>301</v>
      </c>
      <c r="I670" t="s">
        <v>298</v>
      </c>
      <c r="J670" t="s">
        <v>299</v>
      </c>
      <c r="K670" s="4" t="s">
        <v>304</v>
      </c>
      <c r="L670" t="str">
        <f t="shared" si="20"/>
        <v>"Washington County School Board"</v>
      </c>
      <c r="M670" t="s">
        <v>302</v>
      </c>
      <c r="N670" t="s">
        <v>303</v>
      </c>
      <c r="O670" s="4" t="s">
        <v>300</v>
      </c>
      <c r="P670" t="str">
        <f t="shared" si="21"/>
        <v>"40195"</v>
      </c>
    </row>
    <row r="671" spans="1:16" x14ac:dyDescent="0.2">
      <c r="A671" t="s">
        <v>301</v>
      </c>
      <c r="B671" s="5" t="s">
        <v>155</v>
      </c>
      <c r="C671" t="s">
        <v>301</v>
      </c>
      <c r="E671" s="4" t="s">
        <v>301</v>
      </c>
      <c r="F671">
        <v>40196</v>
      </c>
      <c r="G671" t="s">
        <v>301</v>
      </c>
      <c r="I671" t="s">
        <v>298</v>
      </c>
      <c r="J671" t="s">
        <v>299</v>
      </c>
      <c r="K671" s="4" t="s">
        <v>304</v>
      </c>
      <c r="L671" t="str">
        <f t="shared" si="20"/>
        <v>"Westmoreland County School Board"</v>
      </c>
      <c r="M671" t="s">
        <v>302</v>
      </c>
      <c r="N671" t="s">
        <v>303</v>
      </c>
      <c r="O671" s="4" t="s">
        <v>300</v>
      </c>
      <c r="P671" t="str">
        <f t="shared" si="21"/>
        <v>"40196"</v>
      </c>
    </row>
    <row r="672" spans="1:16" x14ac:dyDescent="0.2">
      <c r="A672" t="s">
        <v>301</v>
      </c>
      <c r="B672" s="5" t="s">
        <v>156</v>
      </c>
      <c r="C672" t="s">
        <v>301</v>
      </c>
      <c r="E672" s="4" t="s">
        <v>301</v>
      </c>
      <c r="F672">
        <v>40197</v>
      </c>
      <c r="G672" t="s">
        <v>301</v>
      </c>
      <c r="I672" t="s">
        <v>298</v>
      </c>
      <c r="J672" t="s">
        <v>299</v>
      </c>
      <c r="K672" s="4" t="s">
        <v>304</v>
      </c>
      <c r="L672" t="str">
        <f t="shared" si="20"/>
        <v>"Wise County School Board"</v>
      </c>
      <c r="M672" t="s">
        <v>302</v>
      </c>
      <c r="N672" t="s">
        <v>303</v>
      </c>
      <c r="O672" s="4" t="s">
        <v>300</v>
      </c>
      <c r="P672" t="str">
        <f t="shared" si="21"/>
        <v>"40197"</v>
      </c>
    </row>
    <row r="673" spans="1:16" x14ac:dyDescent="0.2">
      <c r="A673" t="s">
        <v>301</v>
      </c>
      <c r="B673" s="5" t="s">
        <v>157</v>
      </c>
      <c r="C673" t="s">
        <v>301</v>
      </c>
      <c r="E673" s="4" t="s">
        <v>301</v>
      </c>
      <c r="F673">
        <v>40198</v>
      </c>
      <c r="G673" t="s">
        <v>301</v>
      </c>
      <c r="I673" t="s">
        <v>298</v>
      </c>
      <c r="J673" t="s">
        <v>299</v>
      </c>
      <c r="K673" s="4" t="s">
        <v>304</v>
      </c>
      <c r="L673" t="str">
        <f t="shared" si="20"/>
        <v>"Wythe County School Board"</v>
      </c>
      <c r="M673" t="s">
        <v>302</v>
      </c>
      <c r="N673" t="s">
        <v>303</v>
      </c>
      <c r="O673" s="4" t="s">
        <v>300</v>
      </c>
      <c r="P673" t="str">
        <f t="shared" si="21"/>
        <v>"40198"</v>
      </c>
    </row>
    <row r="674" spans="1:16" x14ac:dyDescent="0.2">
      <c r="A674" t="s">
        <v>301</v>
      </c>
      <c r="B674" s="5" t="s">
        <v>158</v>
      </c>
      <c r="C674" t="s">
        <v>301</v>
      </c>
      <c r="E674" s="4" t="s">
        <v>301</v>
      </c>
      <c r="F674">
        <v>40199</v>
      </c>
      <c r="G674" t="s">
        <v>301</v>
      </c>
      <c r="I674" t="s">
        <v>298</v>
      </c>
      <c r="J674" t="s">
        <v>299</v>
      </c>
      <c r="K674" s="4" t="s">
        <v>304</v>
      </c>
      <c r="L674" t="str">
        <f t="shared" si="20"/>
        <v>"York County School Board"</v>
      </c>
      <c r="M674" t="s">
        <v>302</v>
      </c>
      <c r="N674" t="s">
        <v>303</v>
      </c>
      <c r="O674" s="4" t="s">
        <v>300</v>
      </c>
      <c r="P674" t="str">
        <f t="shared" si="21"/>
        <v>"40199"</v>
      </c>
    </row>
    <row r="675" spans="1:16" x14ac:dyDescent="0.2">
      <c r="A675" t="s">
        <v>301</v>
      </c>
      <c r="B675" s="5" t="s">
        <v>159</v>
      </c>
      <c r="C675" t="s">
        <v>301</v>
      </c>
      <c r="E675" s="4" t="s">
        <v>301</v>
      </c>
      <c r="F675">
        <v>40200</v>
      </c>
      <c r="G675" t="s">
        <v>301</v>
      </c>
      <c r="I675" t="s">
        <v>298</v>
      </c>
      <c r="J675" t="s">
        <v>299</v>
      </c>
      <c r="K675" s="4" t="s">
        <v>304</v>
      </c>
      <c r="L675" t="str">
        <f t="shared" si="20"/>
        <v>"Alexandria City School Board"</v>
      </c>
      <c r="M675" t="s">
        <v>302</v>
      </c>
      <c r="N675" t="s">
        <v>303</v>
      </c>
      <c r="O675" s="4" t="s">
        <v>300</v>
      </c>
      <c r="P675" t="str">
        <f t="shared" si="21"/>
        <v>"40200"</v>
      </c>
    </row>
    <row r="676" spans="1:16" x14ac:dyDescent="0.2">
      <c r="A676" t="s">
        <v>301</v>
      </c>
      <c r="B676" s="5" t="s">
        <v>160</v>
      </c>
      <c r="C676" t="s">
        <v>301</v>
      </c>
      <c r="E676" s="4" t="s">
        <v>301</v>
      </c>
      <c r="F676">
        <v>40201</v>
      </c>
      <c r="G676" t="s">
        <v>301</v>
      </c>
      <c r="I676" t="s">
        <v>298</v>
      </c>
      <c r="J676" t="s">
        <v>299</v>
      </c>
      <c r="K676" s="4" t="s">
        <v>304</v>
      </c>
      <c r="L676" t="str">
        <f t="shared" si="20"/>
        <v>"Bristol City School Board"</v>
      </c>
      <c r="M676" t="s">
        <v>302</v>
      </c>
      <c r="N676" t="s">
        <v>303</v>
      </c>
      <c r="O676" s="4" t="s">
        <v>300</v>
      </c>
      <c r="P676" t="str">
        <f t="shared" si="21"/>
        <v>"40201"</v>
      </c>
    </row>
    <row r="677" spans="1:16" x14ac:dyDescent="0.2">
      <c r="A677" t="s">
        <v>301</v>
      </c>
      <c r="B677" s="5" t="s">
        <v>161</v>
      </c>
      <c r="C677" t="s">
        <v>301</v>
      </c>
      <c r="E677" s="4" t="s">
        <v>301</v>
      </c>
      <c r="F677">
        <v>40202</v>
      </c>
      <c r="G677" t="s">
        <v>301</v>
      </c>
      <c r="I677" t="s">
        <v>298</v>
      </c>
      <c r="J677" t="s">
        <v>299</v>
      </c>
      <c r="K677" s="4" t="s">
        <v>304</v>
      </c>
      <c r="L677" t="str">
        <f t="shared" si="20"/>
        <v>"Buena Vista City Schools"</v>
      </c>
      <c r="M677" t="s">
        <v>302</v>
      </c>
      <c r="N677" t="s">
        <v>303</v>
      </c>
      <c r="O677" s="4" t="s">
        <v>300</v>
      </c>
      <c r="P677" t="str">
        <f t="shared" si="21"/>
        <v>"40202"</v>
      </c>
    </row>
    <row r="678" spans="1:16" x14ac:dyDescent="0.2">
      <c r="A678" t="s">
        <v>301</v>
      </c>
      <c r="B678" s="5" t="s">
        <v>162</v>
      </c>
      <c r="C678" t="s">
        <v>301</v>
      </c>
      <c r="E678" s="4" t="s">
        <v>301</v>
      </c>
      <c r="F678">
        <v>40203</v>
      </c>
      <c r="G678" t="s">
        <v>301</v>
      </c>
      <c r="I678" t="s">
        <v>298</v>
      </c>
      <c r="J678" t="s">
        <v>299</v>
      </c>
      <c r="K678" s="4" t="s">
        <v>304</v>
      </c>
      <c r="L678" t="str">
        <f t="shared" si="20"/>
        <v>"Charlottesville Public Schools"</v>
      </c>
      <c r="M678" t="s">
        <v>302</v>
      </c>
      <c r="N678" t="s">
        <v>303</v>
      </c>
      <c r="O678" s="4" t="s">
        <v>300</v>
      </c>
      <c r="P678" t="str">
        <f t="shared" si="21"/>
        <v>"40203"</v>
      </c>
    </row>
    <row r="679" spans="1:16" x14ac:dyDescent="0.2">
      <c r="A679" t="s">
        <v>301</v>
      </c>
      <c r="B679" s="5" t="s">
        <v>196</v>
      </c>
      <c r="C679" t="s">
        <v>301</v>
      </c>
      <c r="E679" s="4" t="s">
        <v>301</v>
      </c>
      <c r="F679">
        <v>40205</v>
      </c>
      <c r="G679" t="s">
        <v>301</v>
      </c>
      <c r="I679" t="s">
        <v>298</v>
      </c>
      <c r="J679" t="s">
        <v>299</v>
      </c>
      <c r="K679" s="4" t="s">
        <v>304</v>
      </c>
      <c r="L679" t="str">
        <f t="shared" si="20"/>
        <v>"Danville City Schools"</v>
      </c>
      <c r="M679" t="s">
        <v>302</v>
      </c>
      <c r="N679" t="s">
        <v>303</v>
      </c>
      <c r="O679" s="4" t="s">
        <v>300</v>
      </c>
      <c r="P679" t="str">
        <f t="shared" si="21"/>
        <v>"40205"</v>
      </c>
    </row>
    <row r="680" spans="1:16" x14ac:dyDescent="0.2">
      <c r="A680" t="s">
        <v>301</v>
      </c>
      <c r="B680" s="5" t="s">
        <v>197</v>
      </c>
      <c r="C680" t="s">
        <v>301</v>
      </c>
      <c r="E680" s="4" t="s">
        <v>301</v>
      </c>
      <c r="F680">
        <v>40206</v>
      </c>
      <c r="G680" t="s">
        <v>301</v>
      </c>
      <c r="I680" t="s">
        <v>298</v>
      </c>
      <c r="J680" t="s">
        <v>299</v>
      </c>
      <c r="K680" s="4" t="s">
        <v>304</v>
      </c>
      <c r="L680" t="str">
        <f t="shared" si="20"/>
        <v>"Fredericksburg City Schools"</v>
      </c>
      <c r="M680" t="s">
        <v>302</v>
      </c>
      <c r="N680" t="s">
        <v>303</v>
      </c>
      <c r="O680" s="4" t="s">
        <v>300</v>
      </c>
      <c r="P680" t="str">
        <f t="shared" si="21"/>
        <v>"40206"</v>
      </c>
    </row>
    <row r="681" spans="1:16" x14ac:dyDescent="0.2">
      <c r="A681" t="s">
        <v>301</v>
      </c>
      <c r="B681" s="5" t="s">
        <v>198</v>
      </c>
      <c r="C681" t="s">
        <v>301</v>
      </c>
      <c r="E681" s="4" t="s">
        <v>301</v>
      </c>
      <c r="F681">
        <v>40207</v>
      </c>
      <c r="G681" t="s">
        <v>301</v>
      </c>
      <c r="I681" t="s">
        <v>298</v>
      </c>
      <c r="J681" t="s">
        <v>299</v>
      </c>
      <c r="K681" s="4" t="s">
        <v>304</v>
      </c>
      <c r="L681" t="str">
        <f t="shared" si="20"/>
        <v>"Hampton City Schools"</v>
      </c>
      <c r="M681" t="s">
        <v>302</v>
      </c>
      <c r="N681" t="s">
        <v>303</v>
      </c>
      <c r="O681" s="4" t="s">
        <v>300</v>
      </c>
      <c r="P681" t="str">
        <f t="shared" si="21"/>
        <v>"40207"</v>
      </c>
    </row>
    <row r="682" spans="1:16" x14ac:dyDescent="0.2">
      <c r="A682" t="s">
        <v>301</v>
      </c>
      <c r="B682" s="5" t="s">
        <v>199</v>
      </c>
      <c r="C682" t="s">
        <v>301</v>
      </c>
      <c r="E682" s="4" t="s">
        <v>301</v>
      </c>
      <c r="F682">
        <v>40208</v>
      </c>
      <c r="G682" t="s">
        <v>301</v>
      </c>
      <c r="I682" t="s">
        <v>298</v>
      </c>
      <c r="J682" t="s">
        <v>299</v>
      </c>
      <c r="K682" s="4" t="s">
        <v>304</v>
      </c>
      <c r="L682" t="str">
        <f t="shared" si="20"/>
        <v>"Harrisonburg City School Board"</v>
      </c>
      <c r="M682" t="s">
        <v>302</v>
      </c>
      <c r="N682" t="s">
        <v>303</v>
      </c>
      <c r="O682" s="4" t="s">
        <v>300</v>
      </c>
      <c r="P682" t="str">
        <f t="shared" si="21"/>
        <v>"40208"</v>
      </c>
    </row>
    <row r="683" spans="1:16" x14ac:dyDescent="0.2">
      <c r="A683" t="s">
        <v>301</v>
      </c>
      <c r="B683" s="5" t="s">
        <v>200</v>
      </c>
      <c r="C683" t="s">
        <v>301</v>
      </c>
      <c r="E683" s="4" t="s">
        <v>301</v>
      </c>
      <c r="F683">
        <v>40209</v>
      </c>
      <c r="G683" t="s">
        <v>301</v>
      </c>
      <c r="I683" t="s">
        <v>298</v>
      </c>
      <c r="J683" t="s">
        <v>299</v>
      </c>
      <c r="K683" s="4" t="s">
        <v>304</v>
      </c>
      <c r="L683" t="str">
        <f t="shared" si="20"/>
        <v>"Hopewell City School Board"</v>
      </c>
      <c r="M683" t="s">
        <v>302</v>
      </c>
      <c r="N683" t="s">
        <v>303</v>
      </c>
      <c r="O683" s="4" t="s">
        <v>300</v>
      </c>
      <c r="P683" t="str">
        <f t="shared" si="21"/>
        <v>"40209"</v>
      </c>
    </row>
    <row r="684" spans="1:16" x14ac:dyDescent="0.2">
      <c r="A684" t="s">
        <v>301</v>
      </c>
      <c r="B684" s="5" t="s">
        <v>201</v>
      </c>
      <c r="C684" t="s">
        <v>301</v>
      </c>
      <c r="E684" s="4" t="s">
        <v>301</v>
      </c>
      <c r="F684">
        <v>40210</v>
      </c>
      <c r="G684" t="s">
        <v>301</v>
      </c>
      <c r="I684" t="s">
        <v>298</v>
      </c>
      <c r="J684" t="s">
        <v>299</v>
      </c>
      <c r="K684" s="4" t="s">
        <v>304</v>
      </c>
      <c r="L684" t="str">
        <f t="shared" si="20"/>
        <v>"Lynchburg Public Schools"</v>
      </c>
      <c r="M684" t="s">
        <v>302</v>
      </c>
      <c r="N684" t="s">
        <v>303</v>
      </c>
      <c r="O684" s="4" t="s">
        <v>300</v>
      </c>
      <c r="P684" t="str">
        <f t="shared" si="21"/>
        <v>"40210"</v>
      </c>
    </row>
    <row r="685" spans="1:16" x14ac:dyDescent="0.2">
      <c r="A685" t="s">
        <v>301</v>
      </c>
      <c r="B685" s="5" t="s">
        <v>202</v>
      </c>
      <c r="C685" t="s">
        <v>301</v>
      </c>
      <c r="E685" s="4" t="s">
        <v>301</v>
      </c>
      <c r="F685">
        <v>40211</v>
      </c>
      <c r="G685" t="s">
        <v>301</v>
      </c>
      <c r="I685" t="s">
        <v>298</v>
      </c>
      <c r="J685" t="s">
        <v>299</v>
      </c>
      <c r="K685" s="4" t="s">
        <v>304</v>
      </c>
      <c r="L685" t="str">
        <f t="shared" si="20"/>
        <v>"Newport News Public Schools"</v>
      </c>
      <c r="M685" t="s">
        <v>302</v>
      </c>
      <c r="N685" t="s">
        <v>303</v>
      </c>
      <c r="O685" s="4" t="s">
        <v>300</v>
      </c>
      <c r="P685" t="str">
        <f t="shared" si="21"/>
        <v>"40211"</v>
      </c>
    </row>
    <row r="686" spans="1:16" x14ac:dyDescent="0.2">
      <c r="A686" t="s">
        <v>301</v>
      </c>
      <c r="B686" s="5" t="s">
        <v>203</v>
      </c>
      <c r="C686" t="s">
        <v>301</v>
      </c>
      <c r="E686" s="4" t="s">
        <v>301</v>
      </c>
      <c r="F686">
        <v>40212</v>
      </c>
      <c r="G686" t="s">
        <v>301</v>
      </c>
      <c r="I686" t="s">
        <v>298</v>
      </c>
      <c r="J686" t="s">
        <v>299</v>
      </c>
      <c r="K686" s="4" t="s">
        <v>304</v>
      </c>
      <c r="L686" t="str">
        <f t="shared" si="20"/>
        <v>"Norfolk Public Schools"</v>
      </c>
      <c r="M686" t="s">
        <v>302</v>
      </c>
      <c r="N686" t="s">
        <v>303</v>
      </c>
      <c r="O686" s="4" t="s">
        <v>300</v>
      </c>
      <c r="P686" t="str">
        <f t="shared" si="21"/>
        <v>"40212"</v>
      </c>
    </row>
    <row r="687" spans="1:16" x14ac:dyDescent="0.2">
      <c r="A687" t="s">
        <v>301</v>
      </c>
      <c r="B687" s="5" t="s">
        <v>204</v>
      </c>
      <c r="C687" t="s">
        <v>301</v>
      </c>
      <c r="E687" s="4" t="s">
        <v>301</v>
      </c>
      <c r="F687">
        <v>40213</v>
      </c>
      <c r="G687" t="s">
        <v>301</v>
      </c>
      <c r="I687" t="s">
        <v>298</v>
      </c>
      <c r="J687" t="s">
        <v>299</v>
      </c>
      <c r="K687" s="4" t="s">
        <v>304</v>
      </c>
      <c r="L687" t="str">
        <f t="shared" si="20"/>
        <v>"Petersburg City Schools"</v>
      </c>
      <c r="M687" t="s">
        <v>302</v>
      </c>
      <c r="N687" t="s">
        <v>303</v>
      </c>
      <c r="O687" s="4" t="s">
        <v>300</v>
      </c>
      <c r="P687" t="str">
        <f t="shared" si="21"/>
        <v>"40213"</v>
      </c>
    </row>
    <row r="688" spans="1:16" x14ac:dyDescent="0.2">
      <c r="A688" t="s">
        <v>301</v>
      </c>
      <c r="B688" s="5" t="s">
        <v>205</v>
      </c>
      <c r="C688" t="s">
        <v>301</v>
      </c>
      <c r="E688" s="4" t="s">
        <v>301</v>
      </c>
      <c r="F688">
        <v>40214</v>
      </c>
      <c r="G688" t="s">
        <v>301</v>
      </c>
      <c r="I688" t="s">
        <v>298</v>
      </c>
      <c r="J688" t="s">
        <v>299</v>
      </c>
      <c r="K688" s="4" t="s">
        <v>304</v>
      </c>
      <c r="L688" t="str">
        <f t="shared" si="20"/>
        <v>"Portsmouth School Board"</v>
      </c>
      <c r="M688" t="s">
        <v>302</v>
      </c>
      <c r="N688" t="s">
        <v>303</v>
      </c>
      <c r="O688" s="4" t="s">
        <v>300</v>
      </c>
      <c r="P688" t="str">
        <f t="shared" si="21"/>
        <v>"40214"</v>
      </c>
    </row>
    <row r="689" spans="1:16" x14ac:dyDescent="0.2">
      <c r="A689" t="s">
        <v>301</v>
      </c>
      <c r="B689" s="5" t="s">
        <v>206</v>
      </c>
      <c r="C689" t="s">
        <v>301</v>
      </c>
      <c r="E689" s="4" t="s">
        <v>301</v>
      </c>
      <c r="F689">
        <v>40215</v>
      </c>
      <c r="G689" t="s">
        <v>301</v>
      </c>
      <c r="I689" t="s">
        <v>298</v>
      </c>
      <c r="J689" t="s">
        <v>299</v>
      </c>
      <c r="K689" s="4" t="s">
        <v>304</v>
      </c>
      <c r="L689" t="str">
        <f t="shared" si="20"/>
        <v>"Radford City School Board"</v>
      </c>
      <c r="M689" t="s">
        <v>302</v>
      </c>
      <c r="N689" t="s">
        <v>303</v>
      </c>
      <c r="O689" s="4" t="s">
        <v>300</v>
      </c>
      <c r="P689" t="str">
        <f t="shared" si="21"/>
        <v>"40215"</v>
      </c>
    </row>
    <row r="690" spans="1:16" x14ac:dyDescent="0.2">
      <c r="A690" t="s">
        <v>301</v>
      </c>
      <c r="B690" s="5" t="s">
        <v>207</v>
      </c>
      <c r="C690" t="s">
        <v>301</v>
      </c>
      <c r="E690" s="4" t="s">
        <v>301</v>
      </c>
      <c r="F690">
        <v>40216</v>
      </c>
      <c r="G690" t="s">
        <v>301</v>
      </c>
      <c r="I690" t="s">
        <v>298</v>
      </c>
      <c r="J690" t="s">
        <v>299</v>
      </c>
      <c r="K690" s="4" t="s">
        <v>304</v>
      </c>
      <c r="L690" t="str">
        <f t="shared" si="20"/>
        <v>"Richmond Public Schools"</v>
      </c>
      <c r="M690" t="s">
        <v>302</v>
      </c>
      <c r="N690" t="s">
        <v>303</v>
      </c>
      <c r="O690" s="4" t="s">
        <v>300</v>
      </c>
      <c r="P690" t="str">
        <f t="shared" si="21"/>
        <v>"40216"</v>
      </c>
    </row>
    <row r="691" spans="1:16" x14ac:dyDescent="0.2">
      <c r="A691" t="s">
        <v>301</v>
      </c>
      <c r="B691" s="5" t="s">
        <v>208</v>
      </c>
      <c r="C691" t="s">
        <v>301</v>
      </c>
      <c r="E691" s="4" t="s">
        <v>301</v>
      </c>
      <c r="F691">
        <v>40217</v>
      </c>
      <c r="G691" t="s">
        <v>301</v>
      </c>
      <c r="I691" t="s">
        <v>298</v>
      </c>
      <c r="J691" t="s">
        <v>299</v>
      </c>
      <c r="K691" s="4" t="s">
        <v>304</v>
      </c>
      <c r="L691" t="str">
        <f t="shared" si="20"/>
        <v>"Roanoke City School Board"</v>
      </c>
      <c r="M691" t="s">
        <v>302</v>
      </c>
      <c r="N691" t="s">
        <v>303</v>
      </c>
      <c r="O691" s="4" t="s">
        <v>300</v>
      </c>
      <c r="P691" t="str">
        <f t="shared" si="21"/>
        <v>"40217"</v>
      </c>
    </row>
    <row r="692" spans="1:16" x14ac:dyDescent="0.2">
      <c r="A692" t="s">
        <v>301</v>
      </c>
      <c r="B692" s="5" t="s">
        <v>209</v>
      </c>
      <c r="C692" t="s">
        <v>301</v>
      </c>
      <c r="E692" s="4" t="s">
        <v>301</v>
      </c>
      <c r="F692">
        <v>40219</v>
      </c>
      <c r="G692" t="s">
        <v>301</v>
      </c>
      <c r="I692" t="s">
        <v>298</v>
      </c>
      <c r="J692" t="s">
        <v>299</v>
      </c>
      <c r="K692" s="4" t="s">
        <v>304</v>
      </c>
      <c r="L692" t="str">
        <f t="shared" si="20"/>
        <v>"Staunton City Schools"</v>
      </c>
      <c r="M692" t="s">
        <v>302</v>
      </c>
      <c r="N692" t="s">
        <v>303</v>
      </c>
      <c r="O692" s="4" t="s">
        <v>300</v>
      </c>
      <c r="P692" t="str">
        <f t="shared" si="21"/>
        <v>"40219"</v>
      </c>
    </row>
    <row r="693" spans="1:16" x14ac:dyDescent="0.2">
      <c r="A693" t="s">
        <v>301</v>
      </c>
      <c r="B693" s="5" t="s">
        <v>210</v>
      </c>
      <c r="C693" t="s">
        <v>301</v>
      </c>
      <c r="E693" s="4" t="s">
        <v>301</v>
      </c>
      <c r="F693">
        <v>40220</v>
      </c>
      <c r="G693" t="s">
        <v>301</v>
      </c>
      <c r="I693" t="s">
        <v>298</v>
      </c>
      <c r="J693" t="s">
        <v>299</v>
      </c>
      <c r="K693" s="4" t="s">
        <v>304</v>
      </c>
      <c r="L693" t="str">
        <f t="shared" si="20"/>
        <v>"Suffolk City School Board"</v>
      </c>
      <c r="M693" t="s">
        <v>302</v>
      </c>
      <c r="N693" t="s">
        <v>303</v>
      </c>
      <c r="O693" s="4" t="s">
        <v>300</v>
      </c>
      <c r="P693" t="str">
        <f t="shared" si="21"/>
        <v>"40220"</v>
      </c>
    </row>
    <row r="694" spans="1:16" x14ac:dyDescent="0.2">
      <c r="A694" t="s">
        <v>301</v>
      </c>
      <c r="B694" s="5" t="s">
        <v>211</v>
      </c>
      <c r="C694" t="s">
        <v>301</v>
      </c>
      <c r="E694" s="4" t="s">
        <v>301</v>
      </c>
      <c r="F694">
        <v>40222</v>
      </c>
      <c r="G694" t="s">
        <v>301</v>
      </c>
      <c r="I694" t="s">
        <v>298</v>
      </c>
      <c r="J694" t="s">
        <v>299</v>
      </c>
      <c r="K694" s="4" t="s">
        <v>304</v>
      </c>
      <c r="L694" t="str">
        <f t="shared" si="20"/>
        <v>"Winchester Public Schools"</v>
      </c>
      <c r="M694" t="s">
        <v>302</v>
      </c>
      <c r="N694" t="s">
        <v>303</v>
      </c>
      <c r="O694" s="4" t="s">
        <v>300</v>
      </c>
      <c r="P694" t="str">
        <f t="shared" si="21"/>
        <v>"40222"</v>
      </c>
    </row>
    <row r="695" spans="1:16" x14ac:dyDescent="0.2">
      <c r="A695" t="s">
        <v>301</v>
      </c>
      <c r="B695" s="5" t="s">
        <v>212</v>
      </c>
      <c r="C695" t="s">
        <v>301</v>
      </c>
      <c r="E695" s="4" t="s">
        <v>301</v>
      </c>
      <c r="F695">
        <v>40223</v>
      </c>
      <c r="G695" t="s">
        <v>301</v>
      </c>
      <c r="I695" t="s">
        <v>298</v>
      </c>
      <c r="J695" t="s">
        <v>299</v>
      </c>
      <c r="K695" s="4" t="s">
        <v>304</v>
      </c>
      <c r="L695" t="str">
        <f t="shared" si="20"/>
        <v>"Martinsville City Schools"</v>
      </c>
      <c r="M695" t="s">
        <v>302</v>
      </c>
      <c r="N695" t="s">
        <v>303</v>
      </c>
      <c r="O695" s="4" t="s">
        <v>300</v>
      </c>
      <c r="P695" t="str">
        <f t="shared" si="21"/>
        <v>"40223"</v>
      </c>
    </row>
    <row r="696" spans="1:16" x14ac:dyDescent="0.2">
      <c r="A696" t="s">
        <v>301</v>
      </c>
      <c r="B696" s="5" t="s">
        <v>213</v>
      </c>
      <c r="C696" t="s">
        <v>301</v>
      </c>
      <c r="E696" s="4" t="s">
        <v>301</v>
      </c>
      <c r="F696">
        <v>40224</v>
      </c>
      <c r="G696" t="s">
        <v>301</v>
      </c>
      <c r="I696" t="s">
        <v>298</v>
      </c>
      <c r="J696" t="s">
        <v>299</v>
      </c>
      <c r="K696" s="4" t="s">
        <v>304</v>
      </c>
      <c r="L696" t="str">
        <f t="shared" si="20"/>
        <v>"Falls Church Public Schools"</v>
      </c>
      <c r="M696" t="s">
        <v>302</v>
      </c>
      <c r="N696" t="s">
        <v>303</v>
      </c>
      <c r="O696" s="4" t="s">
        <v>300</v>
      </c>
      <c r="P696" t="str">
        <f t="shared" si="21"/>
        <v>"40224"</v>
      </c>
    </row>
    <row r="697" spans="1:16" x14ac:dyDescent="0.2">
      <c r="A697" t="s">
        <v>301</v>
      </c>
      <c r="B697" s="5" t="s">
        <v>214</v>
      </c>
      <c r="C697" t="s">
        <v>301</v>
      </c>
      <c r="E697" s="4" t="s">
        <v>301</v>
      </c>
      <c r="F697">
        <v>40225</v>
      </c>
      <c r="G697" t="s">
        <v>301</v>
      </c>
      <c r="I697" t="s">
        <v>298</v>
      </c>
      <c r="J697" t="s">
        <v>299</v>
      </c>
      <c r="K697" s="4" t="s">
        <v>304</v>
      </c>
      <c r="L697" t="str">
        <f t="shared" si="20"/>
        <v>"Colonial Heights City Schools"</v>
      </c>
      <c r="M697" t="s">
        <v>302</v>
      </c>
      <c r="N697" t="s">
        <v>303</v>
      </c>
      <c r="O697" s="4" t="s">
        <v>300</v>
      </c>
      <c r="P697" t="str">
        <f t="shared" si="21"/>
        <v>"40225"</v>
      </c>
    </row>
    <row r="698" spans="1:16" x14ac:dyDescent="0.2">
      <c r="A698" t="s">
        <v>301</v>
      </c>
      <c r="B698" s="5" t="s">
        <v>215</v>
      </c>
      <c r="C698" t="s">
        <v>301</v>
      </c>
      <c r="E698" s="4" t="s">
        <v>301</v>
      </c>
      <c r="F698">
        <v>40230</v>
      </c>
      <c r="G698" t="s">
        <v>301</v>
      </c>
      <c r="I698" t="s">
        <v>298</v>
      </c>
      <c r="J698" t="s">
        <v>299</v>
      </c>
      <c r="K698" s="4" t="s">
        <v>304</v>
      </c>
      <c r="L698" t="str">
        <f t="shared" si="20"/>
        <v>"Covington City School Board"</v>
      </c>
      <c r="M698" t="s">
        <v>302</v>
      </c>
      <c r="N698" t="s">
        <v>303</v>
      </c>
      <c r="O698" s="4" t="s">
        <v>300</v>
      </c>
      <c r="P698" t="str">
        <f t="shared" si="21"/>
        <v>"40230"</v>
      </c>
    </row>
    <row r="699" spans="1:16" x14ac:dyDescent="0.2">
      <c r="A699" t="s">
        <v>301</v>
      </c>
      <c r="B699" s="5" t="s">
        <v>216</v>
      </c>
      <c r="C699" t="s">
        <v>301</v>
      </c>
      <c r="E699" s="4" t="s">
        <v>301</v>
      </c>
      <c r="F699">
        <v>40231</v>
      </c>
      <c r="G699" t="s">
        <v>301</v>
      </c>
      <c r="I699" t="s">
        <v>298</v>
      </c>
      <c r="J699" t="s">
        <v>299</v>
      </c>
      <c r="K699" s="4" t="s">
        <v>304</v>
      </c>
      <c r="L699" t="str">
        <f t="shared" si="20"/>
        <v>"Fairfax City School Board"</v>
      </c>
      <c r="M699" t="s">
        <v>302</v>
      </c>
      <c r="N699" t="s">
        <v>303</v>
      </c>
      <c r="O699" s="4" t="s">
        <v>300</v>
      </c>
      <c r="P699" t="str">
        <f t="shared" si="21"/>
        <v>"40231"</v>
      </c>
    </row>
    <row r="700" spans="1:16" x14ac:dyDescent="0.2">
      <c r="A700" t="s">
        <v>301</v>
      </c>
      <c r="B700" s="5" t="s">
        <v>217</v>
      </c>
      <c r="C700" t="s">
        <v>301</v>
      </c>
      <c r="E700" s="4" t="s">
        <v>301</v>
      </c>
      <c r="F700">
        <v>40232</v>
      </c>
      <c r="G700" t="s">
        <v>301</v>
      </c>
      <c r="I700" t="s">
        <v>298</v>
      </c>
      <c r="J700" t="s">
        <v>299</v>
      </c>
      <c r="K700" s="4" t="s">
        <v>304</v>
      </c>
      <c r="L700" t="str">
        <f t="shared" si="20"/>
        <v>"Franklin City Public Schools"</v>
      </c>
      <c r="M700" t="s">
        <v>302</v>
      </c>
      <c r="N700" t="s">
        <v>303</v>
      </c>
      <c r="O700" s="4" t="s">
        <v>300</v>
      </c>
      <c r="P700" t="str">
        <f t="shared" si="21"/>
        <v>"40232"</v>
      </c>
    </row>
    <row r="701" spans="1:16" x14ac:dyDescent="0.2">
      <c r="A701" t="s">
        <v>301</v>
      </c>
      <c r="B701" s="5" t="s">
        <v>218</v>
      </c>
      <c r="C701" t="s">
        <v>301</v>
      </c>
      <c r="E701" s="4" t="s">
        <v>301</v>
      </c>
      <c r="F701">
        <v>40233</v>
      </c>
      <c r="G701" t="s">
        <v>301</v>
      </c>
      <c r="I701" t="s">
        <v>298</v>
      </c>
      <c r="J701" t="s">
        <v>299</v>
      </c>
      <c r="K701" s="4" t="s">
        <v>304</v>
      </c>
      <c r="L701" t="str">
        <f t="shared" si="20"/>
        <v>"Chesapeake Public Schools"</v>
      </c>
      <c r="M701" t="s">
        <v>302</v>
      </c>
      <c r="N701" t="s">
        <v>303</v>
      </c>
      <c r="O701" s="4" t="s">
        <v>300</v>
      </c>
      <c r="P701" t="str">
        <f t="shared" si="21"/>
        <v>"40233"</v>
      </c>
    </row>
    <row r="702" spans="1:16" x14ac:dyDescent="0.2">
      <c r="A702" t="s">
        <v>301</v>
      </c>
      <c r="B702" s="5" t="s">
        <v>219</v>
      </c>
      <c r="C702" t="s">
        <v>301</v>
      </c>
      <c r="E702" s="4" t="s">
        <v>301</v>
      </c>
      <c r="F702">
        <v>40234</v>
      </c>
      <c r="G702" t="s">
        <v>301</v>
      </c>
      <c r="I702" t="s">
        <v>298</v>
      </c>
      <c r="J702" t="s">
        <v>299</v>
      </c>
      <c r="K702" s="4" t="s">
        <v>304</v>
      </c>
      <c r="L702" t="str">
        <f t="shared" si="20"/>
        <v>"Virginia Beach City School Board"</v>
      </c>
      <c r="M702" t="s">
        <v>302</v>
      </c>
      <c r="N702" t="s">
        <v>303</v>
      </c>
      <c r="O702" s="4" t="s">
        <v>300</v>
      </c>
      <c r="P702" t="str">
        <f t="shared" si="21"/>
        <v>"40234"</v>
      </c>
    </row>
    <row r="703" spans="1:16" x14ac:dyDescent="0.2">
      <c r="A703" t="s">
        <v>301</v>
      </c>
      <c r="B703" s="5" t="s">
        <v>220</v>
      </c>
      <c r="C703" t="s">
        <v>301</v>
      </c>
      <c r="E703" s="4" t="s">
        <v>301</v>
      </c>
      <c r="F703">
        <v>40236</v>
      </c>
      <c r="G703" t="s">
        <v>301</v>
      </c>
      <c r="I703" t="s">
        <v>298</v>
      </c>
      <c r="J703" t="s">
        <v>299</v>
      </c>
      <c r="K703" s="4" t="s">
        <v>304</v>
      </c>
      <c r="L703" t="str">
        <f t="shared" si="20"/>
        <v>"Manassas Park City Schools"</v>
      </c>
      <c r="M703" t="s">
        <v>302</v>
      </c>
      <c r="N703" t="s">
        <v>303</v>
      </c>
      <c r="O703" s="4" t="s">
        <v>300</v>
      </c>
      <c r="P703" t="str">
        <f t="shared" si="21"/>
        <v>"40236"</v>
      </c>
    </row>
    <row r="704" spans="1:16" x14ac:dyDescent="0.2">
      <c r="A704" t="s">
        <v>301</v>
      </c>
      <c r="B704" s="5" t="s">
        <v>221</v>
      </c>
      <c r="C704" t="s">
        <v>301</v>
      </c>
      <c r="E704" s="4" t="s">
        <v>301</v>
      </c>
      <c r="F704">
        <v>40306</v>
      </c>
      <c r="G704" t="s">
        <v>301</v>
      </c>
      <c r="I704" t="s">
        <v>298</v>
      </c>
      <c r="J704" t="s">
        <v>299</v>
      </c>
      <c r="K704" s="4" t="s">
        <v>304</v>
      </c>
      <c r="L704" t="str">
        <f t="shared" si="20"/>
        <v>"Town of West Point School Board"</v>
      </c>
      <c r="M704" t="s">
        <v>302</v>
      </c>
      <c r="N704" t="s">
        <v>303</v>
      </c>
      <c r="O704" s="4" t="s">
        <v>300</v>
      </c>
      <c r="P704" t="str">
        <f t="shared" si="21"/>
        <v>"40306"</v>
      </c>
    </row>
    <row r="705" spans="1:16" x14ac:dyDescent="0.2">
      <c r="A705" t="s">
        <v>301</v>
      </c>
      <c r="B705" s="5" t="s">
        <v>222</v>
      </c>
      <c r="C705" t="s">
        <v>301</v>
      </c>
      <c r="E705" s="4" t="s">
        <v>301</v>
      </c>
      <c r="F705">
        <v>40307</v>
      </c>
      <c r="G705" t="s">
        <v>301</v>
      </c>
      <c r="I705" t="s">
        <v>298</v>
      </c>
      <c r="J705" t="s">
        <v>299</v>
      </c>
      <c r="K705" s="4" t="s">
        <v>304</v>
      </c>
      <c r="L705" t="str">
        <f t="shared" si="20"/>
        <v>"Lexington City School Board"</v>
      </c>
      <c r="M705" t="s">
        <v>302</v>
      </c>
      <c r="N705" t="s">
        <v>303</v>
      </c>
      <c r="O705" s="4" t="s">
        <v>300</v>
      </c>
      <c r="P705" t="str">
        <f t="shared" si="21"/>
        <v>"40307"</v>
      </c>
    </row>
    <row r="706" spans="1:16" x14ac:dyDescent="0.2">
      <c r="A706" t="s">
        <v>301</v>
      </c>
      <c r="B706" s="5" t="s">
        <v>223</v>
      </c>
      <c r="C706" t="s">
        <v>301</v>
      </c>
      <c r="E706" s="4" t="s">
        <v>301</v>
      </c>
      <c r="F706">
        <v>40308</v>
      </c>
      <c r="G706" t="s">
        <v>301</v>
      </c>
      <c r="I706" t="s">
        <v>298</v>
      </c>
      <c r="J706" t="s">
        <v>299</v>
      </c>
      <c r="K706" s="4" t="s">
        <v>304</v>
      </c>
      <c r="L706" t="str">
        <f t="shared" ref="L706:L769" si="22">_xlfn.TEXTJOIN("",TRUE,A706:C706)</f>
        <v>"Waynesboro Public Schools"</v>
      </c>
      <c r="M706" t="s">
        <v>302</v>
      </c>
      <c r="N706" t="s">
        <v>303</v>
      </c>
      <c r="O706" s="4" t="s">
        <v>300</v>
      </c>
      <c r="P706" t="str">
        <f t="shared" ref="P706:P769" si="23">_xlfn.TEXTJOIN("",TRUE,E706:G706)</f>
        <v>"40308"</v>
      </c>
    </row>
    <row r="707" spans="1:16" x14ac:dyDescent="0.2">
      <c r="A707" t="s">
        <v>301</v>
      </c>
      <c r="B707" s="5" t="s">
        <v>224</v>
      </c>
      <c r="C707" t="s">
        <v>301</v>
      </c>
      <c r="E707" s="4" t="s">
        <v>301</v>
      </c>
      <c r="F707">
        <v>40309</v>
      </c>
      <c r="G707" t="s">
        <v>301</v>
      </c>
      <c r="I707" t="s">
        <v>298</v>
      </c>
      <c r="J707" t="s">
        <v>299</v>
      </c>
      <c r="K707" s="4" t="s">
        <v>304</v>
      </c>
      <c r="L707" t="str">
        <f t="shared" si="22"/>
        <v>"Town of Colonial Beach Schools"</v>
      </c>
      <c r="M707" t="s">
        <v>302</v>
      </c>
      <c r="N707" t="s">
        <v>303</v>
      </c>
      <c r="O707" s="4" t="s">
        <v>300</v>
      </c>
      <c r="P707" t="str">
        <f t="shared" si="23"/>
        <v>"40309"</v>
      </c>
    </row>
    <row r="708" spans="1:16" x14ac:dyDescent="0.2">
      <c r="A708" t="s">
        <v>301</v>
      </c>
      <c r="B708" s="5" t="s">
        <v>225</v>
      </c>
      <c r="C708" t="s">
        <v>301</v>
      </c>
      <c r="E708" s="4" t="s">
        <v>301</v>
      </c>
      <c r="F708">
        <v>40313</v>
      </c>
      <c r="G708" t="s">
        <v>301</v>
      </c>
      <c r="I708" t="s">
        <v>298</v>
      </c>
      <c r="J708" t="s">
        <v>299</v>
      </c>
      <c r="K708" s="4" t="s">
        <v>304</v>
      </c>
      <c r="L708" t="str">
        <f t="shared" si="22"/>
        <v>"Galax City Schools"</v>
      </c>
      <c r="M708" t="s">
        <v>302</v>
      </c>
      <c r="N708" t="s">
        <v>303</v>
      </c>
      <c r="O708" s="4" t="s">
        <v>300</v>
      </c>
      <c r="P708" t="str">
        <f t="shared" si="23"/>
        <v>"40313"</v>
      </c>
    </row>
    <row r="709" spans="1:16" x14ac:dyDescent="0.2">
      <c r="A709" t="s">
        <v>301</v>
      </c>
      <c r="B709" s="5" t="s">
        <v>226</v>
      </c>
      <c r="C709" t="s">
        <v>301</v>
      </c>
      <c r="E709" s="4" t="s">
        <v>301</v>
      </c>
      <c r="F709">
        <v>40314</v>
      </c>
      <c r="G709" t="s">
        <v>301</v>
      </c>
      <c r="I709" t="s">
        <v>298</v>
      </c>
      <c r="J709" t="s">
        <v>299</v>
      </c>
      <c r="K709" s="4" t="s">
        <v>304</v>
      </c>
      <c r="L709" t="str">
        <f t="shared" si="22"/>
        <v>"Norton City Schools"</v>
      </c>
      <c r="M709" t="s">
        <v>302</v>
      </c>
      <c r="N709" t="s">
        <v>303</v>
      </c>
      <c r="O709" s="4" t="s">
        <v>300</v>
      </c>
      <c r="P709" t="str">
        <f t="shared" si="23"/>
        <v>"40314"</v>
      </c>
    </row>
    <row r="710" spans="1:16" x14ac:dyDescent="0.2">
      <c r="A710" t="s">
        <v>301</v>
      </c>
      <c r="B710" s="5" t="s">
        <v>227</v>
      </c>
      <c r="C710" t="s">
        <v>301</v>
      </c>
      <c r="E710" s="4" t="s">
        <v>301</v>
      </c>
      <c r="F710">
        <v>40332</v>
      </c>
      <c r="G710" t="s">
        <v>301</v>
      </c>
      <c r="I710" t="s">
        <v>298</v>
      </c>
      <c r="J710" t="s">
        <v>299</v>
      </c>
      <c r="K710" s="4" t="s">
        <v>304</v>
      </c>
      <c r="L710" t="str">
        <f t="shared" si="22"/>
        <v>"Manassas City Schools"</v>
      </c>
      <c r="M710" t="s">
        <v>302</v>
      </c>
      <c r="N710" t="s">
        <v>303</v>
      </c>
      <c r="O710" s="4" t="s">
        <v>300</v>
      </c>
      <c r="P710" t="str">
        <f t="shared" si="23"/>
        <v>"40332"</v>
      </c>
    </row>
    <row r="711" spans="1:16" x14ac:dyDescent="0.2">
      <c r="A711" t="s">
        <v>301</v>
      </c>
      <c r="B711" s="5" t="s">
        <v>228</v>
      </c>
      <c r="C711" t="s">
        <v>301</v>
      </c>
      <c r="E711" s="4" t="s">
        <v>301</v>
      </c>
      <c r="F711">
        <v>40335</v>
      </c>
      <c r="G711" t="s">
        <v>301</v>
      </c>
      <c r="I711" t="s">
        <v>298</v>
      </c>
      <c r="J711" t="s">
        <v>299</v>
      </c>
      <c r="K711" s="4" t="s">
        <v>304</v>
      </c>
      <c r="L711" t="str">
        <f t="shared" si="22"/>
        <v>"City of Salem Schools"</v>
      </c>
      <c r="M711" t="s">
        <v>302</v>
      </c>
      <c r="N711" t="s">
        <v>303</v>
      </c>
      <c r="O711" s="4" t="s">
        <v>300</v>
      </c>
      <c r="P711" t="str">
        <f t="shared" si="23"/>
        <v>"40335"</v>
      </c>
    </row>
    <row r="712" spans="1:16" x14ac:dyDescent="0.2">
      <c r="A712" t="s">
        <v>301</v>
      </c>
      <c r="B712" s="5" t="s">
        <v>294</v>
      </c>
      <c r="C712" t="s">
        <v>301</v>
      </c>
      <c r="E712" s="4" t="s">
        <v>301</v>
      </c>
      <c r="F712">
        <v>40402</v>
      </c>
      <c r="G712" t="s">
        <v>301</v>
      </c>
      <c r="I712" t="s">
        <v>298</v>
      </c>
      <c r="J712" t="s">
        <v>299</v>
      </c>
      <c r="K712" s="4" t="s">
        <v>304</v>
      </c>
      <c r="L712" t="str">
        <f t="shared" si="22"/>
        <v>"Williamsburg-James City County School Board"</v>
      </c>
      <c r="M712" t="s">
        <v>302</v>
      </c>
      <c r="N712" t="s">
        <v>303</v>
      </c>
      <c r="O712" s="4" t="s">
        <v>300</v>
      </c>
      <c r="P712" t="str">
        <f t="shared" si="23"/>
        <v>"40402"</v>
      </c>
    </row>
    <row r="713" spans="1:16" x14ac:dyDescent="0.2">
      <c r="A713" t="s">
        <v>301</v>
      </c>
      <c r="B713" s="5" t="s">
        <v>263</v>
      </c>
      <c r="C713" t="s">
        <v>301</v>
      </c>
      <c r="E713" s="4" t="s">
        <v>301</v>
      </c>
      <c r="F713">
        <v>40403</v>
      </c>
      <c r="G713" t="s">
        <v>301</v>
      </c>
      <c r="I713" t="s">
        <v>298</v>
      </c>
      <c r="J713" t="s">
        <v>299</v>
      </c>
      <c r="K713" s="4" t="s">
        <v>304</v>
      </c>
      <c r="L713" t="str">
        <f t="shared" si="22"/>
        <v>"Poquoson City Public Schools"</v>
      </c>
      <c r="M713" t="s">
        <v>302</v>
      </c>
      <c r="N713" t="s">
        <v>303</v>
      </c>
      <c r="O713" s="4" t="s">
        <v>300</v>
      </c>
      <c r="P713" t="str">
        <f t="shared" si="23"/>
        <v>"40403"</v>
      </c>
    </row>
    <row r="714" spans="1:16" x14ac:dyDescent="0.2">
      <c r="A714" t="s">
        <v>301</v>
      </c>
      <c r="B714" s="5" t="s">
        <v>264</v>
      </c>
      <c r="C714" t="s">
        <v>301</v>
      </c>
      <c r="E714" s="4" t="s">
        <v>301</v>
      </c>
      <c r="F714">
        <v>40410</v>
      </c>
      <c r="G714" t="s">
        <v>301</v>
      </c>
      <c r="I714" t="s">
        <v>298</v>
      </c>
      <c r="J714" t="s">
        <v>299</v>
      </c>
      <c r="K714" s="4" t="s">
        <v>304</v>
      </c>
      <c r="L714" t="str">
        <f t="shared" si="22"/>
        <v>"Valley Vocational Technical Center"</v>
      </c>
      <c r="M714" t="s">
        <v>302</v>
      </c>
      <c r="N714" t="s">
        <v>303</v>
      </c>
      <c r="O714" s="4" t="s">
        <v>300</v>
      </c>
      <c r="P714" t="str">
        <f t="shared" si="23"/>
        <v>"40410"</v>
      </c>
    </row>
    <row r="715" spans="1:16" x14ac:dyDescent="0.2">
      <c r="A715" t="s">
        <v>301</v>
      </c>
      <c r="B715" s="5" t="s">
        <v>295</v>
      </c>
      <c r="C715" t="s">
        <v>301</v>
      </c>
      <c r="E715" s="4" t="s">
        <v>301</v>
      </c>
      <c r="F715">
        <v>40412</v>
      </c>
      <c r="G715" t="s">
        <v>301</v>
      </c>
      <c r="I715" t="s">
        <v>298</v>
      </c>
      <c r="J715" t="s">
        <v>299</v>
      </c>
      <c r="K715" s="4" t="s">
        <v>304</v>
      </c>
      <c r="L715" t="str">
        <f t="shared" si="22"/>
        <v>"Charlottesville/Albemarle Vo-Tech Center"</v>
      </c>
      <c r="M715" t="s">
        <v>302</v>
      </c>
      <c r="N715" t="s">
        <v>303</v>
      </c>
      <c r="O715" s="4" t="s">
        <v>300</v>
      </c>
      <c r="P715" t="str">
        <f t="shared" si="23"/>
        <v>"40412"</v>
      </c>
    </row>
    <row r="716" spans="1:16" x14ac:dyDescent="0.2">
      <c r="A716" t="s">
        <v>301</v>
      </c>
      <c r="B716" s="5" t="s">
        <v>266</v>
      </c>
      <c r="C716" t="s">
        <v>301</v>
      </c>
      <c r="E716" s="4" t="s">
        <v>301</v>
      </c>
      <c r="F716">
        <v>40413</v>
      </c>
      <c r="G716" t="s">
        <v>301</v>
      </c>
      <c r="I716" t="s">
        <v>298</v>
      </c>
      <c r="J716" t="s">
        <v>299</v>
      </c>
      <c r="K716" s="4" t="s">
        <v>304</v>
      </c>
      <c r="L716" t="str">
        <f t="shared" si="22"/>
        <v>"The Pruden Center for Industry and Technology"</v>
      </c>
      <c r="M716" t="s">
        <v>302</v>
      </c>
      <c r="N716" t="s">
        <v>303</v>
      </c>
      <c r="O716" s="4" t="s">
        <v>300</v>
      </c>
      <c r="P716" t="str">
        <f t="shared" si="23"/>
        <v>"40413"</v>
      </c>
    </row>
    <row r="717" spans="1:16" x14ac:dyDescent="0.2">
      <c r="A717" t="s">
        <v>301</v>
      </c>
      <c r="B717" s="5" t="s">
        <v>267</v>
      </c>
      <c r="C717" t="s">
        <v>301</v>
      </c>
      <c r="E717" s="4" t="s">
        <v>301</v>
      </c>
      <c r="F717">
        <v>40414</v>
      </c>
      <c r="G717" t="s">
        <v>301</v>
      </c>
      <c r="I717" t="s">
        <v>298</v>
      </c>
      <c r="J717" t="s">
        <v>299</v>
      </c>
      <c r="K717" s="4" t="s">
        <v>304</v>
      </c>
      <c r="L717" t="str">
        <f t="shared" si="22"/>
        <v>"Jackson River Technical Center"</v>
      </c>
      <c r="M717" t="s">
        <v>302</v>
      </c>
      <c r="N717" t="s">
        <v>303</v>
      </c>
      <c r="O717" s="4" t="s">
        <v>300</v>
      </c>
      <c r="P717" t="str">
        <f t="shared" si="23"/>
        <v>"40414"</v>
      </c>
    </row>
    <row r="718" spans="1:16" x14ac:dyDescent="0.2">
      <c r="A718" t="s">
        <v>301</v>
      </c>
      <c r="B718" s="5" t="s">
        <v>268</v>
      </c>
      <c r="C718" t="s">
        <v>301</v>
      </c>
      <c r="E718" s="4" t="s">
        <v>301</v>
      </c>
      <c r="F718">
        <v>40415</v>
      </c>
      <c r="G718" t="s">
        <v>301</v>
      </c>
      <c r="I718" t="s">
        <v>298</v>
      </c>
      <c r="J718" t="s">
        <v>299</v>
      </c>
      <c r="K718" s="4" t="s">
        <v>304</v>
      </c>
      <c r="L718" t="str">
        <f t="shared" si="22"/>
        <v>"New Horizons Technical Center"</v>
      </c>
      <c r="M718" t="s">
        <v>302</v>
      </c>
      <c r="N718" t="s">
        <v>303</v>
      </c>
      <c r="O718" s="4" t="s">
        <v>300</v>
      </c>
      <c r="P718" t="str">
        <f t="shared" si="23"/>
        <v>"40415"</v>
      </c>
    </row>
    <row r="719" spans="1:16" x14ac:dyDescent="0.2">
      <c r="A719" t="s">
        <v>301</v>
      </c>
      <c r="B719" s="5" t="s">
        <v>269</v>
      </c>
      <c r="C719" t="s">
        <v>301</v>
      </c>
      <c r="E719" s="4" t="s">
        <v>301</v>
      </c>
      <c r="F719">
        <v>40416</v>
      </c>
      <c r="G719" t="s">
        <v>301</v>
      </c>
      <c r="I719" t="s">
        <v>298</v>
      </c>
      <c r="J719" t="s">
        <v>299</v>
      </c>
      <c r="K719" s="4" t="s">
        <v>304</v>
      </c>
      <c r="L719" t="str">
        <f t="shared" si="22"/>
        <v>"Northern Neck Regional Vocational Center"</v>
      </c>
      <c r="M719" t="s">
        <v>302</v>
      </c>
      <c r="N719" t="s">
        <v>303</v>
      </c>
      <c r="O719" s="4" t="s">
        <v>300</v>
      </c>
      <c r="P719" t="str">
        <f t="shared" si="23"/>
        <v>"40416"</v>
      </c>
    </row>
    <row r="720" spans="1:16" x14ac:dyDescent="0.2">
      <c r="A720" t="s">
        <v>301</v>
      </c>
      <c r="B720" s="5" t="s">
        <v>270</v>
      </c>
      <c r="C720" t="s">
        <v>301</v>
      </c>
      <c r="E720" s="4" t="s">
        <v>301</v>
      </c>
      <c r="F720">
        <v>40417</v>
      </c>
      <c r="G720" t="s">
        <v>301</v>
      </c>
      <c r="I720" t="s">
        <v>298</v>
      </c>
      <c r="J720" t="s">
        <v>299</v>
      </c>
      <c r="K720" s="4" t="s">
        <v>304</v>
      </c>
      <c r="L720" t="str">
        <f t="shared" si="22"/>
        <v>"Rowanty Vocational Technical Center"</v>
      </c>
      <c r="M720" t="s">
        <v>302</v>
      </c>
      <c r="N720" t="s">
        <v>303</v>
      </c>
      <c r="O720" s="4" t="s">
        <v>300</v>
      </c>
      <c r="P720" t="str">
        <f t="shared" si="23"/>
        <v>"40417"</v>
      </c>
    </row>
    <row r="721" spans="1:16" x14ac:dyDescent="0.2">
      <c r="A721" t="s">
        <v>301</v>
      </c>
      <c r="B721" s="5" t="s">
        <v>296</v>
      </c>
      <c r="C721" t="s">
        <v>301</v>
      </c>
      <c r="E721" s="4" t="s">
        <v>301</v>
      </c>
      <c r="F721">
        <v>40418</v>
      </c>
      <c r="G721" t="s">
        <v>301</v>
      </c>
      <c r="I721" t="s">
        <v>298</v>
      </c>
      <c r="J721" t="s">
        <v>299</v>
      </c>
      <c r="K721" s="4" t="s">
        <v>304</v>
      </c>
      <c r="L721" t="str">
        <f t="shared" si="22"/>
        <v>"Amelia-Nottoway Vocational Center"</v>
      </c>
      <c r="M721" t="s">
        <v>302</v>
      </c>
      <c r="N721" t="s">
        <v>303</v>
      </c>
      <c r="O721" s="4" t="s">
        <v>300</v>
      </c>
      <c r="P721" t="str">
        <f t="shared" si="23"/>
        <v>"40418"</v>
      </c>
    </row>
    <row r="722" spans="1:16" x14ac:dyDescent="0.2">
      <c r="A722" t="s">
        <v>301</v>
      </c>
      <c r="B722" s="5" t="s">
        <v>272</v>
      </c>
      <c r="C722" t="s">
        <v>301</v>
      </c>
      <c r="E722" s="4" t="s">
        <v>301</v>
      </c>
      <c r="F722">
        <v>40421</v>
      </c>
      <c r="G722" t="s">
        <v>301</v>
      </c>
      <c r="I722" t="s">
        <v>298</v>
      </c>
      <c r="J722" t="s">
        <v>299</v>
      </c>
      <c r="K722" s="4" t="s">
        <v>304</v>
      </c>
      <c r="L722" t="str">
        <f t="shared" si="22"/>
        <v>"Northern Neck Regional Special Education Program"</v>
      </c>
      <c r="M722" t="s">
        <v>302</v>
      </c>
      <c r="N722" t="s">
        <v>303</v>
      </c>
      <c r="O722" s="4" t="s">
        <v>300</v>
      </c>
      <c r="P722" t="str">
        <f t="shared" si="23"/>
        <v>"40421"</v>
      </c>
    </row>
    <row r="723" spans="1:16" x14ac:dyDescent="0.2">
      <c r="A723" t="s">
        <v>301</v>
      </c>
      <c r="B723" s="5" t="s">
        <v>273</v>
      </c>
      <c r="C723" t="s">
        <v>301</v>
      </c>
      <c r="E723" s="4" t="s">
        <v>301</v>
      </c>
      <c r="F723">
        <v>40423</v>
      </c>
      <c r="G723" t="s">
        <v>301</v>
      </c>
      <c r="I723" t="s">
        <v>298</v>
      </c>
      <c r="J723" t="s">
        <v>299</v>
      </c>
      <c r="K723" s="4" t="s">
        <v>304</v>
      </c>
      <c r="L723" t="str">
        <f t="shared" si="22"/>
        <v>"Maggie Walker Governor's School for Govt &amp; Intl Studies"</v>
      </c>
      <c r="M723" t="s">
        <v>302</v>
      </c>
      <c r="N723" t="s">
        <v>303</v>
      </c>
      <c r="O723" s="4" t="s">
        <v>300</v>
      </c>
      <c r="P723" t="str">
        <f t="shared" si="23"/>
        <v>"40423"</v>
      </c>
    </row>
    <row r="724" spans="1:16" x14ac:dyDescent="0.2">
      <c r="A724" t="s">
        <v>301</v>
      </c>
      <c r="B724" s="5" t="s">
        <v>274</v>
      </c>
      <c r="C724" t="s">
        <v>301</v>
      </c>
      <c r="E724" s="4" t="s">
        <v>301</v>
      </c>
      <c r="F724">
        <v>40424</v>
      </c>
      <c r="G724" t="s">
        <v>301</v>
      </c>
      <c r="I724" t="s">
        <v>298</v>
      </c>
      <c r="J724" t="s">
        <v>299</v>
      </c>
      <c r="K724" s="4" t="s">
        <v>304</v>
      </c>
      <c r="L724" t="str">
        <f t="shared" si="22"/>
        <v>"Appomattox Region Governor's School"</v>
      </c>
      <c r="M724" t="s">
        <v>302</v>
      </c>
      <c r="N724" t="s">
        <v>303</v>
      </c>
      <c r="O724" s="4" t="s">
        <v>300</v>
      </c>
      <c r="P724" t="str">
        <f t="shared" si="23"/>
        <v>"40424"</v>
      </c>
    </row>
    <row r="725" spans="1:16" x14ac:dyDescent="0.2">
      <c r="A725" t="s">
        <v>301</v>
      </c>
      <c r="B725" s="5" t="s">
        <v>275</v>
      </c>
      <c r="C725" t="s">
        <v>301</v>
      </c>
      <c r="E725" s="4" t="s">
        <v>301</v>
      </c>
      <c r="F725">
        <v>40425</v>
      </c>
      <c r="G725" t="s">
        <v>301</v>
      </c>
      <c r="I725" t="s">
        <v>298</v>
      </c>
      <c r="J725" t="s">
        <v>299</v>
      </c>
      <c r="K725" s="4" t="s">
        <v>304</v>
      </c>
      <c r="L725" t="str">
        <f t="shared" si="22"/>
        <v>"Bridging Communities Regional Career and Tech Center"</v>
      </c>
      <c r="M725" t="s">
        <v>302</v>
      </c>
      <c r="N725" t="s">
        <v>303</v>
      </c>
      <c r="O725" s="4" t="s">
        <v>300</v>
      </c>
      <c r="P725" t="str">
        <f t="shared" si="23"/>
        <v>"40425"</v>
      </c>
    </row>
    <row r="726" spans="1:16" x14ac:dyDescent="0.2">
      <c r="A726" t="s">
        <v>301</v>
      </c>
      <c r="B726" s="5" t="s">
        <v>0</v>
      </c>
      <c r="C726" t="s">
        <v>301</v>
      </c>
      <c r="E726" s="4" t="s">
        <v>301</v>
      </c>
      <c r="F726">
        <v>40100</v>
      </c>
      <c r="G726" t="s">
        <v>301</v>
      </c>
      <c r="I726" t="s">
        <v>298</v>
      </c>
      <c r="J726" t="s">
        <v>299</v>
      </c>
      <c r="K726" s="4" t="s">
        <v>304</v>
      </c>
      <c r="L726" t="str">
        <f t="shared" si="22"/>
        <v>"Accomack County School Board"</v>
      </c>
      <c r="M726" t="s">
        <v>302</v>
      </c>
      <c r="N726" t="s">
        <v>303</v>
      </c>
      <c r="O726" s="4" t="s">
        <v>300</v>
      </c>
      <c r="P726" t="str">
        <f t="shared" si="23"/>
        <v>"40100"</v>
      </c>
    </row>
    <row r="727" spans="1:16" x14ac:dyDescent="0.2">
      <c r="A727" t="s">
        <v>301</v>
      </c>
      <c r="B727" s="5" t="s">
        <v>1</v>
      </c>
      <c r="C727" t="s">
        <v>301</v>
      </c>
      <c r="E727" s="4" t="s">
        <v>301</v>
      </c>
      <c r="F727">
        <v>40101</v>
      </c>
      <c r="G727" t="s">
        <v>301</v>
      </c>
      <c r="I727" t="s">
        <v>298</v>
      </c>
      <c r="J727" t="s">
        <v>299</v>
      </c>
      <c r="K727" s="4" t="s">
        <v>304</v>
      </c>
      <c r="L727" t="str">
        <f t="shared" si="22"/>
        <v>"Albemarle County Schools"</v>
      </c>
      <c r="M727" t="s">
        <v>302</v>
      </c>
      <c r="N727" t="s">
        <v>303</v>
      </c>
      <c r="O727" s="4" t="s">
        <v>300</v>
      </c>
      <c r="P727" t="str">
        <f t="shared" si="23"/>
        <v>"40101"</v>
      </c>
    </row>
    <row r="728" spans="1:16" x14ac:dyDescent="0.2">
      <c r="A728" t="s">
        <v>301</v>
      </c>
      <c r="B728" s="5" t="s">
        <v>2</v>
      </c>
      <c r="C728" t="s">
        <v>301</v>
      </c>
      <c r="E728" s="4" t="s">
        <v>301</v>
      </c>
      <c r="F728">
        <v>40102</v>
      </c>
      <c r="G728" t="s">
        <v>301</v>
      </c>
      <c r="I728" t="s">
        <v>298</v>
      </c>
      <c r="J728" t="s">
        <v>299</v>
      </c>
      <c r="K728" s="4" t="s">
        <v>304</v>
      </c>
      <c r="L728" t="str">
        <f t="shared" si="22"/>
        <v>"Alleghany County School Board"</v>
      </c>
      <c r="M728" t="s">
        <v>302</v>
      </c>
      <c r="N728" t="s">
        <v>303</v>
      </c>
      <c r="O728" s="4" t="s">
        <v>300</v>
      </c>
      <c r="P728" t="str">
        <f t="shared" si="23"/>
        <v>"40102"</v>
      </c>
    </row>
    <row r="729" spans="1:16" x14ac:dyDescent="0.2">
      <c r="A729" t="s">
        <v>301</v>
      </c>
      <c r="B729" s="5" t="s">
        <v>3</v>
      </c>
      <c r="C729" t="s">
        <v>301</v>
      </c>
      <c r="E729" s="4" t="s">
        <v>301</v>
      </c>
      <c r="F729">
        <v>40103</v>
      </c>
      <c r="G729" t="s">
        <v>301</v>
      </c>
      <c r="I729" t="s">
        <v>298</v>
      </c>
      <c r="J729" t="s">
        <v>299</v>
      </c>
      <c r="K729" s="4" t="s">
        <v>304</v>
      </c>
      <c r="L729" t="str">
        <f t="shared" si="22"/>
        <v>"Amelia County School Board"</v>
      </c>
      <c r="M729" t="s">
        <v>302</v>
      </c>
      <c r="N729" t="s">
        <v>303</v>
      </c>
      <c r="O729" s="4" t="s">
        <v>300</v>
      </c>
      <c r="P729" t="str">
        <f t="shared" si="23"/>
        <v>"40103"</v>
      </c>
    </row>
    <row r="730" spans="1:16" x14ac:dyDescent="0.2">
      <c r="A730" t="s">
        <v>301</v>
      </c>
      <c r="B730" s="5" t="s">
        <v>4</v>
      </c>
      <c r="C730" t="s">
        <v>301</v>
      </c>
      <c r="E730" s="4" t="s">
        <v>301</v>
      </c>
      <c r="F730">
        <v>40104</v>
      </c>
      <c r="G730" t="s">
        <v>301</v>
      </c>
      <c r="I730" t="s">
        <v>298</v>
      </c>
      <c r="J730" t="s">
        <v>299</v>
      </c>
      <c r="K730" s="4" t="s">
        <v>304</v>
      </c>
      <c r="L730" t="str">
        <f t="shared" si="22"/>
        <v>"Amherst County School Board"</v>
      </c>
      <c r="M730" t="s">
        <v>302</v>
      </c>
      <c r="N730" t="s">
        <v>303</v>
      </c>
      <c r="O730" s="4" t="s">
        <v>300</v>
      </c>
      <c r="P730" t="str">
        <f t="shared" si="23"/>
        <v>"40104"</v>
      </c>
    </row>
    <row r="731" spans="1:16" x14ac:dyDescent="0.2">
      <c r="A731" t="s">
        <v>301</v>
      </c>
      <c r="B731" s="5" t="s">
        <v>5</v>
      </c>
      <c r="C731" t="s">
        <v>301</v>
      </c>
      <c r="E731" s="4" t="s">
        <v>301</v>
      </c>
      <c r="F731">
        <v>40105</v>
      </c>
      <c r="G731" t="s">
        <v>301</v>
      </c>
      <c r="I731" t="s">
        <v>298</v>
      </c>
      <c r="J731" t="s">
        <v>299</v>
      </c>
      <c r="K731" s="4" t="s">
        <v>304</v>
      </c>
      <c r="L731" t="str">
        <f t="shared" si="22"/>
        <v>"Appomattox County School Board"</v>
      </c>
      <c r="M731" t="s">
        <v>302</v>
      </c>
      <c r="N731" t="s">
        <v>303</v>
      </c>
      <c r="O731" s="4" t="s">
        <v>300</v>
      </c>
      <c r="P731" t="str">
        <f t="shared" si="23"/>
        <v>"40105"</v>
      </c>
    </row>
    <row r="732" spans="1:16" x14ac:dyDescent="0.2">
      <c r="A732" t="s">
        <v>301</v>
      </c>
      <c r="B732" s="5" t="s">
        <v>6</v>
      </c>
      <c r="C732" t="s">
        <v>301</v>
      </c>
      <c r="E732" s="4" t="s">
        <v>301</v>
      </c>
      <c r="F732">
        <v>40106</v>
      </c>
      <c r="G732" t="s">
        <v>301</v>
      </c>
      <c r="I732" t="s">
        <v>298</v>
      </c>
      <c r="J732" t="s">
        <v>299</v>
      </c>
      <c r="K732" s="4" t="s">
        <v>304</v>
      </c>
      <c r="L732" t="str">
        <f t="shared" si="22"/>
        <v>"Arlington Public Schools"</v>
      </c>
      <c r="M732" t="s">
        <v>302</v>
      </c>
      <c r="N732" t="s">
        <v>303</v>
      </c>
      <c r="O732" s="4" t="s">
        <v>300</v>
      </c>
      <c r="P732" t="str">
        <f t="shared" si="23"/>
        <v>"40106"</v>
      </c>
    </row>
    <row r="733" spans="1:16" x14ac:dyDescent="0.2">
      <c r="A733" t="s">
        <v>301</v>
      </c>
      <c r="B733" s="5" t="s">
        <v>7</v>
      </c>
      <c r="C733" t="s">
        <v>301</v>
      </c>
      <c r="E733" s="4" t="s">
        <v>301</v>
      </c>
      <c r="F733">
        <v>40107</v>
      </c>
      <c r="G733" t="s">
        <v>301</v>
      </c>
      <c r="I733" t="s">
        <v>298</v>
      </c>
      <c r="J733" t="s">
        <v>299</v>
      </c>
      <c r="K733" s="4" t="s">
        <v>304</v>
      </c>
      <c r="L733" t="str">
        <f t="shared" si="22"/>
        <v>"Augusta County School Board"</v>
      </c>
      <c r="M733" t="s">
        <v>302</v>
      </c>
      <c r="N733" t="s">
        <v>303</v>
      </c>
      <c r="O733" s="4" t="s">
        <v>300</v>
      </c>
      <c r="P733" t="str">
        <f t="shared" si="23"/>
        <v>"40107"</v>
      </c>
    </row>
    <row r="734" spans="1:16" x14ac:dyDescent="0.2">
      <c r="A734" t="s">
        <v>301</v>
      </c>
      <c r="B734" s="5" t="s">
        <v>8</v>
      </c>
      <c r="C734" t="s">
        <v>301</v>
      </c>
      <c r="E734" s="4" t="s">
        <v>301</v>
      </c>
      <c r="F734">
        <v>40108</v>
      </c>
      <c r="G734" t="s">
        <v>301</v>
      </c>
      <c r="I734" t="s">
        <v>298</v>
      </c>
      <c r="J734" t="s">
        <v>299</v>
      </c>
      <c r="K734" s="4" t="s">
        <v>304</v>
      </c>
      <c r="L734" t="str">
        <f t="shared" si="22"/>
        <v>"Bath County School Board"</v>
      </c>
      <c r="M734" t="s">
        <v>302</v>
      </c>
      <c r="N734" t="s">
        <v>303</v>
      </c>
      <c r="O734" s="4" t="s">
        <v>300</v>
      </c>
      <c r="P734" t="str">
        <f t="shared" si="23"/>
        <v>"40108"</v>
      </c>
    </row>
    <row r="735" spans="1:16" x14ac:dyDescent="0.2">
      <c r="A735" t="s">
        <v>301</v>
      </c>
      <c r="B735" s="5" t="s">
        <v>9</v>
      </c>
      <c r="C735" t="s">
        <v>301</v>
      </c>
      <c r="E735" s="4" t="s">
        <v>301</v>
      </c>
      <c r="F735">
        <v>40109</v>
      </c>
      <c r="G735" t="s">
        <v>301</v>
      </c>
      <c r="I735" t="s">
        <v>298</v>
      </c>
      <c r="J735" t="s">
        <v>299</v>
      </c>
      <c r="K735" s="4" t="s">
        <v>304</v>
      </c>
      <c r="L735" t="str">
        <f t="shared" si="22"/>
        <v>"Bedford County School Board"</v>
      </c>
      <c r="M735" t="s">
        <v>302</v>
      </c>
      <c r="N735" t="s">
        <v>303</v>
      </c>
      <c r="O735" s="4" t="s">
        <v>300</v>
      </c>
      <c r="P735" t="str">
        <f t="shared" si="23"/>
        <v>"40109"</v>
      </c>
    </row>
    <row r="736" spans="1:16" x14ac:dyDescent="0.2">
      <c r="A736" t="s">
        <v>301</v>
      </c>
      <c r="B736" s="5" t="s">
        <v>10</v>
      </c>
      <c r="C736" t="s">
        <v>301</v>
      </c>
      <c r="E736" s="4" t="s">
        <v>301</v>
      </c>
      <c r="F736">
        <v>40110</v>
      </c>
      <c r="G736" t="s">
        <v>301</v>
      </c>
      <c r="I736" t="s">
        <v>298</v>
      </c>
      <c r="J736" t="s">
        <v>299</v>
      </c>
      <c r="K736" s="4" t="s">
        <v>304</v>
      </c>
      <c r="L736" t="str">
        <f t="shared" si="22"/>
        <v>"Bland County School Board"</v>
      </c>
      <c r="M736" t="s">
        <v>302</v>
      </c>
      <c r="N736" t="s">
        <v>303</v>
      </c>
      <c r="O736" s="4" t="s">
        <v>300</v>
      </c>
      <c r="P736" t="str">
        <f t="shared" si="23"/>
        <v>"40110"</v>
      </c>
    </row>
    <row r="737" spans="1:16" x14ac:dyDescent="0.2">
      <c r="A737" t="s">
        <v>301</v>
      </c>
      <c r="B737" s="5" t="s">
        <v>11</v>
      </c>
      <c r="C737" t="s">
        <v>301</v>
      </c>
      <c r="E737" s="4" t="s">
        <v>301</v>
      </c>
      <c r="F737">
        <v>40111</v>
      </c>
      <c r="G737" t="s">
        <v>301</v>
      </c>
      <c r="I737" t="s">
        <v>298</v>
      </c>
      <c r="J737" t="s">
        <v>299</v>
      </c>
      <c r="K737" s="4" t="s">
        <v>304</v>
      </c>
      <c r="L737" t="str">
        <f t="shared" si="22"/>
        <v>"Botetourt County Schools"</v>
      </c>
      <c r="M737" t="s">
        <v>302</v>
      </c>
      <c r="N737" t="s">
        <v>303</v>
      </c>
      <c r="O737" s="4" t="s">
        <v>300</v>
      </c>
      <c r="P737" t="str">
        <f t="shared" si="23"/>
        <v>"40111"</v>
      </c>
    </row>
    <row r="738" spans="1:16" x14ac:dyDescent="0.2">
      <c r="A738" t="s">
        <v>301</v>
      </c>
      <c r="B738" s="5" t="s">
        <v>12</v>
      </c>
      <c r="C738" t="s">
        <v>301</v>
      </c>
      <c r="E738" s="4" t="s">
        <v>301</v>
      </c>
      <c r="F738">
        <v>40112</v>
      </c>
      <c r="G738" t="s">
        <v>301</v>
      </c>
      <c r="I738" t="s">
        <v>298</v>
      </c>
      <c r="J738" t="s">
        <v>299</v>
      </c>
      <c r="K738" s="4" t="s">
        <v>304</v>
      </c>
      <c r="L738" t="str">
        <f t="shared" si="22"/>
        <v>"Brunswick County Public Schools"</v>
      </c>
      <c r="M738" t="s">
        <v>302</v>
      </c>
      <c r="N738" t="s">
        <v>303</v>
      </c>
      <c r="O738" s="4" t="s">
        <v>300</v>
      </c>
      <c r="P738" t="str">
        <f t="shared" si="23"/>
        <v>"40112"</v>
      </c>
    </row>
    <row r="739" spans="1:16" x14ac:dyDescent="0.2">
      <c r="A739" t="s">
        <v>301</v>
      </c>
      <c r="B739" s="5" t="s">
        <v>13</v>
      </c>
      <c r="C739" t="s">
        <v>301</v>
      </c>
      <c r="E739" s="4" t="s">
        <v>301</v>
      </c>
      <c r="F739">
        <v>40113</v>
      </c>
      <c r="G739" t="s">
        <v>301</v>
      </c>
      <c r="I739" t="s">
        <v>298</v>
      </c>
      <c r="J739" t="s">
        <v>299</v>
      </c>
      <c r="K739" s="4" t="s">
        <v>304</v>
      </c>
      <c r="L739" t="str">
        <f t="shared" si="22"/>
        <v>"Buchanan County School Board"</v>
      </c>
      <c r="M739" t="s">
        <v>302</v>
      </c>
      <c r="N739" t="s">
        <v>303</v>
      </c>
      <c r="O739" s="4" t="s">
        <v>300</v>
      </c>
      <c r="P739" t="str">
        <f t="shared" si="23"/>
        <v>"40113"</v>
      </c>
    </row>
    <row r="740" spans="1:16" x14ac:dyDescent="0.2">
      <c r="A740" t="s">
        <v>301</v>
      </c>
      <c r="B740" s="5" t="s">
        <v>14</v>
      </c>
      <c r="C740" t="s">
        <v>301</v>
      </c>
      <c r="E740" s="4" t="s">
        <v>301</v>
      </c>
      <c r="F740">
        <v>40114</v>
      </c>
      <c r="G740" t="s">
        <v>301</v>
      </c>
      <c r="I740" t="s">
        <v>298</v>
      </c>
      <c r="J740" t="s">
        <v>299</v>
      </c>
      <c r="K740" s="4" t="s">
        <v>304</v>
      </c>
      <c r="L740" t="str">
        <f t="shared" si="22"/>
        <v>"Buckingham County School Board"</v>
      </c>
      <c r="M740" t="s">
        <v>302</v>
      </c>
      <c r="N740" t="s">
        <v>303</v>
      </c>
      <c r="O740" s="4" t="s">
        <v>300</v>
      </c>
      <c r="P740" t="str">
        <f t="shared" si="23"/>
        <v>"40114"</v>
      </c>
    </row>
    <row r="741" spans="1:16" x14ac:dyDescent="0.2">
      <c r="A741" t="s">
        <v>301</v>
      </c>
      <c r="B741" s="5" t="s">
        <v>15</v>
      </c>
      <c r="C741" t="s">
        <v>301</v>
      </c>
      <c r="E741" s="4" t="s">
        <v>301</v>
      </c>
      <c r="F741">
        <v>40115</v>
      </c>
      <c r="G741" t="s">
        <v>301</v>
      </c>
      <c r="I741" t="s">
        <v>298</v>
      </c>
      <c r="J741" t="s">
        <v>299</v>
      </c>
      <c r="K741" s="4" t="s">
        <v>304</v>
      </c>
      <c r="L741" t="str">
        <f t="shared" si="22"/>
        <v>"Campbell County School Board"</v>
      </c>
      <c r="M741" t="s">
        <v>302</v>
      </c>
      <c r="N741" t="s">
        <v>303</v>
      </c>
      <c r="O741" s="4" t="s">
        <v>300</v>
      </c>
      <c r="P741" t="str">
        <f t="shared" si="23"/>
        <v>"40115"</v>
      </c>
    </row>
    <row r="742" spans="1:16" x14ac:dyDescent="0.2">
      <c r="A742" t="s">
        <v>301</v>
      </c>
      <c r="B742" s="5" t="s">
        <v>16</v>
      </c>
      <c r="C742" t="s">
        <v>301</v>
      </c>
      <c r="E742" s="4" t="s">
        <v>301</v>
      </c>
      <c r="F742">
        <v>40116</v>
      </c>
      <c r="G742" t="s">
        <v>301</v>
      </c>
      <c r="I742" t="s">
        <v>298</v>
      </c>
      <c r="J742" t="s">
        <v>299</v>
      </c>
      <c r="K742" s="4" t="s">
        <v>304</v>
      </c>
      <c r="L742" t="str">
        <f t="shared" si="22"/>
        <v>"Caroline County School Board"</v>
      </c>
      <c r="M742" t="s">
        <v>302</v>
      </c>
      <c r="N742" t="s">
        <v>303</v>
      </c>
      <c r="O742" s="4" t="s">
        <v>300</v>
      </c>
      <c r="P742" t="str">
        <f t="shared" si="23"/>
        <v>"40116"</v>
      </c>
    </row>
    <row r="743" spans="1:16" x14ac:dyDescent="0.2">
      <c r="A743" t="s">
        <v>301</v>
      </c>
      <c r="B743" s="5" t="s">
        <v>17</v>
      </c>
      <c r="C743" t="s">
        <v>301</v>
      </c>
      <c r="E743" s="4" t="s">
        <v>301</v>
      </c>
      <c r="F743">
        <v>40117</v>
      </c>
      <c r="G743" t="s">
        <v>301</v>
      </c>
      <c r="I743" t="s">
        <v>298</v>
      </c>
      <c r="J743" t="s">
        <v>299</v>
      </c>
      <c r="K743" s="4" t="s">
        <v>304</v>
      </c>
      <c r="L743" t="str">
        <f t="shared" si="22"/>
        <v>"Carroll County School Board"</v>
      </c>
      <c r="M743" t="s">
        <v>302</v>
      </c>
      <c r="N743" t="s">
        <v>303</v>
      </c>
      <c r="O743" s="4" t="s">
        <v>300</v>
      </c>
      <c r="P743" t="str">
        <f t="shared" si="23"/>
        <v>"40117"</v>
      </c>
    </row>
    <row r="744" spans="1:16" x14ac:dyDescent="0.2">
      <c r="A744" t="s">
        <v>301</v>
      </c>
      <c r="B744" s="5" t="s">
        <v>18</v>
      </c>
      <c r="C744" t="s">
        <v>301</v>
      </c>
      <c r="E744" s="4" t="s">
        <v>301</v>
      </c>
      <c r="F744">
        <v>40118</v>
      </c>
      <c r="G744" t="s">
        <v>301</v>
      </c>
      <c r="I744" t="s">
        <v>298</v>
      </c>
      <c r="J744" t="s">
        <v>299</v>
      </c>
      <c r="K744" s="4" t="s">
        <v>304</v>
      </c>
      <c r="L744" t="str">
        <f t="shared" si="22"/>
        <v>"Charles City County School Board"</v>
      </c>
      <c r="M744" t="s">
        <v>302</v>
      </c>
      <c r="N744" t="s">
        <v>303</v>
      </c>
      <c r="O744" s="4" t="s">
        <v>300</v>
      </c>
      <c r="P744" t="str">
        <f t="shared" si="23"/>
        <v>"40118"</v>
      </c>
    </row>
    <row r="745" spans="1:16" x14ac:dyDescent="0.2">
      <c r="A745" t="s">
        <v>301</v>
      </c>
      <c r="B745" s="5" t="s">
        <v>19</v>
      </c>
      <c r="C745" t="s">
        <v>301</v>
      </c>
      <c r="E745" s="4" t="s">
        <v>301</v>
      </c>
      <c r="F745">
        <v>40119</v>
      </c>
      <c r="G745" t="s">
        <v>301</v>
      </c>
      <c r="I745" t="s">
        <v>298</v>
      </c>
      <c r="J745" t="s">
        <v>299</v>
      </c>
      <c r="K745" s="4" t="s">
        <v>304</v>
      </c>
      <c r="L745" t="str">
        <f t="shared" si="22"/>
        <v>"Charlotte County School Board"</v>
      </c>
      <c r="M745" t="s">
        <v>302</v>
      </c>
      <c r="N745" t="s">
        <v>303</v>
      </c>
      <c r="O745" s="4" t="s">
        <v>300</v>
      </c>
      <c r="P745" t="str">
        <f t="shared" si="23"/>
        <v>"40119"</v>
      </c>
    </row>
    <row r="746" spans="1:16" x14ac:dyDescent="0.2">
      <c r="A746" t="s">
        <v>301</v>
      </c>
      <c r="B746" s="5" t="s">
        <v>20</v>
      </c>
      <c r="C746" t="s">
        <v>301</v>
      </c>
      <c r="E746" s="4" t="s">
        <v>301</v>
      </c>
      <c r="F746">
        <v>40120</v>
      </c>
      <c r="G746" t="s">
        <v>301</v>
      </c>
      <c r="I746" t="s">
        <v>298</v>
      </c>
      <c r="J746" t="s">
        <v>299</v>
      </c>
      <c r="K746" s="4" t="s">
        <v>304</v>
      </c>
      <c r="L746" t="str">
        <f t="shared" si="22"/>
        <v>"Chesterfield County School Board"</v>
      </c>
      <c r="M746" t="s">
        <v>302</v>
      </c>
      <c r="N746" t="s">
        <v>303</v>
      </c>
      <c r="O746" s="4" t="s">
        <v>300</v>
      </c>
      <c r="P746" t="str">
        <f t="shared" si="23"/>
        <v>"40120"</v>
      </c>
    </row>
    <row r="747" spans="1:16" x14ac:dyDescent="0.2">
      <c r="A747" t="s">
        <v>301</v>
      </c>
      <c r="B747" s="5" t="s">
        <v>21</v>
      </c>
      <c r="C747" t="s">
        <v>301</v>
      </c>
      <c r="E747" s="4" t="s">
        <v>301</v>
      </c>
      <c r="F747">
        <v>40121</v>
      </c>
      <c r="G747" t="s">
        <v>301</v>
      </c>
      <c r="I747" t="s">
        <v>298</v>
      </c>
      <c r="J747" t="s">
        <v>299</v>
      </c>
      <c r="K747" s="4" t="s">
        <v>304</v>
      </c>
      <c r="L747" t="str">
        <f t="shared" si="22"/>
        <v>"Clarke County School Board"</v>
      </c>
      <c r="M747" t="s">
        <v>302</v>
      </c>
      <c r="N747" t="s">
        <v>303</v>
      </c>
      <c r="O747" s="4" t="s">
        <v>300</v>
      </c>
      <c r="P747" t="str">
        <f t="shared" si="23"/>
        <v>"40121"</v>
      </c>
    </row>
    <row r="748" spans="1:16" x14ac:dyDescent="0.2">
      <c r="A748" t="s">
        <v>301</v>
      </c>
      <c r="B748" s="5" t="s">
        <v>22</v>
      </c>
      <c r="C748" t="s">
        <v>301</v>
      </c>
      <c r="E748" s="4" t="s">
        <v>301</v>
      </c>
      <c r="F748">
        <v>40122</v>
      </c>
      <c r="G748" t="s">
        <v>301</v>
      </c>
      <c r="I748" t="s">
        <v>298</v>
      </c>
      <c r="J748" t="s">
        <v>299</v>
      </c>
      <c r="K748" s="4" t="s">
        <v>304</v>
      </c>
      <c r="L748" t="str">
        <f t="shared" si="22"/>
        <v>"Craig County School Board"</v>
      </c>
      <c r="M748" t="s">
        <v>302</v>
      </c>
      <c r="N748" t="s">
        <v>303</v>
      </c>
      <c r="O748" s="4" t="s">
        <v>300</v>
      </c>
      <c r="P748" t="str">
        <f t="shared" si="23"/>
        <v>"40122"</v>
      </c>
    </row>
    <row r="749" spans="1:16" x14ac:dyDescent="0.2">
      <c r="A749" t="s">
        <v>301</v>
      </c>
      <c r="B749" s="5" t="s">
        <v>23</v>
      </c>
      <c r="C749" t="s">
        <v>301</v>
      </c>
      <c r="E749" s="4" t="s">
        <v>301</v>
      </c>
      <c r="F749">
        <v>40123</v>
      </c>
      <c r="G749" t="s">
        <v>301</v>
      </c>
      <c r="I749" t="s">
        <v>298</v>
      </c>
      <c r="J749" t="s">
        <v>299</v>
      </c>
      <c r="K749" s="4" t="s">
        <v>304</v>
      </c>
      <c r="L749" t="str">
        <f t="shared" si="22"/>
        <v>"Culpeper County School Board"</v>
      </c>
      <c r="M749" t="s">
        <v>302</v>
      </c>
      <c r="N749" t="s">
        <v>303</v>
      </c>
      <c r="O749" s="4" t="s">
        <v>300</v>
      </c>
      <c r="P749" t="str">
        <f t="shared" si="23"/>
        <v>"40123"</v>
      </c>
    </row>
    <row r="750" spans="1:16" x14ac:dyDescent="0.2">
      <c r="A750" t="s">
        <v>301</v>
      </c>
      <c r="B750" s="5" t="s">
        <v>24</v>
      </c>
      <c r="C750" t="s">
        <v>301</v>
      </c>
      <c r="E750" s="4" t="s">
        <v>301</v>
      </c>
      <c r="F750">
        <v>40124</v>
      </c>
      <c r="G750" t="s">
        <v>301</v>
      </c>
      <c r="I750" t="s">
        <v>298</v>
      </c>
      <c r="J750" t="s">
        <v>299</v>
      </c>
      <c r="K750" s="4" t="s">
        <v>304</v>
      </c>
      <c r="L750" t="str">
        <f t="shared" si="22"/>
        <v>"Cumberland County School Board"</v>
      </c>
      <c r="M750" t="s">
        <v>302</v>
      </c>
      <c r="N750" t="s">
        <v>303</v>
      </c>
      <c r="O750" s="4" t="s">
        <v>300</v>
      </c>
      <c r="P750" t="str">
        <f t="shared" si="23"/>
        <v>"40124"</v>
      </c>
    </row>
    <row r="751" spans="1:16" x14ac:dyDescent="0.2">
      <c r="A751" t="s">
        <v>301</v>
      </c>
      <c r="B751" s="5" t="s">
        <v>25</v>
      </c>
      <c r="C751" t="s">
        <v>301</v>
      </c>
      <c r="E751" s="4" t="s">
        <v>301</v>
      </c>
      <c r="F751">
        <v>40125</v>
      </c>
      <c r="G751" t="s">
        <v>301</v>
      </c>
      <c r="I751" t="s">
        <v>298</v>
      </c>
      <c r="J751" t="s">
        <v>299</v>
      </c>
      <c r="K751" s="4" t="s">
        <v>304</v>
      </c>
      <c r="L751" t="str">
        <f t="shared" si="22"/>
        <v>"Dickenson County School Board"</v>
      </c>
      <c r="M751" t="s">
        <v>302</v>
      </c>
      <c r="N751" t="s">
        <v>303</v>
      </c>
      <c r="O751" s="4" t="s">
        <v>300</v>
      </c>
      <c r="P751" t="str">
        <f t="shared" si="23"/>
        <v>"40125"</v>
      </c>
    </row>
    <row r="752" spans="1:16" x14ac:dyDescent="0.2">
      <c r="A752" t="s">
        <v>301</v>
      </c>
      <c r="B752" s="5" t="s">
        <v>26</v>
      </c>
      <c r="C752" t="s">
        <v>301</v>
      </c>
      <c r="E752" s="4" t="s">
        <v>301</v>
      </c>
      <c r="F752">
        <v>40126</v>
      </c>
      <c r="G752" t="s">
        <v>301</v>
      </c>
      <c r="I752" t="s">
        <v>298</v>
      </c>
      <c r="J752" t="s">
        <v>299</v>
      </c>
      <c r="K752" s="4" t="s">
        <v>304</v>
      </c>
      <c r="L752" t="str">
        <f t="shared" si="22"/>
        <v>"Dinwiddie County School Board"</v>
      </c>
      <c r="M752" t="s">
        <v>302</v>
      </c>
      <c r="N752" t="s">
        <v>303</v>
      </c>
      <c r="O752" s="4" t="s">
        <v>300</v>
      </c>
      <c r="P752" t="str">
        <f t="shared" si="23"/>
        <v>"40126"</v>
      </c>
    </row>
    <row r="753" spans="1:16" x14ac:dyDescent="0.2">
      <c r="A753" t="s">
        <v>301</v>
      </c>
      <c r="B753" s="5" t="s">
        <v>27</v>
      </c>
      <c r="C753" t="s">
        <v>301</v>
      </c>
      <c r="E753" s="4" t="s">
        <v>301</v>
      </c>
      <c r="F753">
        <v>40128</v>
      </c>
      <c r="G753" t="s">
        <v>301</v>
      </c>
      <c r="I753" t="s">
        <v>298</v>
      </c>
      <c r="J753" t="s">
        <v>299</v>
      </c>
      <c r="K753" s="4" t="s">
        <v>304</v>
      </c>
      <c r="L753" t="str">
        <f t="shared" si="22"/>
        <v>"Essex County Public Schools"</v>
      </c>
      <c r="M753" t="s">
        <v>302</v>
      </c>
      <c r="N753" t="s">
        <v>303</v>
      </c>
      <c r="O753" s="4" t="s">
        <v>300</v>
      </c>
      <c r="P753" t="str">
        <f t="shared" si="23"/>
        <v>"40128"</v>
      </c>
    </row>
    <row r="754" spans="1:16" x14ac:dyDescent="0.2">
      <c r="A754" t="s">
        <v>301</v>
      </c>
      <c r="B754" s="5" t="s">
        <v>28</v>
      </c>
      <c r="C754" t="s">
        <v>301</v>
      </c>
      <c r="E754" s="4" t="s">
        <v>301</v>
      </c>
      <c r="F754">
        <v>40129</v>
      </c>
      <c r="G754" t="s">
        <v>301</v>
      </c>
      <c r="I754" t="s">
        <v>298</v>
      </c>
      <c r="J754" t="s">
        <v>299</v>
      </c>
      <c r="K754" s="4" t="s">
        <v>304</v>
      </c>
      <c r="L754" t="str">
        <f t="shared" si="22"/>
        <v>"Fairfax County School Board"</v>
      </c>
      <c r="M754" t="s">
        <v>302</v>
      </c>
      <c r="N754" t="s">
        <v>303</v>
      </c>
      <c r="O754" s="4" t="s">
        <v>300</v>
      </c>
      <c r="P754" t="str">
        <f t="shared" si="23"/>
        <v>"40129"</v>
      </c>
    </row>
    <row r="755" spans="1:16" x14ac:dyDescent="0.2">
      <c r="A755" t="s">
        <v>301</v>
      </c>
      <c r="B755" s="5" t="s">
        <v>29</v>
      </c>
      <c r="C755" t="s">
        <v>301</v>
      </c>
      <c r="E755" s="4" t="s">
        <v>301</v>
      </c>
      <c r="F755">
        <v>40130</v>
      </c>
      <c r="G755" t="s">
        <v>301</v>
      </c>
      <c r="I755" t="s">
        <v>298</v>
      </c>
      <c r="J755" t="s">
        <v>299</v>
      </c>
      <c r="K755" s="4" t="s">
        <v>304</v>
      </c>
      <c r="L755" t="str">
        <f t="shared" si="22"/>
        <v>"Fauquier County School Board"</v>
      </c>
      <c r="M755" t="s">
        <v>302</v>
      </c>
      <c r="N755" t="s">
        <v>303</v>
      </c>
      <c r="O755" s="4" t="s">
        <v>300</v>
      </c>
      <c r="P755" t="str">
        <f t="shared" si="23"/>
        <v>"40130"</v>
      </c>
    </row>
    <row r="756" spans="1:16" x14ac:dyDescent="0.2">
      <c r="A756" t="s">
        <v>301</v>
      </c>
      <c r="B756" s="5" t="s">
        <v>30</v>
      </c>
      <c r="C756" t="s">
        <v>301</v>
      </c>
      <c r="E756" s="4" t="s">
        <v>301</v>
      </c>
      <c r="F756">
        <v>40131</v>
      </c>
      <c r="G756" t="s">
        <v>301</v>
      </c>
      <c r="I756" t="s">
        <v>298</v>
      </c>
      <c r="J756" t="s">
        <v>299</v>
      </c>
      <c r="K756" s="4" t="s">
        <v>304</v>
      </c>
      <c r="L756" t="str">
        <f t="shared" si="22"/>
        <v>"Floyd County School Board"</v>
      </c>
      <c r="M756" t="s">
        <v>302</v>
      </c>
      <c r="N756" t="s">
        <v>303</v>
      </c>
      <c r="O756" s="4" t="s">
        <v>300</v>
      </c>
      <c r="P756" t="str">
        <f t="shared" si="23"/>
        <v>"40131"</v>
      </c>
    </row>
    <row r="757" spans="1:16" x14ac:dyDescent="0.2">
      <c r="A757" t="s">
        <v>301</v>
      </c>
      <c r="B757" s="5" t="s">
        <v>31</v>
      </c>
      <c r="C757" t="s">
        <v>301</v>
      </c>
      <c r="E757" s="4" t="s">
        <v>301</v>
      </c>
      <c r="F757">
        <v>40132</v>
      </c>
      <c r="G757" t="s">
        <v>301</v>
      </c>
      <c r="I757" t="s">
        <v>298</v>
      </c>
      <c r="J757" t="s">
        <v>299</v>
      </c>
      <c r="K757" s="4" t="s">
        <v>304</v>
      </c>
      <c r="L757" t="str">
        <f t="shared" si="22"/>
        <v>"Fluvanna County Public Schools"</v>
      </c>
      <c r="M757" t="s">
        <v>302</v>
      </c>
      <c r="N757" t="s">
        <v>303</v>
      </c>
      <c r="O757" s="4" t="s">
        <v>300</v>
      </c>
      <c r="P757" t="str">
        <f t="shared" si="23"/>
        <v>"40132"</v>
      </c>
    </row>
    <row r="758" spans="1:16" x14ac:dyDescent="0.2">
      <c r="A758" t="s">
        <v>301</v>
      </c>
      <c r="B758" s="5" t="s">
        <v>64</v>
      </c>
      <c r="C758" t="s">
        <v>301</v>
      </c>
      <c r="E758" s="4" t="s">
        <v>301</v>
      </c>
      <c r="F758">
        <v>40133</v>
      </c>
      <c r="G758" t="s">
        <v>301</v>
      </c>
      <c r="I758" t="s">
        <v>298</v>
      </c>
      <c r="J758" t="s">
        <v>299</v>
      </c>
      <c r="K758" s="4" t="s">
        <v>304</v>
      </c>
      <c r="L758" t="str">
        <f t="shared" si="22"/>
        <v>"Franklin County Public Schools"</v>
      </c>
      <c r="M758" t="s">
        <v>302</v>
      </c>
      <c r="N758" t="s">
        <v>303</v>
      </c>
      <c r="O758" s="4" t="s">
        <v>300</v>
      </c>
      <c r="P758" t="str">
        <f t="shared" si="23"/>
        <v>"40133"</v>
      </c>
    </row>
    <row r="759" spans="1:16" x14ac:dyDescent="0.2">
      <c r="A759" t="s">
        <v>301</v>
      </c>
      <c r="B759" s="5" t="s">
        <v>65</v>
      </c>
      <c r="C759" t="s">
        <v>301</v>
      </c>
      <c r="E759" s="4" t="s">
        <v>301</v>
      </c>
      <c r="F759">
        <v>40134</v>
      </c>
      <c r="G759" t="s">
        <v>301</v>
      </c>
      <c r="I759" t="s">
        <v>298</v>
      </c>
      <c r="J759" t="s">
        <v>299</v>
      </c>
      <c r="K759" s="4" t="s">
        <v>304</v>
      </c>
      <c r="L759" t="str">
        <f t="shared" si="22"/>
        <v>"Frederick County School Board"</v>
      </c>
      <c r="M759" t="s">
        <v>302</v>
      </c>
      <c r="N759" t="s">
        <v>303</v>
      </c>
      <c r="O759" s="4" t="s">
        <v>300</v>
      </c>
      <c r="P759" t="str">
        <f t="shared" si="23"/>
        <v>"40134"</v>
      </c>
    </row>
    <row r="760" spans="1:16" x14ac:dyDescent="0.2">
      <c r="A760" t="s">
        <v>301</v>
      </c>
      <c r="B760" s="5" t="s">
        <v>66</v>
      </c>
      <c r="C760" t="s">
        <v>301</v>
      </c>
      <c r="E760" s="4" t="s">
        <v>301</v>
      </c>
      <c r="F760">
        <v>40135</v>
      </c>
      <c r="G760" t="s">
        <v>301</v>
      </c>
      <c r="I760" t="s">
        <v>298</v>
      </c>
      <c r="J760" t="s">
        <v>299</v>
      </c>
      <c r="K760" s="4" t="s">
        <v>304</v>
      </c>
      <c r="L760" t="str">
        <f t="shared" si="22"/>
        <v>"Giles County Schools"</v>
      </c>
      <c r="M760" t="s">
        <v>302</v>
      </c>
      <c r="N760" t="s">
        <v>303</v>
      </c>
      <c r="O760" s="4" t="s">
        <v>300</v>
      </c>
      <c r="P760" t="str">
        <f t="shared" si="23"/>
        <v>"40135"</v>
      </c>
    </row>
    <row r="761" spans="1:16" x14ac:dyDescent="0.2">
      <c r="A761" t="s">
        <v>301</v>
      </c>
      <c r="B761" s="5" t="s">
        <v>67</v>
      </c>
      <c r="C761" t="s">
        <v>301</v>
      </c>
      <c r="E761" s="4" t="s">
        <v>301</v>
      </c>
      <c r="F761">
        <v>40136</v>
      </c>
      <c r="G761" t="s">
        <v>301</v>
      </c>
      <c r="I761" t="s">
        <v>298</v>
      </c>
      <c r="J761" t="s">
        <v>299</v>
      </c>
      <c r="K761" s="4" t="s">
        <v>304</v>
      </c>
      <c r="L761" t="str">
        <f t="shared" si="22"/>
        <v>"Gloucester County School Board"</v>
      </c>
      <c r="M761" t="s">
        <v>302</v>
      </c>
      <c r="N761" t="s">
        <v>303</v>
      </c>
      <c r="O761" s="4" t="s">
        <v>300</v>
      </c>
      <c r="P761" t="str">
        <f t="shared" si="23"/>
        <v>"40136"</v>
      </c>
    </row>
    <row r="762" spans="1:16" x14ac:dyDescent="0.2">
      <c r="A762" t="s">
        <v>301</v>
      </c>
      <c r="B762" s="5" t="s">
        <v>68</v>
      </c>
      <c r="C762" t="s">
        <v>301</v>
      </c>
      <c r="E762" s="4" t="s">
        <v>301</v>
      </c>
      <c r="F762">
        <v>40137</v>
      </c>
      <c r="G762" t="s">
        <v>301</v>
      </c>
      <c r="I762" t="s">
        <v>298</v>
      </c>
      <c r="J762" t="s">
        <v>299</v>
      </c>
      <c r="K762" s="4" t="s">
        <v>304</v>
      </c>
      <c r="L762" t="str">
        <f t="shared" si="22"/>
        <v>"Goochland County School Board"</v>
      </c>
      <c r="M762" t="s">
        <v>302</v>
      </c>
      <c r="N762" t="s">
        <v>303</v>
      </c>
      <c r="O762" s="4" t="s">
        <v>300</v>
      </c>
      <c r="P762" t="str">
        <f t="shared" si="23"/>
        <v>"40137"</v>
      </c>
    </row>
    <row r="763" spans="1:16" x14ac:dyDescent="0.2">
      <c r="A763" t="s">
        <v>301</v>
      </c>
      <c r="B763" s="5" t="s">
        <v>69</v>
      </c>
      <c r="C763" t="s">
        <v>301</v>
      </c>
      <c r="E763" s="4" t="s">
        <v>301</v>
      </c>
      <c r="F763">
        <v>40138</v>
      </c>
      <c r="G763" t="s">
        <v>301</v>
      </c>
      <c r="I763" t="s">
        <v>298</v>
      </c>
      <c r="J763" t="s">
        <v>299</v>
      </c>
      <c r="K763" s="4" t="s">
        <v>304</v>
      </c>
      <c r="L763" t="str">
        <f t="shared" si="22"/>
        <v>"Grayson County School Board"</v>
      </c>
      <c r="M763" t="s">
        <v>302</v>
      </c>
      <c r="N763" t="s">
        <v>303</v>
      </c>
      <c r="O763" s="4" t="s">
        <v>300</v>
      </c>
      <c r="P763" t="str">
        <f t="shared" si="23"/>
        <v>"40138"</v>
      </c>
    </row>
    <row r="764" spans="1:16" x14ac:dyDescent="0.2">
      <c r="A764" t="s">
        <v>301</v>
      </c>
      <c r="B764" s="5" t="s">
        <v>70</v>
      </c>
      <c r="C764" t="s">
        <v>301</v>
      </c>
      <c r="E764" s="4" t="s">
        <v>301</v>
      </c>
      <c r="F764">
        <v>40139</v>
      </c>
      <c r="G764" t="s">
        <v>301</v>
      </c>
      <c r="I764" t="s">
        <v>298</v>
      </c>
      <c r="J764" t="s">
        <v>299</v>
      </c>
      <c r="K764" s="4" t="s">
        <v>304</v>
      </c>
      <c r="L764" t="str">
        <f t="shared" si="22"/>
        <v>"Greene County Public Schools"</v>
      </c>
      <c r="M764" t="s">
        <v>302</v>
      </c>
      <c r="N764" t="s">
        <v>303</v>
      </c>
      <c r="O764" s="4" t="s">
        <v>300</v>
      </c>
      <c r="P764" t="str">
        <f t="shared" si="23"/>
        <v>"40139"</v>
      </c>
    </row>
    <row r="765" spans="1:16" x14ac:dyDescent="0.2">
      <c r="A765" t="s">
        <v>301</v>
      </c>
      <c r="B765" s="5" t="s">
        <v>71</v>
      </c>
      <c r="C765" t="s">
        <v>301</v>
      </c>
      <c r="E765" s="4" t="s">
        <v>301</v>
      </c>
      <c r="F765">
        <v>40140</v>
      </c>
      <c r="G765" t="s">
        <v>301</v>
      </c>
      <c r="I765" t="s">
        <v>298</v>
      </c>
      <c r="J765" t="s">
        <v>299</v>
      </c>
      <c r="K765" s="4" t="s">
        <v>304</v>
      </c>
      <c r="L765" t="str">
        <f t="shared" si="22"/>
        <v>"Greensville County School Board"</v>
      </c>
      <c r="M765" t="s">
        <v>302</v>
      </c>
      <c r="N765" t="s">
        <v>303</v>
      </c>
      <c r="O765" s="4" t="s">
        <v>300</v>
      </c>
      <c r="P765" t="str">
        <f t="shared" si="23"/>
        <v>"40140"</v>
      </c>
    </row>
    <row r="766" spans="1:16" x14ac:dyDescent="0.2">
      <c r="A766" t="s">
        <v>301</v>
      </c>
      <c r="B766" s="5" t="s">
        <v>72</v>
      </c>
      <c r="C766" t="s">
        <v>301</v>
      </c>
      <c r="E766" s="4" t="s">
        <v>301</v>
      </c>
      <c r="F766">
        <v>40141</v>
      </c>
      <c r="G766" t="s">
        <v>301</v>
      </c>
      <c r="I766" t="s">
        <v>298</v>
      </c>
      <c r="J766" t="s">
        <v>299</v>
      </c>
      <c r="K766" s="4" t="s">
        <v>304</v>
      </c>
      <c r="L766" t="str">
        <f t="shared" si="22"/>
        <v>"Halifax County School Board"</v>
      </c>
      <c r="M766" t="s">
        <v>302</v>
      </c>
      <c r="N766" t="s">
        <v>303</v>
      </c>
      <c r="O766" s="4" t="s">
        <v>300</v>
      </c>
      <c r="P766" t="str">
        <f t="shared" si="23"/>
        <v>"40141"</v>
      </c>
    </row>
    <row r="767" spans="1:16" x14ac:dyDescent="0.2">
      <c r="A767" t="s">
        <v>301</v>
      </c>
      <c r="B767" s="5" t="s">
        <v>73</v>
      </c>
      <c r="C767" t="s">
        <v>301</v>
      </c>
      <c r="E767" s="4" t="s">
        <v>301</v>
      </c>
      <c r="F767">
        <v>40142</v>
      </c>
      <c r="G767" t="s">
        <v>301</v>
      </c>
      <c r="I767" t="s">
        <v>298</v>
      </c>
      <c r="J767" t="s">
        <v>299</v>
      </c>
      <c r="K767" s="4" t="s">
        <v>304</v>
      </c>
      <c r="L767" t="str">
        <f t="shared" si="22"/>
        <v>"Hanover County School Board"</v>
      </c>
      <c r="M767" t="s">
        <v>302</v>
      </c>
      <c r="N767" t="s">
        <v>303</v>
      </c>
      <c r="O767" s="4" t="s">
        <v>300</v>
      </c>
      <c r="P767" t="str">
        <f t="shared" si="23"/>
        <v>"40142"</v>
      </c>
    </row>
    <row r="768" spans="1:16" x14ac:dyDescent="0.2">
      <c r="A768" t="s">
        <v>301</v>
      </c>
      <c r="B768" s="5" t="s">
        <v>74</v>
      </c>
      <c r="C768" t="s">
        <v>301</v>
      </c>
      <c r="E768" s="4" t="s">
        <v>301</v>
      </c>
      <c r="F768">
        <v>40143</v>
      </c>
      <c r="G768" t="s">
        <v>301</v>
      </c>
      <c r="I768" t="s">
        <v>298</v>
      </c>
      <c r="J768" t="s">
        <v>299</v>
      </c>
      <c r="K768" s="4" t="s">
        <v>304</v>
      </c>
      <c r="L768" t="str">
        <f t="shared" si="22"/>
        <v>"Henrico County School Board"</v>
      </c>
      <c r="M768" t="s">
        <v>302</v>
      </c>
      <c r="N768" t="s">
        <v>303</v>
      </c>
      <c r="O768" s="4" t="s">
        <v>300</v>
      </c>
      <c r="P768" t="str">
        <f t="shared" si="23"/>
        <v>"40143"</v>
      </c>
    </row>
    <row r="769" spans="1:16" x14ac:dyDescent="0.2">
      <c r="A769" t="s">
        <v>301</v>
      </c>
      <c r="B769" s="5" t="s">
        <v>75</v>
      </c>
      <c r="C769" t="s">
        <v>301</v>
      </c>
      <c r="E769" s="4" t="s">
        <v>301</v>
      </c>
      <c r="F769">
        <v>40144</v>
      </c>
      <c r="G769" t="s">
        <v>301</v>
      </c>
      <c r="I769" t="s">
        <v>298</v>
      </c>
      <c r="J769" t="s">
        <v>299</v>
      </c>
      <c r="K769" s="4" t="s">
        <v>304</v>
      </c>
      <c r="L769" t="str">
        <f t="shared" si="22"/>
        <v>"Henry County Public Schools"</v>
      </c>
      <c r="M769" t="s">
        <v>302</v>
      </c>
      <c r="N769" t="s">
        <v>303</v>
      </c>
      <c r="O769" s="4" t="s">
        <v>300</v>
      </c>
      <c r="P769" t="str">
        <f t="shared" si="23"/>
        <v>"40144"</v>
      </c>
    </row>
    <row r="770" spans="1:16" x14ac:dyDescent="0.2">
      <c r="A770" t="s">
        <v>301</v>
      </c>
      <c r="B770" s="5" t="s">
        <v>76</v>
      </c>
      <c r="C770" t="s">
        <v>301</v>
      </c>
      <c r="E770" s="4" t="s">
        <v>301</v>
      </c>
      <c r="F770">
        <v>40145</v>
      </c>
      <c r="G770" t="s">
        <v>301</v>
      </c>
      <c r="I770" t="s">
        <v>298</v>
      </c>
      <c r="J770" t="s">
        <v>299</v>
      </c>
      <c r="K770" s="4" t="s">
        <v>304</v>
      </c>
      <c r="L770" t="str">
        <f t="shared" ref="L770:L833" si="24">_xlfn.TEXTJOIN("",TRUE,A770:C770)</f>
        <v>"Highland County Public Schools"</v>
      </c>
      <c r="M770" t="s">
        <v>302</v>
      </c>
      <c r="N770" t="s">
        <v>303</v>
      </c>
      <c r="O770" s="4" t="s">
        <v>300</v>
      </c>
      <c r="P770" t="str">
        <f t="shared" ref="P770:P833" si="25">_xlfn.TEXTJOIN("",TRUE,E770:G770)</f>
        <v>"40145"</v>
      </c>
    </row>
    <row r="771" spans="1:16" x14ac:dyDescent="0.2">
      <c r="A771" t="s">
        <v>301</v>
      </c>
      <c r="B771" s="5" t="s">
        <v>77</v>
      </c>
      <c r="C771" t="s">
        <v>301</v>
      </c>
      <c r="E771" s="4" t="s">
        <v>301</v>
      </c>
      <c r="F771">
        <v>40146</v>
      </c>
      <c r="G771" t="s">
        <v>301</v>
      </c>
      <c r="I771" t="s">
        <v>298</v>
      </c>
      <c r="J771" t="s">
        <v>299</v>
      </c>
      <c r="K771" s="4" t="s">
        <v>304</v>
      </c>
      <c r="L771" t="str">
        <f t="shared" si="24"/>
        <v>"Isle of Wight County Schools"</v>
      </c>
      <c r="M771" t="s">
        <v>302</v>
      </c>
      <c r="N771" t="s">
        <v>303</v>
      </c>
      <c r="O771" s="4" t="s">
        <v>300</v>
      </c>
      <c r="P771" t="str">
        <f t="shared" si="25"/>
        <v>"40146"</v>
      </c>
    </row>
    <row r="772" spans="1:16" x14ac:dyDescent="0.2">
      <c r="A772" t="s">
        <v>301</v>
      </c>
      <c r="B772" s="5" t="s">
        <v>78</v>
      </c>
      <c r="C772" t="s">
        <v>301</v>
      </c>
      <c r="E772" s="4" t="s">
        <v>301</v>
      </c>
      <c r="F772">
        <v>40148</v>
      </c>
      <c r="G772" t="s">
        <v>301</v>
      </c>
      <c r="I772" t="s">
        <v>298</v>
      </c>
      <c r="J772" t="s">
        <v>299</v>
      </c>
      <c r="K772" s="4" t="s">
        <v>304</v>
      </c>
      <c r="L772" t="str">
        <f t="shared" si="24"/>
        <v>"King George County School Board"</v>
      </c>
      <c r="M772" t="s">
        <v>302</v>
      </c>
      <c r="N772" t="s">
        <v>303</v>
      </c>
      <c r="O772" s="4" t="s">
        <v>300</v>
      </c>
      <c r="P772" t="str">
        <f t="shared" si="25"/>
        <v>"40148"</v>
      </c>
    </row>
    <row r="773" spans="1:16" x14ac:dyDescent="0.2">
      <c r="A773" t="s">
        <v>301</v>
      </c>
      <c r="B773" s="5" t="s">
        <v>79</v>
      </c>
      <c r="C773" t="s">
        <v>301</v>
      </c>
      <c r="E773" s="4" t="s">
        <v>301</v>
      </c>
      <c r="F773">
        <v>40149</v>
      </c>
      <c r="G773" t="s">
        <v>301</v>
      </c>
      <c r="I773" t="s">
        <v>298</v>
      </c>
      <c r="J773" t="s">
        <v>299</v>
      </c>
      <c r="K773" s="4" t="s">
        <v>304</v>
      </c>
      <c r="L773" t="str">
        <f t="shared" si="24"/>
        <v>"King &amp; Queen County School Board"</v>
      </c>
      <c r="M773" t="s">
        <v>302</v>
      </c>
      <c r="N773" t="s">
        <v>303</v>
      </c>
      <c r="O773" s="4" t="s">
        <v>300</v>
      </c>
      <c r="P773" t="str">
        <f t="shared" si="25"/>
        <v>"40149"</v>
      </c>
    </row>
    <row r="774" spans="1:16" x14ac:dyDescent="0.2">
      <c r="A774" t="s">
        <v>301</v>
      </c>
      <c r="B774" s="5" t="s">
        <v>80</v>
      </c>
      <c r="C774" t="s">
        <v>301</v>
      </c>
      <c r="E774" s="4" t="s">
        <v>301</v>
      </c>
      <c r="F774">
        <v>40150</v>
      </c>
      <c r="G774" t="s">
        <v>301</v>
      </c>
      <c r="I774" t="s">
        <v>298</v>
      </c>
      <c r="J774" t="s">
        <v>299</v>
      </c>
      <c r="K774" s="4" t="s">
        <v>304</v>
      </c>
      <c r="L774" t="str">
        <f t="shared" si="24"/>
        <v>"King William County School Board"</v>
      </c>
      <c r="M774" t="s">
        <v>302</v>
      </c>
      <c r="N774" t="s">
        <v>303</v>
      </c>
      <c r="O774" s="4" t="s">
        <v>300</v>
      </c>
      <c r="P774" t="str">
        <f t="shared" si="25"/>
        <v>"40150"</v>
      </c>
    </row>
    <row r="775" spans="1:16" x14ac:dyDescent="0.2">
      <c r="A775" t="s">
        <v>301</v>
      </c>
      <c r="B775" s="5" t="s">
        <v>81</v>
      </c>
      <c r="C775" t="s">
        <v>301</v>
      </c>
      <c r="E775" s="4" t="s">
        <v>301</v>
      </c>
      <c r="F775">
        <v>40151</v>
      </c>
      <c r="G775" t="s">
        <v>301</v>
      </c>
      <c r="I775" t="s">
        <v>298</v>
      </c>
      <c r="J775" t="s">
        <v>299</v>
      </c>
      <c r="K775" s="4" t="s">
        <v>304</v>
      </c>
      <c r="L775" t="str">
        <f t="shared" si="24"/>
        <v>"Lancaster County Public Schools"</v>
      </c>
      <c r="M775" t="s">
        <v>302</v>
      </c>
      <c r="N775" t="s">
        <v>303</v>
      </c>
      <c r="O775" s="4" t="s">
        <v>300</v>
      </c>
      <c r="P775" t="str">
        <f t="shared" si="25"/>
        <v>"40151"</v>
      </c>
    </row>
    <row r="776" spans="1:16" x14ac:dyDescent="0.2">
      <c r="A776" t="s">
        <v>301</v>
      </c>
      <c r="B776" s="5" t="s">
        <v>82</v>
      </c>
      <c r="C776" t="s">
        <v>301</v>
      </c>
      <c r="E776" s="4" t="s">
        <v>301</v>
      </c>
      <c r="F776">
        <v>40152</v>
      </c>
      <c r="G776" t="s">
        <v>301</v>
      </c>
      <c r="I776" t="s">
        <v>298</v>
      </c>
      <c r="J776" t="s">
        <v>299</v>
      </c>
      <c r="K776" s="4" t="s">
        <v>304</v>
      </c>
      <c r="L776" t="str">
        <f t="shared" si="24"/>
        <v>"Lee County School Board"</v>
      </c>
      <c r="M776" t="s">
        <v>302</v>
      </c>
      <c r="N776" t="s">
        <v>303</v>
      </c>
      <c r="O776" s="4" t="s">
        <v>300</v>
      </c>
      <c r="P776" t="str">
        <f t="shared" si="25"/>
        <v>"40152"</v>
      </c>
    </row>
    <row r="777" spans="1:16" x14ac:dyDescent="0.2">
      <c r="A777" t="s">
        <v>301</v>
      </c>
      <c r="B777" s="5" t="s">
        <v>83</v>
      </c>
      <c r="C777" t="s">
        <v>301</v>
      </c>
      <c r="E777" s="4" t="s">
        <v>301</v>
      </c>
      <c r="F777">
        <v>40153</v>
      </c>
      <c r="G777" t="s">
        <v>301</v>
      </c>
      <c r="I777" t="s">
        <v>298</v>
      </c>
      <c r="J777" t="s">
        <v>299</v>
      </c>
      <c r="K777" s="4" t="s">
        <v>304</v>
      </c>
      <c r="L777" t="str">
        <f t="shared" si="24"/>
        <v>"Loudoun County School Board"</v>
      </c>
      <c r="M777" t="s">
        <v>302</v>
      </c>
      <c r="N777" t="s">
        <v>303</v>
      </c>
      <c r="O777" s="4" t="s">
        <v>300</v>
      </c>
      <c r="P777" t="str">
        <f t="shared" si="25"/>
        <v>"40153"</v>
      </c>
    </row>
    <row r="778" spans="1:16" x14ac:dyDescent="0.2">
      <c r="A778" t="s">
        <v>301</v>
      </c>
      <c r="B778" s="5" t="s">
        <v>84</v>
      </c>
      <c r="C778" t="s">
        <v>301</v>
      </c>
      <c r="E778" s="4" t="s">
        <v>301</v>
      </c>
      <c r="F778">
        <v>40154</v>
      </c>
      <c r="G778" t="s">
        <v>301</v>
      </c>
      <c r="I778" t="s">
        <v>298</v>
      </c>
      <c r="J778" t="s">
        <v>299</v>
      </c>
      <c r="K778" s="4" t="s">
        <v>304</v>
      </c>
      <c r="L778" t="str">
        <f t="shared" si="24"/>
        <v>"Louisa County Public Schools"</v>
      </c>
      <c r="M778" t="s">
        <v>302</v>
      </c>
      <c r="N778" t="s">
        <v>303</v>
      </c>
      <c r="O778" s="4" t="s">
        <v>300</v>
      </c>
      <c r="P778" t="str">
        <f t="shared" si="25"/>
        <v>"40154"</v>
      </c>
    </row>
    <row r="779" spans="1:16" x14ac:dyDescent="0.2">
      <c r="A779" t="s">
        <v>301</v>
      </c>
      <c r="B779" s="5" t="s">
        <v>85</v>
      </c>
      <c r="C779" t="s">
        <v>301</v>
      </c>
      <c r="E779" s="4" t="s">
        <v>301</v>
      </c>
      <c r="F779">
        <v>40155</v>
      </c>
      <c r="G779" t="s">
        <v>301</v>
      </c>
      <c r="I779" t="s">
        <v>298</v>
      </c>
      <c r="J779" t="s">
        <v>299</v>
      </c>
      <c r="K779" s="4" t="s">
        <v>304</v>
      </c>
      <c r="L779" t="str">
        <f t="shared" si="24"/>
        <v>"Lunenburg County School Board"</v>
      </c>
      <c r="M779" t="s">
        <v>302</v>
      </c>
      <c r="N779" t="s">
        <v>303</v>
      </c>
      <c r="O779" s="4" t="s">
        <v>300</v>
      </c>
      <c r="P779" t="str">
        <f t="shared" si="25"/>
        <v>"40155"</v>
      </c>
    </row>
    <row r="780" spans="1:16" x14ac:dyDescent="0.2">
      <c r="A780" t="s">
        <v>301</v>
      </c>
      <c r="B780" s="5" t="s">
        <v>86</v>
      </c>
      <c r="C780" t="s">
        <v>301</v>
      </c>
      <c r="E780" s="4" t="s">
        <v>301</v>
      </c>
      <c r="F780">
        <v>40156</v>
      </c>
      <c r="G780" t="s">
        <v>301</v>
      </c>
      <c r="I780" t="s">
        <v>298</v>
      </c>
      <c r="J780" t="s">
        <v>299</v>
      </c>
      <c r="K780" s="4" t="s">
        <v>304</v>
      </c>
      <c r="L780" t="str">
        <f t="shared" si="24"/>
        <v>"Madison County School Board"</v>
      </c>
      <c r="M780" t="s">
        <v>302</v>
      </c>
      <c r="N780" t="s">
        <v>303</v>
      </c>
      <c r="O780" s="4" t="s">
        <v>300</v>
      </c>
      <c r="P780" t="str">
        <f t="shared" si="25"/>
        <v>"40156"</v>
      </c>
    </row>
    <row r="781" spans="1:16" x14ac:dyDescent="0.2">
      <c r="A781" t="s">
        <v>301</v>
      </c>
      <c r="B781" s="5" t="s">
        <v>87</v>
      </c>
      <c r="C781" t="s">
        <v>301</v>
      </c>
      <c r="E781" s="4" t="s">
        <v>301</v>
      </c>
      <c r="F781">
        <v>40157</v>
      </c>
      <c r="G781" t="s">
        <v>301</v>
      </c>
      <c r="I781" t="s">
        <v>298</v>
      </c>
      <c r="J781" t="s">
        <v>299</v>
      </c>
      <c r="K781" s="4" t="s">
        <v>304</v>
      </c>
      <c r="L781" t="str">
        <f t="shared" si="24"/>
        <v>"Mathews County School Board"</v>
      </c>
      <c r="M781" t="s">
        <v>302</v>
      </c>
      <c r="N781" t="s">
        <v>303</v>
      </c>
      <c r="O781" s="4" t="s">
        <v>300</v>
      </c>
      <c r="P781" t="str">
        <f t="shared" si="25"/>
        <v>"40157"</v>
      </c>
    </row>
    <row r="782" spans="1:16" x14ac:dyDescent="0.2">
      <c r="A782" t="s">
        <v>301</v>
      </c>
      <c r="B782" s="5" t="s">
        <v>88</v>
      </c>
      <c r="C782" t="s">
        <v>301</v>
      </c>
      <c r="E782" s="4" t="s">
        <v>301</v>
      </c>
      <c r="F782">
        <v>40158</v>
      </c>
      <c r="G782" t="s">
        <v>301</v>
      </c>
      <c r="I782" t="s">
        <v>298</v>
      </c>
      <c r="J782" t="s">
        <v>299</v>
      </c>
      <c r="K782" s="4" t="s">
        <v>304</v>
      </c>
      <c r="L782" t="str">
        <f t="shared" si="24"/>
        <v>"Mecklenburg County School Board"</v>
      </c>
      <c r="M782" t="s">
        <v>302</v>
      </c>
      <c r="N782" t="s">
        <v>303</v>
      </c>
      <c r="O782" s="4" t="s">
        <v>300</v>
      </c>
      <c r="P782" t="str">
        <f t="shared" si="25"/>
        <v>"40158"</v>
      </c>
    </row>
    <row r="783" spans="1:16" x14ac:dyDescent="0.2">
      <c r="A783" t="s">
        <v>301</v>
      </c>
      <c r="B783" s="5" t="s">
        <v>89</v>
      </c>
      <c r="C783" t="s">
        <v>301</v>
      </c>
      <c r="E783" s="4" t="s">
        <v>301</v>
      </c>
      <c r="F783">
        <v>40159</v>
      </c>
      <c r="G783" t="s">
        <v>301</v>
      </c>
      <c r="I783" t="s">
        <v>298</v>
      </c>
      <c r="J783" t="s">
        <v>299</v>
      </c>
      <c r="K783" s="4" t="s">
        <v>304</v>
      </c>
      <c r="L783" t="str">
        <f t="shared" si="24"/>
        <v>"Middlesex County School Board"</v>
      </c>
      <c r="M783" t="s">
        <v>302</v>
      </c>
      <c r="N783" t="s">
        <v>303</v>
      </c>
      <c r="O783" s="4" t="s">
        <v>300</v>
      </c>
      <c r="P783" t="str">
        <f t="shared" si="25"/>
        <v>"40159"</v>
      </c>
    </row>
    <row r="784" spans="1:16" x14ac:dyDescent="0.2">
      <c r="A784" t="s">
        <v>301</v>
      </c>
      <c r="B784" s="5" t="s">
        <v>90</v>
      </c>
      <c r="C784" t="s">
        <v>301</v>
      </c>
      <c r="E784" s="4" t="s">
        <v>301</v>
      </c>
      <c r="F784">
        <v>40160</v>
      </c>
      <c r="G784" t="s">
        <v>301</v>
      </c>
      <c r="I784" t="s">
        <v>298</v>
      </c>
      <c r="J784" t="s">
        <v>299</v>
      </c>
      <c r="K784" s="4" t="s">
        <v>304</v>
      </c>
      <c r="L784" t="str">
        <f t="shared" si="24"/>
        <v>"Montgomery County School Board"</v>
      </c>
      <c r="M784" t="s">
        <v>302</v>
      </c>
      <c r="N784" t="s">
        <v>303</v>
      </c>
      <c r="O784" s="4" t="s">
        <v>300</v>
      </c>
      <c r="P784" t="str">
        <f t="shared" si="25"/>
        <v>"40160"</v>
      </c>
    </row>
    <row r="785" spans="1:16" x14ac:dyDescent="0.2">
      <c r="A785" t="s">
        <v>301</v>
      </c>
      <c r="B785" s="5" t="s">
        <v>91</v>
      </c>
      <c r="C785" t="s">
        <v>301</v>
      </c>
      <c r="E785" s="4" t="s">
        <v>301</v>
      </c>
      <c r="F785">
        <v>40162</v>
      </c>
      <c r="G785" t="s">
        <v>301</v>
      </c>
      <c r="I785" t="s">
        <v>298</v>
      </c>
      <c r="J785" t="s">
        <v>299</v>
      </c>
      <c r="K785" s="4" t="s">
        <v>304</v>
      </c>
      <c r="L785" t="str">
        <f t="shared" si="24"/>
        <v>"Nelson County Public Schools"</v>
      </c>
      <c r="M785" t="s">
        <v>302</v>
      </c>
      <c r="N785" t="s">
        <v>303</v>
      </c>
      <c r="O785" s="4" t="s">
        <v>300</v>
      </c>
      <c r="P785" t="str">
        <f t="shared" si="25"/>
        <v>"40162"</v>
      </c>
    </row>
    <row r="786" spans="1:16" x14ac:dyDescent="0.2">
      <c r="A786" t="s">
        <v>301</v>
      </c>
      <c r="B786" s="5" t="s">
        <v>92</v>
      </c>
      <c r="C786" t="s">
        <v>301</v>
      </c>
      <c r="E786" s="4" t="s">
        <v>301</v>
      </c>
      <c r="F786">
        <v>40163</v>
      </c>
      <c r="G786" t="s">
        <v>301</v>
      </c>
      <c r="I786" t="s">
        <v>298</v>
      </c>
      <c r="J786" t="s">
        <v>299</v>
      </c>
      <c r="K786" s="4" t="s">
        <v>304</v>
      </c>
      <c r="L786" t="str">
        <f t="shared" si="24"/>
        <v>"New Kent County School Board"</v>
      </c>
      <c r="M786" t="s">
        <v>302</v>
      </c>
      <c r="N786" t="s">
        <v>303</v>
      </c>
      <c r="O786" s="4" t="s">
        <v>300</v>
      </c>
      <c r="P786" t="str">
        <f t="shared" si="25"/>
        <v>"40163"</v>
      </c>
    </row>
    <row r="787" spans="1:16" x14ac:dyDescent="0.2">
      <c r="A787" t="s">
        <v>301</v>
      </c>
      <c r="B787" s="5" t="s">
        <v>93</v>
      </c>
      <c r="C787" t="s">
        <v>301</v>
      </c>
      <c r="E787" s="4" t="s">
        <v>301</v>
      </c>
      <c r="F787">
        <v>40165</v>
      </c>
      <c r="G787" t="s">
        <v>301</v>
      </c>
      <c r="I787" t="s">
        <v>298</v>
      </c>
      <c r="J787" t="s">
        <v>299</v>
      </c>
      <c r="K787" s="4" t="s">
        <v>304</v>
      </c>
      <c r="L787" t="str">
        <f t="shared" si="24"/>
        <v>"Northampton County Schools"</v>
      </c>
      <c r="M787" t="s">
        <v>302</v>
      </c>
      <c r="N787" t="s">
        <v>303</v>
      </c>
      <c r="O787" s="4" t="s">
        <v>300</v>
      </c>
      <c r="P787" t="str">
        <f t="shared" si="25"/>
        <v>"40165"</v>
      </c>
    </row>
    <row r="788" spans="1:16" x14ac:dyDescent="0.2">
      <c r="A788" t="s">
        <v>301</v>
      </c>
      <c r="B788" s="5" t="s">
        <v>94</v>
      </c>
      <c r="C788" t="s">
        <v>301</v>
      </c>
      <c r="E788" s="4" t="s">
        <v>301</v>
      </c>
      <c r="F788">
        <v>40166</v>
      </c>
      <c r="G788" t="s">
        <v>301</v>
      </c>
      <c r="I788" t="s">
        <v>298</v>
      </c>
      <c r="J788" t="s">
        <v>299</v>
      </c>
      <c r="K788" s="4" t="s">
        <v>304</v>
      </c>
      <c r="L788" t="str">
        <f t="shared" si="24"/>
        <v>"Northumberland County School Board"</v>
      </c>
      <c r="M788" t="s">
        <v>302</v>
      </c>
      <c r="N788" t="s">
        <v>303</v>
      </c>
      <c r="O788" s="4" t="s">
        <v>300</v>
      </c>
      <c r="P788" t="str">
        <f t="shared" si="25"/>
        <v>"40166"</v>
      </c>
    </row>
    <row r="789" spans="1:16" x14ac:dyDescent="0.2">
      <c r="A789" t="s">
        <v>301</v>
      </c>
      <c r="B789" s="5" t="s">
        <v>95</v>
      </c>
      <c r="C789" t="s">
        <v>301</v>
      </c>
      <c r="E789" s="4" t="s">
        <v>301</v>
      </c>
      <c r="F789">
        <v>40167</v>
      </c>
      <c r="G789" t="s">
        <v>301</v>
      </c>
      <c r="I789" t="s">
        <v>298</v>
      </c>
      <c r="J789" t="s">
        <v>299</v>
      </c>
      <c r="K789" s="4" t="s">
        <v>304</v>
      </c>
      <c r="L789" t="str">
        <f t="shared" si="24"/>
        <v>"Nottoway County School Board"</v>
      </c>
      <c r="M789" t="s">
        <v>302</v>
      </c>
      <c r="N789" t="s">
        <v>303</v>
      </c>
      <c r="O789" s="4" t="s">
        <v>300</v>
      </c>
      <c r="P789" t="str">
        <f t="shared" si="25"/>
        <v>"40167"</v>
      </c>
    </row>
    <row r="790" spans="1:16" x14ac:dyDescent="0.2">
      <c r="A790" t="s">
        <v>301</v>
      </c>
      <c r="B790" s="5" t="s">
        <v>96</v>
      </c>
      <c r="C790" t="s">
        <v>301</v>
      </c>
      <c r="E790" s="4" t="s">
        <v>301</v>
      </c>
      <c r="F790">
        <v>40168</v>
      </c>
      <c r="G790" t="s">
        <v>301</v>
      </c>
      <c r="I790" t="s">
        <v>298</v>
      </c>
      <c r="J790" t="s">
        <v>299</v>
      </c>
      <c r="K790" s="4" t="s">
        <v>304</v>
      </c>
      <c r="L790" t="str">
        <f t="shared" si="24"/>
        <v>"Orange County Public Schools"</v>
      </c>
      <c r="M790" t="s">
        <v>302</v>
      </c>
      <c r="N790" t="s">
        <v>303</v>
      </c>
      <c r="O790" s="4" t="s">
        <v>300</v>
      </c>
      <c r="P790" t="str">
        <f t="shared" si="25"/>
        <v>"40168"</v>
      </c>
    </row>
    <row r="791" spans="1:16" x14ac:dyDescent="0.2">
      <c r="A791" t="s">
        <v>301</v>
      </c>
      <c r="B791" s="5" t="s">
        <v>130</v>
      </c>
      <c r="C791" t="s">
        <v>301</v>
      </c>
      <c r="E791" s="4" t="s">
        <v>301</v>
      </c>
      <c r="F791">
        <v>40169</v>
      </c>
      <c r="G791" t="s">
        <v>301</v>
      </c>
      <c r="I791" t="s">
        <v>298</v>
      </c>
      <c r="J791" t="s">
        <v>299</v>
      </c>
      <c r="K791" s="4" t="s">
        <v>304</v>
      </c>
      <c r="L791" t="str">
        <f t="shared" si="24"/>
        <v>"Page County Public Schools"</v>
      </c>
      <c r="M791" t="s">
        <v>302</v>
      </c>
      <c r="N791" t="s">
        <v>303</v>
      </c>
      <c r="O791" s="4" t="s">
        <v>300</v>
      </c>
      <c r="P791" t="str">
        <f t="shared" si="25"/>
        <v>"40169"</v>
      </c>
    </row>
    <row r="792" spans="1:16" x14ac:dyDescent="0.2">
      <c r="A792" t="s">
        <v>301</v>
      </c>
      <c r="B792" s="5" t="s">
        <v>131</v>
      </c>
      <c r="C792" t="s">
        <v>301</v>
      </c>
      <c r="E792" s="4" t="s">
        <v>301</v>
      </c>
      <c r="F792">
        <v>40170</v>
      </c>
      <c r="G792" t="s">
        <v>301</v>
      </c>
      <c r="I792" t="s">
        <v>298</v>
      </c>
      <c r="J792" t="s">
        <v>299</v>
      </c>
      <c r="K792" s="4" t="s">
        <v>304</v>
      </c>
      <c r="L792" t="str">
        <f t="shared" si="24"/>
        <v>"Patrick County School Board"</v>
      </c>
      <c r="M792" t="s">
        <v>302</v>
      </c>
      <c r="N792" t="s">
        <v>303</v>
      </c>
      <c r="O792" s="4" t="s">
        <v>300</v>
      </c>
      <c r="P792" t="str">
        <f t="shared" si="25"/>
        <v>"40170"</v>
      </c>
    </row>
    <row r="793" spans="1:16" x14ac:dyDescent="0.2">
      <c r="A793" t="s">
        <v>301</v>
      </c>
      <c r="B793" s="5" t="s">
        <v>132</v>
      </c>
      <c r="C793" t="s">
        <v>301</v>
      </c>
      <c r="E793" s="4" t="s">
        <v>301</v>
      </c>
      <c r="F793">
        <v>40171</v>
      </c>
      <c r="G793" t="s">
        <v>301</v>
      </c>
      <c r="I793" t="s">
        <v>298</v>
      </c>
      <c r="J793" t="s">
        <v>299</v>
      </c>
      <c r="K793" s="4" t="s">
        <v>304</v>
      </c>
      <c r="L793" t="str">
        <f t="shared" si="24"/>
        <v>"Pittsylvania County School Board"</v>
      </c>
      <c r="M793" t="s">
        <v>302</v>
      </c>
      <c r="N793" t="s">
        <v>303</v>
      </c>
      <c r="O793" s="4" t="s">
        <v>300</v>
      </c>
      <c r="P793" t="str">
        <f t="shared" si="25"/>
        <v>"40171"</v>
      </c>
    </row>
    <row r="794" spans="1:16" x14ac:dyDescent="0.2">
      <c r="A794" t="s">
        <v>301</v>
      </c>
      <c r="B794" s="5" t="s">
        <v>133</v>
      </c>
      <c r="C794" t="s">
        <v>301</v>
      </c>
      <c r="E794" s="4" t="s">
        <v>301</v>
      </c>
      <c r="F794">
        <v>40172</v>
      </c>
      <c r="G794" t="s">
        <v>301</v>
      </c>
      <c r="I794" t="s">
        <v>298</v>
      </c>
      <c r="J794" t="s">
        <v>299</v>
      </c>
      <c r="K794" s="4" t="s">
        <v>304</v>
      </c>
      <c r="L794" t="str">
        <f t="shared" si="24"/>
        <v>"Powhatan County School Board"</v>
      </c>
      <c r="M794" t="s">
        <v>302</v>
      </c>
      <c r="N794" t="s">
        <v>303</v>
      </c>
      <c r="O794" s="4" t="s">
        <v>300</v>
      </c>
      <c r="P794" t="str">
        <f t="shared" si="25"/>
        <v>"40172"</v>
      </c>
    </row>
    <row r="795" spans="1:16" x14ac:dyDescent="0.2">
      <c r="A795" t="s">
        <v>301</v>
      </c>
      <c r="B795" s="5" t="s">
        <v>134</v>
      </c>
      <c r="C795" t="s">
        <v>301</v>
      </c>
      <c r="E795" s="4" t="s">
        <v>301</v>
      </c>
      <c r="F795">
        <v>40173</v>
      </c>
      <c r="G795" t="s">
        <v>301</v>
      </c>
      <c r="I795" t="s">
        <v>298</v>
      </c>
      <c r="J795" t="s">
        <v>299</v>
      </c>
      <c r="K795" s="4" t="s">
        <v>304</v>
      </c>
      <c r="L795" t="str">
        <f t="shared" si="24"/>
        <v>"Prince Edward County School Board"</v>
      </c>
      <c r="M795" t="s">
        <v>302</v>
      </c>
      <c r="N795" t="s">
        <v>303</v>
      </c>
      <c r="O795" s="4" t="s">
        <v>300</v>
      </c>
      <c r="P795" t="str">
        <f t="shared" si="25"/>
        <v>"40173"</v>
      </c>
    </row>
    <row r="796" spans="1:16" x14ac:dyDescent="0.2">
      <c r="A796" t="s">
        <v>301</v>
      </c>
      <c r="B796" s="5" t="s">
        <v>135</v>
      </c>
      <c r="C796" t="s">
        <v>301</v>
      </c>
      <c r="E796" s="4" t="s">
        <v>301</v>
      </c>
      <c r="F796">
        <v>40174</v>
      </c>
      <c r="G796" t="s">
        <v>301</v>
      </c>
      <c r="I796" t="s">
        <v>298</v>
      </c>
      <c r="J796" t="s">
        <v>299</v>
      </c>
      <c r="K796" s="4" t="s">
        <v>304</v>
      </c>
      <c r="L796" t="str">
        <f t="shared" si="24"/>
        <v>"Prince George County School Board"</v>
      </c>
      <c r="M796" t="s">
        <v>302</v>
      </c>
      <c r="N796" t="s">
        <v>303</v>
      </c>
      <c r="O796" s="4" t="s">
        <v>300</v>
      </c>
      <c r="P796" t="str">
        <f t="shared" si="25"/>
        <v>"40174"</v>
      </c>
    </row>
    <row r="797" spans="1:16" x14ac:dyDescent="0.2">
      <c r="A797" t="s">
        <v>301</v>
      </c>
      <c r="B797" s="5" t="s">
        <v>136</v>
      </c>
      <c r="C797" t="s">
        <v>301</v>
      </c>
      <c r="E797" s="4" t="s">
        <v>301</v>
      </c>
      <c r="F797">
        <v>40176</v>
      </c>
      <c r="G797" t="s">
        <v>301</v>
      </c>
      <c r="I797" t="s">
        <v>298</v>
      </c>
      <c r="J797" t="s">
        <v>299</v>
      </c>
      <c r="K797" s="4" t="s">
        <v>304</v>
      </c>
      <c r="L797" t="str">
        <f t="shared" si="24"/>
        <v>"Prince William County School Board"</v>
      </c>
      <c r="M797" t="s">
        <v>302</v>
      </c>
      <c r="N797" t="s">
        <v>303</v>
      </c>
      <c r="O797" s="4" t="s">
        <v>300</v>
      </c>
      <c r="P797" t="str">
        <f t="shared" si="25"/>
        <v>"40176"</v>
      </c>
    </row>
    <row r="798" spans="1:16" x14ac:dyDescent="0.2">
      <c r="A798" t="s">
        <v>301</v>
      </c>
      <c r="B798" s="5" t="s">
        <v>137</v>
      </c>
      <c r="C798" t="s">
        <v>301</v>
      </c>
      <c r="E798" s="4" t="s">
        <v>301</v>
      </c>
      <c r="F798">
        <v>40177</v>
      </c>
      <c r="G798" t="s">
        <v>301</v>
      </c>
      <c r="I798" t="s">
        <v>298</v>
      </c>
      <c r="J798" t="s">
        <v>299</v>
      </c>
      <c r="K798" s="4" t="s">
        <v>304</v>
      </c>
      <c r="L798" t="str">
        <f t="shared" si="24"/>
        <v>"Pulaski County School Board"</v>
      </c>
      <c r="M798" t="s">
        <v>302</v>
      </c>
      <c r="N798" t="s">
        <v>303</v>
      </c>
      <c r="O798" s="4" t="s">
        <v>300</v>
      </c>
      <c r="P798" t="str">
        <f t="shared" si="25"/>
        <v>"40177"</v>
      </c>
    </row>
    <row r="799" spans="1:16" x14ac:dyDescent="0.2">
      <c r="A799" t="s">
        <v>301</v>
      </c>
      <c r="B799" s="5" t="s">
        <v>138</v>
      </c>
      <c r="C799" t="s">
        <v>301</v>
      </c>
      <c r="E799" s="4" t="s">
        <v>301</v>
      </c>
      <c r="F799">
        <v>40178</v>
      </c>
      <c r="G799" t="s">
        <v>301</v>
      </c>
      <c r="I799" t="s">
        <v>298</v>
      </c>
      <c r="J799" t="s">
        <v>299</v>
      </c>
      <c r="K799" s="4" t="s">
        <v>304</v>
      </c>
      <c r="L799" t="str">
        <f t="shared" si="24"/>
        <v>"Rappahannock County School Board"</v>
      </c>
      <c r="M799" t="s">
        <v>302</v>
      </c>
      <c r="N799" t="s">
        <v>303</v>
      </c>
      <c r="O799" s="4" t="s">
        <v>300</v>
      </c>
      <c r="P799" t="str">
        <f t="shared" si="25"/>
        <v>"40178"</v>
      </c>
    </row>
    <row r="800" spans="1:16" x14ac:dyDescent="0.2">
      <c r="A800" t="s">
        <v>301</v>
      </c>
      <c r="B800" s="5" t="s">
        <v>139</v>
      </c>
      <c r="C800" t="s">
        <v>301</v>
      </c>
      <c r="E800" s="4" t="s">
        <v>301</v>
      </c>
      <c r="F800">
        <v>40179</v>
      </c>
      <c r="G800" t="s">
        <v>301</v>
      </c>
      <c r="I800" t="s">
        <v>298</v>
      </c>
      <c r="J800" t="s">
        <v>299</v>
      </c>
      <c r="K800" s="4" t="s">
        <v>304</v>
      </c>
      <c r="L800" t="str">
        <f t="shared" si="24"/>
        <v>"Richmond County School Board"</v>
      </c>
      <c r="M800" t="s">
        <v>302</v>
      </c>
      <c r="N800" t="s">
        <v>303</v>
      </c>
      <c r="O800" s="4" t="s">
        <v>300</v>
      </c>
      <c r="P800" t="str">
        <f t="shared" si="25"/>
        <v>"40179"</v>
      </c>
    </row>
    <row r="801" spans="1:16" x14ac:dyDescent="0.2">
      <c r="A801" t="s">
        <v>301</v>
      </c>
      <c r="B801" s="5" t="s">
        <v>140</v>
      </c>
      <c r="C801" t="s">
        <v>301</v>
      </c>
      <c r="E801" s="4" t="s">
        <v>301</v>
      </c>
      <c r="F801">
        <v>40180</v>
      </c>
      <c r="G801" t="s">
        <v>301</v>
      </c>
      <c r="I801" t="s">
        <v>298</v>
      </c>
      <c r="J801" t="s">
        <v>299</v>
      </c>
      <c r="K801" s="4" t="s">
        <v>304</v>
      </c>
      <c r="L801" t="str">
        <f t="shared" si="24"/>
        <v>"Roanoke County School Board"</v>
      </c>
      <c r="M801" t="s">
        <v>302</v>
      </c>
      <c r="N801" t="s">
        <v>303</v>
      </c>
      <c r="O801" s="4" t="s">
        <v>300</v>
      </c>
      <c r="P801" t="str">
        <f t="shared" si="25"/>
        <v>"40180"</v>
      </c>
    </row>
    <row r="802" spans="1:16" x14ac:dyDescent="0.2">
      <c r="A802" t="s">
        <v>301</v>
      </c>
      <c r="B802" s="5" t="s">
        <v>141</v>
      </c>
      <c r="C802" t="s">
        <v>301</v>
      </c>
      <c r="E802" s="4" t="s">
        <v>301</v>
      </c>
      <c r="F802">
        <v>40181</v>
      </c>
      <c r="G802" t="s">
        <v>301</v>
      </c>
      <c r="I802" t="s">
        <v>298</v>
      </c>
      <c r="J802" t="s">
        <v>299</v>
      </c>
      <c r="K802" s="4" t="s">
        <v>304</v>
      </c>
      <c r="L802" t="str">
        <f t="shared" si="24"/>
        <v>"Rockbridge County School Board"</v>
      </c>
      <c r="M802" t="s">
        <v>302</v>
      </c>
      <c r="N802" t="s">
        <v>303</v>
      </c>
      <c r="O802" s="4" t="s">
        <v>300</v>
      </c>
      <c r="P802" t="str">
        <f t="shared" si="25"/>
        <v>"40181"</v>
      </c>
    </row>
    <row r="803" spans="1:16" x14ac:dyDescent="0.2">
      <c r="A803" t="s">
        <v>301</v>
      </c>
      <c r="B803" s="5" t="s">
        <v>142</v>
      </c>
      <c r="C803" t="s">
        <v>301</v>
      </c>
      <c r="E803" s="4" t="s">
        <v>301</v>
      </c>
      <c r="F803">
        <v>40182</v>
      </c>
      <c r="G803" t="s">
        <v>301</v>
      </c>
      <c r="I803" t="s">
        <v>298</v>
      </c>
      <c r="J803" t="s">
        <v>299</v>
      </c>
      <c r="K803" s="4" t="s">
        <v>304</v>
      </c>
      <c r="L803" t="str">
        <f t="shared" si="24"/>
        <v>"Rockingham County School Board"</v>
      </c>
      <c r="M803" t="s">
        <v>302</v>
      </c>
      <c r="N803" t="s">
        <v>303</v>
      </c>
      <c r="O803" s="4" t="s">
        <v>300</v>
      </c>
      <c r="P803" t="str">
        <f t="shared" si="25"/>
        <v>"40182"</v>
      </c>
    </row>
    <row r="804" spans="1:16" x14ac:dyDescent="0.2">
      <c r="A804" t="s">
        <v>301</v>
      </c>
      <c r="B804" s="5" t="s">
        <v>143</v>
      </c>
      <c r="C804" t="s">
        <v>301</v>
      </c>
      <c r="E804" s="4" t="s">
        <v>301</v>
      </c>
      <c r="F804">
        <v>40183</v>
      </c>
      <c r="G804" t="s">
        <v>301</v>
      </c>
      <c r="I804" t="s">
        <v>298</v>
      </c>
      <c r="J804" t="s">
        <v>299</v>
      </c>
      <c r="K804" s="4" t="s">
        <v>304</v>
      </c>
      <c r="L804" t="str">
        <f t="shared" si="24"/>
        <v>"Russell County School Board"</v>
      </c>
      <c r="M804" t="s">
        <v>302</v>
      </c>
      <c r="N804" t="s">
        <v>303</v>
      </c>
      <c r="O804" s="4" t="s">
        <v>300</v>
      </c>
      <c r="P804" t="str">
        <f t="shared" si="25"/>
        <v>"40183"</v>
      </c>
    </row>
    <row r="805" spans="1:16" x14ac:dyDescent="0.2">
      <c r="A805" t="s">
        <v>301</v>
      </c>
      <c r="B805" s="5" t="s">
        <v>144</v>
      </c>
      <c r="C805" t="s">
        <v>301</v>
      </c>
      <c r="E805" s="4" t="s">
        <v>301</v>
      </c>
      <c r="F805">
        <v>40184</v>
      </c>
      <c r="G805" t="s">
        <v>301</v>
      </c>
      <c r="I805" t="s">
        <v>298</v>
      </c>
      <c r="J805" t="s">
        <v>299</v>
      </c>
      <c r="K805" s="4" t="s">
        <v>304</v>
      </c>
      <c r="L805" t="str">
        <f t="shared" si="24"/>
        <v>"Scott County School Board"</v>
      </c>
      <c r="M805" t="s">
        <v>302</v>
      </c>
      <c r="N805" t="s">
        <v>303</v>
      </c>
      <c r="O805" s="4" t="s">
        <v>300</v>
      </c>
      <c r="P805" t="str">
        <f t="shared" si="25"/>
        <v>"40184"</v>
      </c>
    </row>
    <row r="806" spans="1:16" x14ac:dyDescent="0.2">
      <c r="A806" t="s">
        <v>301</v>
      </c>
      <c r="B806" s="5" t="s">
        <v>145</v>
      </c>
      <c r="C806" t="s">
        <v>301</v>
      </c>
      <c r="E806" s="4" t="s">
        <v>301</v>
      </c>
      <c r="F806">
        <v>40185</v>
      </c>
      <c r="G806" t="s">
        <v>301</v>
      </c>
      <c r="I806" t="s">
        <v>298</v>
      </c>
      <c r="J806" t="s">
        <v>299</v>
      </c>
      <c r="K806" s="4" t="s">
        <v>304</v>
      </c>
      <c r="L806" t="str">
        <f t="shared" si="24"/>
        <v>"Shenandoah County School Board"</v>
      </c>
      <c r="M806" t="s">
        <v>302</v>
      </c>
      <c r="N806" t="s">
        <v>303</v>
      </c>
      <c r="O806" s="4" t="s">
        <v>300</v>
      </c>
      <c r="P806" t="str">
        <f t="shared" si="25"/>
        <v>"40185"</v>
      </c>
    </row>
    <row r="807" spans="1:16" x14ac:dyDescent="0.2">
      <c r="A807" t="s">
        <v>301</v>
      </c>
      <c r="B807" s="5" t="s">
        <v>146</v>
      </c>
      <c r="C807" t="s">
        <v>301</v>
      </c>
      <c r="E807" s="4" t="s">
        <v>301</v>
      </c>
      <c r="F807">
        <v>40186</v>
      </c>
      <c r="G807" t="s">
        <v>301</v>
      </c>
      <c r="I807" t="s">
        <v>298</v>
      </c>
      <c r="J807" t="s">
        <v>299</v>
      </c>
      <c r="K807" s="4" t="s">
        <v>304</v>
      </c>
      <c r="L807" t="str">
        <f t="shared" si="24"/>
        <v>"Smyth County School Board"</v>
      </c>
      <c r="M807" t="s">
        <v>302</v>
      </c>
      <c r="N807" t="s">
        <v>303</v>
      </c>
      <c r="O807" s="4" t="s">
        <v>300</v>
      </c>
      <c r="P807" t="str">
        <f t="shared" si="25"/>
        <v>"40186"</v>
      </c>
    </row>
    <row r="808" spans="1:16" x14ac:dyDescent="0.2">
      <c r="A808" t="s">
        <v>301</v>
      </c>
      <c r="B808" s="5" t="s">
        <v>147</v>
      </c>
      <c r="C808" t="s">
        <v>301</v>
      </c>
      <c r="E808" s="4" t="s">
        <v>301</v>
      </c>
      <c r="F808">
        <v>40187</v>
      </c>
      <c r="G808" t="s">
        <v>301</v>
      </c>
      <c r="I808" t="s">
        <v>298</v>
      </c>
      <c r="J808" t="s">
        <v>299</v>
      </c>
      <c r="K808" s="4" t="s">
        <v>304</v>
      </c>
      <c r="L808" t="str">
        <f t="shared" si="24"/>
        <v>"Southampton County School Board"</v>
      </c>
      <c r="M808" t="s">
        <v>302</v>
      </c>
      <c r="N808" t="s">
        <v>303</v>
      </c>
      <c r="O808" s="4" t="s">
        <v>300</v>
      </c>
      <c r="P808" t="str">
        <f t="shared" si="25"/>
        <v>"40187"</v>
      </c>
    </row>
    <row r="809" spans="1:16" x14ac:dyDescent="0.2">
      <c r="A809" t="s">
        <v>301</v>
      </c>
      <c r="B809" s="5" t="s">
        <v>148</v>
      </c>
      <c r="C809" t="s">
        <v>301</v>
      </c>
      <c r="E809" s="4" t="s">
        <v>301</v>
      </c>
      <c r="F809">
        <v>40188</v>
      </c>
      <c r="G809" t="s">
        <v>301</v>
      </c>
      <c r="I809" t="s">
        <v>298</v>
      </c>
      <c r="J809" t="s">
        <v>299</v>
      </c>
      <c r="K809" s="4" t="s">
        <v>304</v>
      </c>
      <c r="L809" t="str">
        <f t="shared" si="24"/>
        <v>"Spotsylvania County School Board"</v>
      </c>
      <c r="M809" t="s">
        <v>302</v>
      </c>
      <c r="N809" t="s">
        <v>303</v>
      </c>
      <c r="O809" s="4" t="s">
        <v>300</v>
      </c>
      <c r="P809" t="str">
        <f t="shared" si="25"/>
        <v>"40188"</v>
      </c>
    </row>
    <row r="810" spans="1:16" x14ac:dyDescent="0.2">
      <c r="A810" t="s">
        <v>301</v>
      </c>
      <c r="B810" s="5" t="s">
        <v>149</v>
      </c>
      <c r="C810" t="s">
        <v>301</v>
      </c>
      <c r="E810" s="4" t="s">
        <v>301</v>
      </c>
      <c r="F810">
        <v>40189</v>
      </c>
      <c r="G810" t="s">
        <v>301</v>
      </c>
      <c r="I810" t="s">
        <v>298</v>
      </c>
      <c r="J810" t="s">
        <v>299</v>
      </c>
      <c r="K810" s="4" t="s">
        <v>304</v>
      </c>
      <c r="L810" t="str">
        <f t="shared" si="24"/>
        <v>"Stafford County School Board"</v>
      </c>
      <c r="M810" t="s">
        <v>302</v>
      </c>
      <c r="N810" t="s">
        <v>303</v>
      </c>
      <c r="O810" s="4" t="s">
        <v>300</v>
      </c>
      <c r="P810" t="str">
        <f t="shared" si="25"/>
        <v>"40189"</v>
      </c>
    </row>
    <row r="811" spans="1:16" x14ac:dyDescent="0.2">
      <c r="A811" t="s">
        <v>301</v>
      </c>
      <c r="B811" s="5" t="s">
        <v>150</v>
      </c>
      <c r="C811" t="s">
        <v>301</v>
      </c>
      <c r="E811" s="4" t="s">
        <v>301</v>
      </c>
      <c r="F811">
        <v>40190</v>
      </c>
      <c r="G811" t="s">
        <v>301</v>
      </c>
      <c r="I811" t="s">
        <v>298</v>
      </c>
      <c r="J811" t="s">
        <v>299</v>
      </c>
      <c r="K811" s="4" t="s">
        <v>304</v>
      </c>
      <c r="L811" t="str">
        <f t="shared" si="24"/>
        <v>"Surry County Schools"</v>
      </c>
      <c r="M811" t="s">
        <v>302</v>
      </c>
      <c r="N811" t="s">
        <v>303</v>
      </c>
      <c r="O811" s="4" t="s">
        <v>300</v>
      </c>
      <c r="P811" t="str">
        <f t="shared" si="25"/>
        <v>"40190"</v>
      </c>
    </row>
    <row r="812" spans="1:16" x14ac:dyDescent="0.2">
      <c r="A812" t="s">
        <v>301</v>
      </c>
      <c r="B812" s="5" t="s">
        <v>151</v>
      </c>
      <c r="C812" t="s">
        <v>301</v>
      </c>
      <c r="E812" s="4" t="s">
        <v>301</v>
      </c>
      <c r="F812">
        <v>40191</v>
      </c>
      <c r="G812" t="s">
        <v>301</v>
      </c>
      <c r="I812" t="s">
        <v>298</v>
      </c>
      <c r="J812" t="s">
        <v>299</v>
      </c>
      <c r="K812" s="4" t="s">
        <v>304</v>
      </c>
      <c r="L812" t="str">
        <f t="shared" si="24"/>
        <v>"Sussex County School Board"</v>
      </c>
      <c r="M812" t="s">
        <v>302</v>
      </c>
      <c r="N812" t="s">
        <v>303</v>
      </c>
      <c r="O812" s="4" t="s">
        <v>300</v>
      </c>
      <c r="P812" t="str">
        <f t="shared" si="25"/>
        <v>"40191"</v>
      </c>
    </row>
    <row r="813" spans="1:16" x14ac:dyDescent="0.2">
      <c r="A813" t="s">
        <v>301</v>
      </c>
      <c r="B813" s="5" t="s">
        <v>152</v>
      </c>
      <c r="C813" t="s">
        <v>301</v>
      </c>
      <c r="E813" s="4" t="s">
        <v>301</v>
      </c>
      <c r="F813">
        <v>40192</v>
      </c>
      <c r="G813" t="s">
        <v>301</v>
      </c>
      <c r="I813" t="s">
        <v>298</v>
      </c>
      <c r="J813" t="s">
        <v>299</v>
      </c>
      <c r="K813" s="4" t="s">
        <v>304</v>
      </c>
      <c r="L813" t="str">
        <f t="shared" si="24"/>
        <v>"Tazewell County Schools"</v>
      </c>
      <c r="M813" t="s">
        <v>302</v>
      </c>
      <c r="N813" t="s">
        <v>303</v>
      </c>
      <c r="O813" s="4" t="s">
        <v>300</v>
      </c>
      <c r="P813" t="str">
        <f t="shared" si="25"/>
        <v>"40192"</v>
      </c>
    </row>
    <row r="814" spans="1:16" x14ac:dyDescent="0.2">
      <c r="A814" t="s">
        <v>301</v>
      </c>
      <c r="B814" s="5" t="s">
        <v>153</v>
      </c>
      <c r="C814" t="s">
        <v>301</v>
      </c>
      <c r="E814" s="4" t="s">
        <v>301</v>
      </c>
      <c r="F814">
        <v>40193</v>
      </c>
      <c r="G814" t="s">
        <v>301</v>
      </c>
      <c r="I814" t="s">
        <v>298</v>
      </c>
      <c r="J814" t="s">
        <v>299</v>
      </c>
      <c r="K814" s="4" t="s">
        <v>304</v>
      </c>
      <c r="L814" t="str">
        <f t="shared" si="24"/>
        <v>"Warren County School Board"</v>
      </c>
      <c r="M814" t="s">
        <v>302</v>
      </c>
      <c r="N814" t="s">
        <v>303</v>
      </c>
      <c r="O814" s="4" t="s">
        <v>300</v>
      </c>
      <c r="P814" t="str">
        <f t="shared" si="25"/>
        <v>"40193"</v>
      </c>
    </row>
    <row r="815" spans="1:16" x14ac:dyDescent="0.2">
      <c r="A815" t="s">
        <v>301</v>
      </c>
      <c r="B815" s="5" t="s">
        <v>154</v>
      </c>
      <c r="C815" t="s">
        <v>301</v>
      </c>
      <c r="E815" s="4" t="s">
        <v>301</v>
      </c>
      <c r="F815">
        <v>40195</v>
      </c>
      <c r="G815" t="s">
        <v>301</v>
      </c>
      <c r="I815" t="s">
        <v>298</v>
      </c>
      <c r="J815" t="s">
        <v>299</v>
      </c>
      <c r="K815" s="4" t="s">
        <v>304</v>
      </c>
      <c r="L815" t="str">
        <f t="shared" si="24"/>
        <v>"Washington County School Board"</v>
      </c>
      <c r="M815" t="s">
        <v>302</v>
      </c>
      <c r="N815" t="s">
        <v>303</v>
      </c>
      <c r="O815" s="4" t="s">
        <v>300</v>
      </c>
      <c r="P815" t="str">
        <f t="shared" si="25"/>
        <v>"40195"</v>
      </c>
    </row>
    <row r="816" spans="1:16" x14ac:dyDescent="0.2">
      <c r="A816" t="s">
        <v>301</v>
      </c>
      <c r="B816" s="5" t="s">
        <v>155</v>
      </c>
      <c r="C816" t="s">
        <v>301</v>
      </c>
      <c r="E816" s="4" t="s">
        <v>301</v>
      </c>
      <c r="F816">
        <v>40196</v>
      </c>
      <c r="G816" t="s">
        <v>301</v>
      </c>
      <c r="I816" t="s">
        <v>298</v>
      </c>
      <c r="J816" t="s">
        <v>299</v>
      </c>
      <c r="K816" s="4" t="s">
        <v>304</v>
      </c>
      <c r="L816" t="str">
        <f t="shared" si="24"/>
        <v>"Westmoreland County School Board"</v>
      </c>
      <c r="M816" t="s">
        <v>302</v>
      </c>
      <c r="N816" t="s">
        <v>303</v>
      </c>
      <c r="O816" s="4" t="s">
        <v>300</v>
      </c>
      <c r="P816" t="str">
        <f t="shared" si="25"/>
        <v>"40196"</v>
      </c>
    </row>
    <row r="817" spans="1:16" x14ac:dyDescent="0.2">
      <c r="A817" t="s">
        <v>301</v>
      </c>
      <c r="B817" s="5" t="s">
        <v>156</v>
      </c>
      <c r="C817" t="s">
        <v>301</v>
      </c>
      <c r="E817" s="4" t="s">
        <v>301</v>
      </c>
      <c r="F817">
        <v>40197</v>
      </c>
      <c r="G817" t="s">
        <v>301</v>
      </c>
      <c r="I817" t="s">
        <v>298</v>
      </c>
      <c r="J817" t="s">
        <v>299</v>
      </c>
      <c r="K817" s="4" t="s">
        <v>304</v>
      </c>
      <c r="L817" t="str">
        <f t="shared" si="24"/>
        <v>"Wise County School Board"</v>
      </c>
      <c r="M817" t="s">
        <v>302</v>
      </c>
      <c r="N817" t="s">
        <v>303</v>
      </c>
      <c r="O817" s="4" t="s">
        <v>300</v>
      </c>
      <c r="P817" t="str">
        <f t="shared" si="25"/>
        <v>"40197"</v>
      </c>
    </row>
    <row r="818" spans="1:16" x14ac:dyDescent="0.2">
      <c r="A818" t="s">
        <v>301</v>
      </c>
      <c r="B818" s="5" t="s">
        <v>157</v>
      </c>
      <c r="C818" t="s">
        <v>301</v>
      </c>
      <c r="E818" s="4" t="s">
        <v>301</v>
      </c>
      <c r="F818">
        <v>40198</v>
      </c>
      <c r="G818" t="s">
        <v>301</v>
      </c>
      <c r="I818" t="s">
        <v>298</v>
      </c>
      <c r="J818" t="s">
        <v>299</v>
      </c>
      <c r="K818" s="4" t="s">
        <v>304</v>
      </c>
      <c r="L818" t="str">
        <f t="shared" si="24"/>
        <v>"Wythe County School Board"</v>
      </c>
      <c r="M818" t="s">
        <v>302</v>
      </c>
      <c r="N818" t="s">
        <v>303</v>
      </c>
      <c r="O818" s="4" t="s">
        <v>300</v>
      </c>
      <c r="P818" t="str">
        <f t="shared" si="25"/>
        <v>"40198"</v>
      </c>
    </row>
    <row r="819" spans="1:16" x14ac:dyDescent="0.2">
      <c r="A819" t="s">
        <v>301</v>
      </c>
      <c r="B819" s="5" t="s">
        <v>158</v>
      </c>
      <c r="C819" t="s">
        <v>301</v>
      </c>
      <c r="E819" s="4" t="s">
        <v>301</v>
      </c>
      <c r="F819">
        <v>40199</v>
      </c>
      <c r="G819" t="s">
        <v>301</v>
      </c>
      <c r="I819" t="s">
        <v>298</v>
      </c>
      <c r="J819" t="s">
        <v>299</v>
      </c>
      <c r="K819" s="4" t="s">
        <v>304</v>
      </c>
      <c r="L819" t="str">
        <f t="shared" si="24"/>
        <v>"York County School Board"</v>
      </c>
      <c r="M819" t="s">
        <v>302</v>
      </c>
      <c r="N819" t="s">
        <v>303</v>
      </c>
      <c r="O819" s="4" t="s">
        <v>300</v>
      </c>
      <c r="P819" t="str">
        <f t="shared" si="25"/>
        <v>"40199"</v>
      </c>
    </row>
    <row r="820" spans="1:16" x14ac:dyDescent="0.2">
      <c r="A820" t="s">
        <v>301</v>
      </c>
      <c r="B820" s="5" t="s">
        <v>159</v>
      </c>
      <c r="C820" t="s">
        <v>301</v>
      </c>
      <c r="E820" s="4" t="s">
        <v>301</v>
      </c>
      <c r="F820">
        <v>40200</v>
      </c>
      <c r="G820" t="s">
        <v>301</v>
      </c>
      <c r="I820" t="s">
        <v>298</v>
      </c>
      <c r="J820" t="s">
        <v>299</v>
      </c>
      <c r="K820" s="4" t="s">
        <v>304</v>
      </c>
      <c r="L820" t="str">
        <f t="shared" si="24"/>
        <v>"Alexandria City School Board"</v>
      </c>
      <c r="M820" t="s">
        <v>302</v>
      </c>
      <c r="N820" t="s">
        <v>303</v>
      </c>
      <c r="O820" s="4" t="s">
        <v>300</v>
      </c>
      <c r="P820" t="str">
        <f t="shared" si="25"/>
        <v>"40200"</v>
      </c>
    </row>
    <row r="821" spans="1:16" x14ac:dyDescent="0.2">
      <c r="A821" t="s">
        <v>301</v>
      </c>
      <c r="B821" s="5" t="s">
        <v>160</v>
      </c>
      <c r="C821" t="s">
        <v>301</v>
      </c>
      <c r="E821" s="4" t="s">
        <v>301</v>
      </c>
      <c r="F821">
        <v>40201</v>
      </c>
      <c r="G821" t="s">
        <v>301</v>
      </c>
      <c r="I821" t="s">
        <v>298</v>
      </c>
      <c r="J821" t="s">
        <v>299</v>
      </c>
      <c r="K821" s="4" t="s">
        <v>304</v>
      </c>
      <c r="L821" t="str">
        <f t="shared" si="24"/>
        <v>"Bristol City School Board"</v>
      </c>
      <c r="M821" t="s">
        <v>302</v>
      </c>
      <c r="N821" t="s">
        <v>303</v>
      </c>
      <c r="O821" s="4" t="s">
        <v>300</v>
      </c>
      <c r="P821" t="str">
        <f t="shared" si="25"/>
        <v>"40201"</v>
      </c>
    </row>
    <row r="822" spans="1:16" x14ac:dyDescent="0.2">
      <c r="A822" t="s">
        <v>301</v>
      </c>
      <c r="B822" s="5" t="s">
        <v>161</v>
      </c>
      <c r="C822" t="s">
        <v>301</v>
      </c>
      <c r="E822" s="4" t="s">
        <v>301</v>
      </c>
      <c r="F822">
        <v>40202</v>
      </c>
      <c r="G822" t="s">
        <v>301</v>
      </c>
      <c r="I822" t="s">
        <v>298</v>
      </c>
      <c r="J822" t="s">
        <v>299</v>
      </c>
      <c r="K822" s="4" t="s">
        <v>304</v>
      </c>
      <c r="L822" t="str">
        <f t="shared" si="24"/>
        <v>"Buena Vista City Schools"</v>
      </c>
      <c r="M822" t="s">
        <v>302</v>
      </c>
      <c r="N822" t="s">
        <v>303</v>
      </c>
      <c r="O822" s="4" t="s">
        <v>300</v>
      </c>
      <c r="P822" t="str">
        <f t="shared" si="25"/>
        <v>"40202"</v>
      </c>
    </row>
    <row r="823" spans="1:16" x14ac:dyDescent="0.2">
      <c r="A823" t="s">
        <v>301</v>
      </c>
      <c r="B823" s="5" t="s">
        <v>162</v>
      </c>
      <c r="C823" t="s">
        <v>301</v>
      </c>
      <c r="E823" s="4" t="s">
        <v>301</v>
      </c>
      <c r="F823">
        <v>40203</v>
      </c>
      <c r="G823" t="s">
        <v>301</v>
      </c>
      <c r="I823" t="s">
        <v>298</v>
      </c>
      <c r="J823" t="s">
        <v>299</v>
      </c>
      <c r="K823" s="4" t="s">
        <v>304</v>
      </c>
      <c r="L823" t="str">
        <f t="shared" si="24"/>
        <v>"Charlottesville Public Schools"</v>
      </c>
      <c r="M823" t="s">
        <v>302</v>
      </c>
      <c r="N823" t="s">
        <v>303</v>
      </c>
      <c r="O823" s="4" t="s">
        <v>300</v>
      </c>
      <c r="P823" t="str">
        <f t="shared" si="25"/>
        <v>"40203"</v>
      </c>
    </row>
    <row r="824" spans="1:16" x14ac:dyDescent="0.2">
      <c r="A824" t="s">
        <v>301</v>
      </c>
      <c r="B824" s="5" t="s">
        <v>196</v>
      </c>
      <c r="C824" t="s">
        <v>301</v>
      </c>
      <c r="E824" s="4" t="s">
        <v>301</v>
      </c>
      <c r="F824">
        <v>40205</v>
      </c>
      <c r="G824" t="s">
        <v>301</v>
      </c>
      <c r="I824" t="s">
        <v>298</v>
      </c>
      <c r="J824" t="s">
        <v>299</v>
      </c>
      <c r="K824" s="4" t="s">
        <v>304</v>
      </c>
      <c r="L824" t="str">
        <f t="shared" si="24"/>
        <v>"Danville City Schools"</v>
      </c>
      <c r="M824" t="s">
        <v>302</v>
      </c>
      <c r="N824" t="s">
        <v>303</v>
      </c>
      <c r="O824" s="4" t="s">
        <v>300</v>
      </c>
      <c r="P824" t="str">
        <f t="shared" si="25"/>
        <v>"40205"</v>
      </c>
    </row>
    <row r="825" spans="1:16" x14ac:dyDescent="0.2">
      <c r="A825" t="s">
        <v>301</v>
      </c>
      <c r="B825" s="5" t="s">
        <v>197</v>
      </c>
      <c r="C825" t="s">
        <v>301</v>
      </c>
      <c r="E825" s="4" t="s">
        <v>301</v>
      </c>
      <c r="F825">
        <v>40206</v>
      </c>
      <c r="G825" t="s">
        <v>301</v>
      </c>
      <c r="I825" t="s">
        <v>298</v>
      </c>
      <c r="J825" t="s">
        <v>299</v>
      </c>
      <c r="K825" s="4" t="s">
        <v>304</v>
      </c>
      <c r="L825" t="str">
        <f t="shared" si="24"/>
        <v>"Fredericksburg City Schools"</v>
      </c>
      <c r="M825" t="s">
        <v>302</v>
      </c>
      <c r="N825" t="s">
        <v>303</v>
      </c>
      <c r="O825" s="4" t="s">
        <v>300</v>
      </c>
      <c r="P825" t="str">
        <f t="shared" si="25"/>
        <v>"40206"</v>
      </c>
    </row>
    <row r="826" spans="1:16" x14ac:dyDescent="0.2">
      <c r="A826" t="s">
        <v>301</v>
      </c>
      <c r="B826" s="5" t="s">
        <v>198</v>
      </c>
      <c r="C826" t="s">
        <v>301</v>
      </c>
      <c r="E826" s="4" t="s">
        <v>301</v>
      </c>
      <c r="F826">
        <v>40207</v>
      </c>
      <c r="G826" t="s">
        <v>301</v>
      </c>
      <c r="I826" t="s">
        <v>298</v>
      </c>
      <c r="J826" t="s">
        <v>299</v>
      </c>
      <c r="K826" s="4" t="s">
        <v>304</v>
      </c>
      <c r="L826" t="str">
        <f t="shared" si="24"/>
        <v>"Hampton City Schools"</v>
      </c>
      <c r="M826" t="s">
        <v>302</v>
      </c>
      <c r="N826" t="s">
        <v>303</v>
      </c>
      <c r="O826" s="4" t="s">
        <v>300</v>
      </c>
      <c r="P826" t="str">
        <f t="shared" si="25"/>
        <v>"40207"</v>
      </c>
    </row>
    <row r="827" spans="1:16" x14ac:dyDescent="0.2">
      <c r="A827" t="s">
        <v>301</v>
      </c>
      <c r="B827" s="5" t="s">
        <v>199</v>
      </c>
      <c r="C827" t="s">
        <v>301</v>
      </c>
      <c r="E827" s="4" t="s">
        <v>301</v>
      </c>
      <c r="F827">
        <v>40208</v>
      </c>
      <c r="G827" t="s">
        <v>301</v>
      </c>
      <c r="I827" t="s">
        <v>298</v>
      </c>
      <c r="J827" t="s">
        <v>299</v>
      </c>
      <c r="K827" s="4" t="s">
        <v>304</v>
      </c>
      <c r="L827" t="str">
        <f t="shared" si="24"/>
        <v>"Harrisonburg City School Board"</v>
      </c>
      <c r="M827" t="s">
        <v>302</v>
      </c>
      <c r="N827" t="s">
        <v>303</v>
      </c>
      <c r="O827" s="4" t="s">
        <v>300</v>
      </c>
      <c r="P827" t="str">
        <f t="shared" si="25"/>
        <v>"40208"</v>
      </c>
    </row>
    <row r="828" spans="1:16" x14ac:dyDescent="0.2">
      <c r="A828" t="s">
        <v>301</v>
      </c>
      <c r="B828" s="5" t="s">
        <v>200</v>
      </c>
      <c r="C828" t="s">
        <v>301</v>
      </c>
      <c r="E828" s="4" t="s">
        <v>301</v>
      </c>
      <c r="F828">
        <v>40209</v>
      </c>
      <c r="G828" t="s">
        <v>301</v>
      </c>
      <c r="I828" t="s">
        <v>298</v>
      </c>
      <c r="J828" t="s">
        <v>299</v>
      </c>
      <c r="K828" s="4" t="s">
        <v>304</v>
      </c>
      <c r="L828" t="str">
        <f t="shared" si="24"/>
        <v>"Hopewell City School Board"</v>
      </c>
      <c r="M828" t="s">
        <v>302</v>
      </c>
      <c r="N828" t="s">
        <v>303</v>
      </c>
      <c r="O828" s="4" t="s">
        <v>300</v>
      </c>
      <c r="P828" t="str">
        <f t="shared" si="25"/>
        <v>"40209"</v>
      </c>
    </row>
    <row r="829" spans="1:16" x14ac:dyDescent="0.2">
      <c r="A829" t="s">
        <v>301</v>
      </c>
      <c r="B829" s="5" t="s">
        <v>201</v>
      </c>
      <c r="C829" t="s">
        <v>301</v>
      </c>
      <c r="E829" s="4" t="s">
        <v>301</v>
      </c>
      <c r="F829">
        <v>40210</v>
      </c>
      <c r="G829" t="s">
        <v>301</v>
      </c>
      <c r="I829" t="s">
        <v>298</v>
      </c>
      <c r="J829" t="s">
        <v>299</v>
      </c>
      <c r="K829" s="4" t="s">
        <v>304</v>
      </c>
      <c r="L829" t="str">
        <f t="shared" si="24"/>
        <v>"Lynchburg Public Schools"</v>
      </c>
      <c r="M829" t="s">
        <v>302</v>
      </c>
      <c r="N829" t="s">
        <v>303</v>
      </c>
      <c r="O829" s="4" t="s">
        <v>300</v>
      </c>
      <c r="P829" t="str">
        <f t="shared" si="25"/>
        <v>"40210"</v>
      </c>
    </row>
    <row r="830" spans="1:16" x14ac:dyDescent="0.2">
      <c r="A830" t="s">
        <v>301</v>
      </c>
      <c r="B830" s="5" t="s">
        <v>202</v>
      </c>
      <c r="C830" t="s">
        <v>301</v>
      </c>
      <c r="E830" s="4" t="s">
        <v>301</v>
      </c>
      <c r="F830">
        <v>40211</v>
      </c>
      <c r="G830" t="s">
        <v>301</v>
      </c>
      <c r="I830" t="s">
        <v>298</v>
      </c>
      <c r="J830" t="s">
        <v>299</v>
      </c>
      <c r="K830" s="4" t="s">
        <v>304</v>
      </c>
      <c r="L830" t="str">
        <f t="shared" si="24"/>
        <v>"Newport News Public Schools"</v>
      </c>
      <c r="M830" t="s">
        <v>302</v>
      </c>
      <c r="N830" t="s">
        <v>303</v>
      </c>
      <c r="O830" s="4" t="s">
        <v>300</v>
      </c>
      <c r="P830" t="str">
        <f t="shared" si="25"/>
        <v>"40211"</v>
      </c>
    </row>
    <row r="831" spans="1:16" x14ac:dyDescent="0.2">
      <c r="A831" t="s">
        <v>301</v>
      </c>
      <c r="B831" s="5" t="s">
        <v>203</v>
      </c>
      <c r="C831" t="s">
        <v>301</v>
      </c>
      <c r="E831" s="4" t="s">
        <v>301</v>
      </c>
      <c r="F831">
        <v>40212</v>
      </c>
      <c r="G831" t="s">
        <v>301</v>
      </c>
      <c r="I831" t="s">
        <v>298</v>
      </c>
      <c r="J831" t="s">
        <v>299</v>
      </c>
      <c r="K831" s="4" t="s">
        <v>304</v>
      </c>
      <c r="L831" t="str">
        <f t="shared" si="24"/>
        <v>"Norfolk Public Schools"</v>
      </c>
      <c r="M831" t="s">
        <v>302</v>
      </c>
      <c r="N831" t="s">
        <v>303</v>
      </c>
      <c r="O831" s="4" t="s">
        <v>300</v>
      </c>
      <c r="P831" t="str">
        <f t="shared" si="25"/>
        <v>"40212"</v>
      </c>
    </row>
    <row r="832" spans="1:16" x14ac:dyDescent="0.2">
      <c r="A832" t="s">
        <v>301</v>
      </c>
      <c r="B832" s="5" t="s">
        <v>204</v>
      </c>
      <c r="C832" t="s">
        <v>301</v>
      </c>
      <c r="E832" s="4" t="s">
        <v>301</v>
      </c>
      <c r="F832">
        <v>40213</v>
      </c>
      <c r="G832" t="s">
        <v>301</v>
      </c>
      <c r="I832" t="s">
        <v>298</v>
      </c>
      <c r="J832" t="s">
        <v>299</v>
      </c>
      <c r="K832" s="4" t="s">
        <v>304</v>
      </c>
      <c r="L832" t="str">
        <f t="shared" si="24"/>
        <v>"Petersburg City Schools"</v>
      </c>
      <c r="M832" t="s">
        <v>302</v>
      </c>
      <c r="N832" t="s">
        <v>303</v>
      </c>
      <c r="O832" s="4" t="s">
        <v>300</v>
      </c>
      <c r="P832" t="str">
        <f t="shared" si="25"/>
        <v>"40213"</v>
      </c>
    </row>
    <row r="833" spans="1:16" x14ac:dyDescent="0.2">
      <c r="A833" t="s">
        <v>301</v>
      </c>
      <c r="B833" s="5" t="s">
        <v>205</v>
      </c>
      <c r="C833" t="s">
        <v>301</v>
      </c>
      <c r="E833" s="4" t="s">
        <v>301</v>
      </c>
      <c r="F833">
        <v>40214</v>
      </c>
      <c r="G833" t="s">
        <v>301</v>
      </c>
      <c r="I833" t="s">
        <v>298</v>
      </c>
      <c r="J833" t="s">
        <v>299</v>
      </c>
      <c r="K833" s="4" t="s">
        <v>304</v>
      </c>
      <c r="L833" t="str">
        <f t="shared" si="24"/>
        <v>"Portsmouth School Board"</v>
      </c>
      <c r="M833" t="s">
        <v>302</v>
      </c>
      <c r="N833" t="s">
        <v>303</v>
      </c>
      <c r="O833" s="4" t="s">
        <v>300</v>
      </c>
      <c r="P833" t="str">
        <f t="shared" si="25"/>
        <v>"40214"</v>
      </c>
    </row>
    <row r="834" spans="1:16" x14ac:dyDescent="0.2">
      <c r="A834" t="s">
        <v>301</v>
      </c>
      <c r="B834" s="5" t="s">
        <v>206</v>
      </c>
      <c r="C834" t="s">
        <v>301</v>
      </c>
      <c r="E834" s="4" t="s">
        <v>301</v>
      </c>
      <c r="F834">
        <v>40215</v>
      </c>
      <c r="G834" t="s">
        <v>301</v>
      </c>
      <c r="I834" t="s">
        <v>298</v>
      </c>
      <c r="J834" t="s">
        <v>299</v>
      </c>
      <c r="K834" s="4" t="s">
        <v>304</v>
      </c>
      <c r="L834" t="str">
        <f t="shared" ref="L834:L897" si="26">_xlfn.TEXTJOIN("",TRUE,A834:C834)</f>
        <v>"Radford City School Board"</v>
      </c>
      <c r="M834" t="s">
        <v>302</v>
      </c>
      <c r="N834" t="s">
        <v>303</v>
      </c>
      <c r="O834" s="4" t="s">
        <v>300</v>
      </c>
      <c r="P834" t="str">
        <f t="shared" ref="P834:P897" si="27">_xlfn.TEXTJOIN("",TRUE,E834:G834)</f>
        <v>"40215"</v>
      </c>
    </row>
    <row r="835" spans="1:16" x14ac:dyDescent="0.2">
      <c r="A835" t="s">
        <v>301</v>
      </c>
      <c r="B835" s="5" t="s">
        <v>207</v>
      </c>
      <c r="C835" t="s">
        <v>301</v>
      </c>
      <c r="E835" s="4" t="s">
        <v>301</v>
      </c>
      <c r="F835">
        <v>40216</v>
      </c>
      <c r="G835" t="s">
        <v>301</v>
      </c>
      <c r="I835" t="s">
        <v>298</v>
      </c>
      <c r="J835" t="s">
        <v>299</v>
      </c>
      <c r="K835" s="4" t="s">
        <v>304</v>
      </c>
      <c r="L835" t="str">
        <f t="shared" si="26"/>
        <v>"Richmond Public Schools"</v>
      </c>
      <c r="M835" t="s">
        <v>302</v>
      </c>
      <c r="N835" t="s">
        <v>303</v>
      </c>
      <c r="O835" s="4" t="s">
        <v>300</v>
      </c>
      <c r="P835" t="str">
        <f t="shared" si="27"/>
        <v>"40216"</v>
      </c>
    </row>
    <row r="836" spans="1:16" x14ac:dyDescent="0.2">
      <c r="A836" t="s">
        <v>301</v>
      </c>
      <c r="B836" s="5" t="s">
        <v>208</v>
      </c>
      <c r="C836" t="s">
        <v>301</v>
      </c>
      <c r="E836" s="4" t="s">
        <v>301</v>
      </c>
      <c r="F836">
        <v>40217</v>
      </c>
      <c r="G836" t="s">
        <v>301</v>
      </c>
      <c r="I836" t="s">
        <v>298</v>
      </c>
      <c r="J836" t="s">
        <v>299</v>
      </c>
      <c r="K836" s="4" t="s">
        <v>304</v>
      </c>
      <c r="L836" t="str">
        <f t="shared" si="26"/>
        <v>"Roanoke City School Board"</v>
      </c>
      <c r="M836" t="s">
        <v>302</v>
      </c>
      <c r="N836" t="s">
        <v>303</v>
      </c>
      <c r="O836" s="4" t="s">
        <v>300</v>
      </c>
      <c r="P836" t="str">
        <f t="shared" si="27"/>
        <v>"40217"</v>
      </c>
    </row>
    <row r="837" spans="1:16" x14ac:dyDescent="0.2">
      <c r="A837" t="s">
        <v>301</v>
      </c>
      <c r="B837" s="5" t="s">
        <v>209</v>
      </c>
      <c r="C837" t="s">
        <v>301</v>
      </c>
      <c r="E837" s="4" t="s">
        <v>301</v>
      </c>
      <c r="F837">
        <v>40219</v>
      </c>
      <c r="G837" t="s">
        <v>301</v>
      </c>
      <c r="I837" t="s">
        <v>298</v>
      </c>
      <c r="J837" t="s">
        <v>299</v>
      </c>
      <c r="K837" s="4" t="s">
        <v>304</v>
      </c>
      <c r="L837" t="str">
        <f t="shared" si="26"/>
        <v>"Staunton City Schools"</v>
      </c>
      <c r="M837" t="s">
        <v>302</v>
      </c>
      <c r="N837" t="s">
        <v>303</v>
      </c>
      <c r="O837" s="4" t="s">
        <v>300</v>
      </c>
      <c r="P837" t="str">
        <f t="shared" si="27"/>
        <v>"40219"</v>
      </c>
    </row>
    <row r="838" spans="1:16" x14ac:dyDescent="0.2">
      <c r="A838" t="s">
        <v>301</v>
      </c>
      <c r="B838" s="5" t="s">
        <v>210</v>
      </c>
      <c r="C838" t="s">
        <v>301</v>
      </c>
      <c r="E838" s="4" t="s">
        <v>301</v>
      </c>
      <c r="F838">
        <v>40220</v>
      </c>
      <c r="G838" t="s">
        <v>301</v>
      </c>
      <c r="I838" t="s">
        <v>298</v>
      </c>
      <c r="J838" t="s">
        <v>299</v>
      </c>
      <c r="K838" s="4" t="s">
        <v>304</v>
      </c>
      <c r="L838" t="str">
        <f t="shared" si="26"/>
        <v>"Suffolk City School Board"</v>
      </c>
      <c r="M838" t="s">
        <v>302</v>
      </c>
      <c r="N838" t="s">
        <v>303</v>
      </c>
      <c r="O838" s="4" t="s">
        <v>300</v>
      </c>
      <c r="P838" t="str">
        <f t="shared" si="27"/>
        <v>"40220"</v>
      </c>
    </row>
    <row r="839" spans="1:16" x14ac:dyDescent="0.2">
      <c r="A839" t="s">
        <v>301</v>
      </c>
      <c r="B839" s="5" t="s">
        <v>211</v>
      </c>
      <c r="C839" t="s">
        <v>301</v>
      </c>
      <c r="E839" s="4" t="s">
        <v>301</v>
      </c>
      <c r="F839">
        <v>40222</v>
      </c>
      <c r="G839" t="s">
        <v>301</v>
      </c>
      <c r="I839" t="s">
        <v>298</v>
      </c>
      <c r="J839" t="s">
        <v>299</v>
      </c>
      <c r="K839" s="4" t="s">
        <v>304</v>
      </c>
      <c r="L839" t="str">
        <f t="shared" si="26"/>
        <v>"Winchester Public Schools"</v>
      </c>
      <c r="M839" t="s">
        <v>302</v>
      </c>
      <c r="N839" t="s">
        <v>303</v>
      </c>
      <c r="O839" s="4" t="s">
        <v>300</v>
      </c>
      <c r="P839" t="str">
        <f t="shared" si="27"/>
        <v>"40222"</v>
      </c>
    </row>
    <row r="840" spans="1:16" x14ac:dyDescent="0.2">
      <c r="A840" t="s">
        <v>301</v>
      </c>
      <c r="B840" s="5" t="s">
        <v>212</v>
      </c>
      <c r="C840" t="s">
        <v>301</v>
      </c>
      <c r="E840" s="4" t="s">
        <v>301</v>
      </c>
      <c r="F840">
        <v>40223</v>
      </c>
      <c r="G840" t="s">
        <v>301</v>
      </c>
      <c r="I840" t="s">
        <v>298</v>
      </c>
      <c r="J840" t="s">
        <v>299</v>
      </c>
      <c r="K840" s="4" t="s">
        <v>304</v>
      </c>
      <c r="L840" t="str">
        <f t="shared" si="26"/>
        <v>"Martinsville City Schools"</v>
      </c>
      <c r="M840" t="s">
        <v>302</v>
      </c>
      <c r="N840" t="s">
        <v>303</v>
      </c>
      <c r="O840" s="4" t="s">
        <v>300</v>
      </c>
      <c r="P840" t="str">
        <f t="shared" si="27"/>
        <v>"40223"</v>
      </c>
    </row>
    <row r="841" spans="1:16" x14ac:dyDescent="0.2">
      <c r="A841" t="s">
        <v>301</v>
      </c>
      <c r="B841" s="5" t="s">
        <v>213</v>
      </c>
      <c r="C841" t="s">
        <v>301</v>
      </c>
      <c r="E841" s="4" t="s">
        <v>301</v>
      </c>
      <c r="F841">
        <v>40224</v>
      </c>
      <c r="G841" t="s">
        <v>301</v>
      </c>
      <c r="I841" t="s">
        <v>298</v>
      </c>
      <c r="J841" t="s">
        <v>299</v>
      </c>
      <c r="K841" s="4" t="s">
        <v>304</v>
      </c>
      <c r="L841" t="str">
        <f t="shared" si="26"/>
        <v>"Falls Church Public Schools"</v>
      </c>
      <c r="M841" t="s">
        <v>302</v>
      </c>
      <c r="N841" t="s">
        <v>303</v>
      </c>
      <c r="O841" s="4" t="s">
        <v>300</v>
      </c>
      <c r="P841" t="str">
        <f t="shared" si="27"/>
        <v>"40224"</v>
      </c>
    </row>
    <row r="842" spans="1:16" x14ac:dyDescent="0.2">
      <c r="A842" t="s">
        <v>301</v>
      </c>
      <c r="B842" s="5" t="s">
        <v>214</v>
      </c>
      <c r="C842" t="s">
        <v>301</v>
      </c>
      <c r="E842" s="4" t="s">
        <v>301</v>
      </c>
      <c r="F842">
        <v>40225</v>
      </c>
      <c r="G842" t="s">
        <v>301</v>
      </c>
      <c r="I842" t="s">
        <v>298</v>
      </c>
      <c r="J842" t="s">
        <v>299</v>
      </c>
      <c r="K842" s="4" t="s">
        <v>304</v>
      </c>
      <c r="L842" t="str">
        <f t="shared" si="26"/>
        <v>"Colonial Heights City Schools"</v>
      </c>
      <c r="M842" t="s">
        <v>302</v>
      </c>
      <c r="N842" t="s">
        <v>303</v>
      </c>
      <c r="O842" s="4" t="s">
        <v>300</v>
      </c>
      <c r="P842" t="str">
        <f t="shared" si="27"/>
        <v>"40225"</v>
      </c>
    </row>
    <row r="843" spans="1:16" x14ac:dyDescent="0.2">
      <c r="A843" t="s">
        <v>301</v>
      </c>
      <c r="B843" s="5" t="s">
        <v>215</v>
      </c>
      <c r="C843" t="s">
        <v>301</v>
      </c>
      <c r="E843" s="4" t="s">
        <v>301</v>
      </c>
      <c r="F843">
        <v>40230</v>
      </c>
      <c r="G843" t="s">
        <v>301</v>
      </c>
      <c r="I843" t="s">
        <v>298</v>
      </c>
      <c r="J843" t="s">
        <v>299</v>
      </c>
      <c r="K843" s="4" t="s">
        <v>304</v>
      </c>
      <c r="L843" t="str">
        <f t="shared" si="26"/>
        <v>"Covington City School Board"</v>
      </c>
      <c r="M843" t="s">
        <v>302</v>
      </c>
      <c r="N843" t="s">
        <v>303</v>
      </c>
      <c r="O843" s="4" t="s">
        <v>300</v>
      </c>
      <c r="P843" t="str">
        <f t="shared" si="27"/>
        <v>"40230"</v>
      </c>
    </row>
    <row r="844" spans="1:16" x14ac:dyDescent="0.2">
      <c r="A844" t="s">
        <v>301</v>
      </c>
      <c r="B844" s="5" t="s">
        <v>216</v>
      </c>
      <c r="C844" t="s">
        <v>301</v>
      </c>
      <c r="E844" s="4" t="s">
        <v>301</v>
      </c>
      <c r="F844">
        <v>40231</v>
      </c>
      <c r="G844" t="s">
        <v>301</v>
      </c>
      <c r="I844" t="s">
        <v>298</v>
      </c>
      <c r="J844" t="s">
        <v>299</v>
      </c>
      <c r="K844" s="4" t="s">
        <v>304</v>
      </c>
      <c r="L844" t="str">
        <f t="shared" si="26"/>
        <v>"Fairfax City School Board"</v>
      </c>
      <c r="M844" t="s">
        <v>302</v>
      </c>
      <c r="N844" t="s">
        <v>303</v>
      </c>
      <c r="O844" s="4" t="s">
        <v>300</v>
      </c>
      <c r="P844" t="str">
        <f t="shared" si="27"/>
        <v>"40231"</v>
      </c>
    </row>
    <row r="845" spans="1:16" x14ac:dyDescent="0.2">
      <c r="A845" t="s">
        <v>301</v>
      </c>
      <c r="B845" s="5" t="s">
        <v>217</v>
      </c>
      <c r="C845" t="s">
        <v>301</v>
      </c>
      <c r="E845" s="4" t="s">
        <v>301</v>
      </c>
      <c r="F845">
        <v>40232</v>
      </c>
      <c r="G845" t="s">
        <v>301</v>
      </c>
      <c r="I845" t="s">
        <v>298</v>
      </c>
      <c r="J845" t="s">
        <v>299</v>
      </c>
      <c r="K845" s="4" t="s">
        <v>304</v>
      </c>
      <c r="L845" t="str">
        <f t="shared" si="26"/>
        <v>"Franklin City Public Schools"</v>
      </c>
      <c r="M845" t="s">
        <v>302</v>
      </c>
      <c r="N845" t="s">
        <v>303</v>
      </c>
      <c r="O845" s="4" t="s">
        <v>300</v>
      </c>
      <c r="P845" t="str">
        <f t="shared" si="27"/>
        <v>"40232"</v>
      </c>
    </row>
    <row r="846" spans="1:16" x14ac:dyDescent="0.2">
      <c r="A846" t="s">
        <v>301</v>
      </c>
      <c r="B846" s="5" t="s">
        <v>218</v>
      </c>
      <c r="C846" t="s">
        <v>301</v>
      </c>
      <c r="E846" s="4" t="s">
        <v>301</v>
      </c>
      <c r="F846">
        <v>40233</v>
      </c>
      <c r="G846" t="s">
        <v>301</v>
      </c>
      <c r="I846" t="s">
        <v>298</v>
      </c>
      <c r="J846" t="s">
        <v>299</v>
      </c>
      <c r="K846" s="4" t="s">
        <v>304</v>
      </c>
      <c r="L846" t="str">
        <f t="shared" si="26"/>
        <v>"Chesapeake Public Schools"</v>
      </c>
      <c r="M846" t="s">
        <v>302</v>
      </c>
      <c r="N846" t="s">
        <v>303</v>
      </c>
      <c r="O846" s="4" t="s">
        <v>300</v>
      </c>
      <c r="P846" t="str">
        <f t="shared" si="27"/>
        <v>"40233"</v>
      </c>
    </row>
    <row r="847" spans="1:16" x14ac:dyDescent="0.2">
      <c r="A847" t="s">
        <v>301</v>
      </c>
      <c r="B847" s="5" t="s">
        <v>219</v>
      </c>
      <c r="C847" t="s">
        <v>301</v>
      </c>
      <c r="E847" s="4" t="s">
        <v>301</v>
      </c>
      <c r="F847">
        <v>40234</v>
      </c>
      <c r="G847" t="s">
        <v>301</v>
      </c>
      <c r="I847" t="s">
        <v>298</v>
      </c>
      <c r="J847" t="s">
        <v>299</v>
      </c>
      <c r="K847" s="4" t="s">
        <v>304</v>
      </c>
      <c r="L847" t="str">
        <f t="shared" si="26"/>
        <v>"Virginia Beach City School Board"</v>
      </c>
      <c r="M847" t="s">
        <v>302</v>
      </c>
      <c r="N847" t="s">
        <v>303</v>
      </c>
      <c r="O847" s="4" t="s">
        <v>300</v>
      </c>
      <c r="P847" t="str">
        <f t="shared" si="27"/>
        <v>"40234"</v>
      </c>
    </row>
    <row r="848" spans="1:16" x14ac:dyDescent="0.2">
      <c r="A848" t="s">
        <v>301</v>
      </c>
      <c r="B848" s="5" t="s">
        <v>220</v>
      </c>
      <c r="C848" t="s">
        <v>301</v>
      </c>
      <c r="E848" s="4" t="s">
        <v>301</v>
      </c>
      <c r="F848">
        <v>40236</v>
      </c>
      <c r="G848" t="s">
        <v>301</v>
      </c>
      <c r="I848" t="s">
        <v>298</v>
      </c>
      <c r="J848" t="s">
        <v>299</v>
      </c>
      <c r="K848" s="4" t="s">
        <v>304</v>
      </c>
      <c r="L848" t="str">
        <f t="shared" si="26"/>
        <v>"Manassas Park City Schools"</v>
      </c>
      <c r="M848" t="s">
        <v>302</v>
      </c>
      <c r="N848" t="s">
        <v>303</v>
      </c>
      <c r="O848" s="4" t="s">
        <v>300</v>
      </c>
      <c r="P848" t="str">
        <f t="shared" si="27"/>
        <v>"40236"</v>
      </c>
    </row>
    <row r="849" spans="1:16" x14ac:dyDescent="0.2">
      <c r="A849" t="s">
        <v>301</v>
      </c>
      <c r="B849" s="5" t="s">
        <v>221</v>
      </c>
      <c r="C849" t="s">
        <v>301</v>
      </c>
      <c r="E849" s="4" t="s">
        <v>301</v>
      </c>
      <c r="F849">
        <v>40306</v>
      </c>
      <c r="G849" t="s">
        <v>301</v>
      </c>
      <c r="I849" t="s">
        <v>298</v>
      </c>
      <c r="J849" t="s">
        <v>299</v>
      </c>
      <c r="K849" s="4" t="s">
        <v>304</v>
      </c>
      <c r="L849" t="str">
        <f t="shared" si="26"/>
        <v>"Town of West Point School Board"</v>
      </c>
      <c r="M849" t="s">
        <v>302</v>
      </c>
      <c r="N849" t="s">
        <v>303</v>
      </c>
      <c r="O849" s="4" t="s">
        <v>300</v>
      </c>
      <c r="P849" t="str">
        <f t="shared" si="27"/>
        <v>"40306"</v>
      </c>
    </row>
    <row r="850" spans="1:16" x14ac:dyDescent="0.2">
      <c r="A850" t="s">
        <v>301</v>
      </c>
      <c r="B850" s="5" t="s">
        <v>222</v>
      </c>
      <c r="C850" t="s">
        <v>301</v>
      </c>
      <c r="E850" s="4" t="s">
        <v>301</v>
      </c>
      <c r="F850">
        <v>40307</v>
      </c>
      <c r="G850" t="s">
        <v>301</v>
      </c>
      <c r="I850" t="s">
        <v>298</v>
      </c>
      <c r="J850" t="s">
        <v>299</v>
      </c>
      <c r="K850" s="4" t="s">
        <v>304</v>
      </c>
      <c r="L850" t="str">
        <f t="shared" si="26"/>
        <v>"Lexington City School Board"</v>
      </c>
      <c r="M850" t="s">
        <v>302</v>
      </c>
      <c r="N850" t="s">
        <v>303</v>
      </c>
      <c r="O850" s="4" t="s">
        <v>300</v>
      </c>
      <c r="P850" t="str">
        <f t="shared" si="27"/>
        <v>"40307"</v>
      </c>
    </row>
    <row r="851" spans="1:16" x14ac:dyDescent="0.2">
      <c r="A851" t="s">
        <v>301</v>
      </c>
      <c r="B851" s="5" t="s">
        <v>223</v>
      </c>
      <c r="C851" t="s">
        <v>301</v>
      </c>
      <c r="E851" s="4" t="s">
        <v>301</v>
      </c>
      <c r="F851">
        <v>40308</v>
      </c>
      <c r="G851" t="s">
        <v>301</v>
      </c>
      <c r="I851" t="s">
        <v>298</v>
      </c>
      <c r="J851" t="s">
        <v>299</v>
      </c>
      <c r="K851" s="4" t="s">
        <v>304</v>
      </c>
      <c r="L851" t="str">
        <f t="shared" si="26"/>
        <v>"Waynesboro Public Schools"</v>
      </c>
      <c r="M851" t="s">
        <v>302</v>
      </c>
      <c r="N851" t="s">
        <v>303</v>
      </c>
      <c r="O851" s="4" t="s">
        <v>300</v>
      </c>
      <c r="P851" t="str">
        <f t="shared" si="27"/>
        <v>"40308"</v>
      </c>
    </row>
    <row r="852" spans="1:16" x14ac:dyDescent="0.2">
      <c r="A852" t="s">
        <v>301</v>
      </c>
      <c r="B852" s="5" t="s">
        <v>224</v>
      </c>
      <c r="C852" t="s">
        <v>301</v>
      </c>
      <c r="E852" s="4" t="s">
        <v>301</v>
      </c>
      <c r="F852">
        <v>40309</v>
      </c>
      <c r="G852" t="s">
        <v>301</v>
      </c>
      <c r="I852" t="s">
        <v>298</v>
      </c>
      <c r="J852" t="s">
        <v>299</v>
      </c>
      <c r="K852" s="4" t="s">
        <v>304</v>
      </c>
      <c r="L852" t="str">
        <f t="shared" si="26"/>
        <v>"Town of Colonial Beach Schools"</v>
      </c>
      <c r="M852" t="s">
        <v>302</v>
      </c>
      <c r="N852" t="s">
        <v>303</v>
      </c>
      <c r="O852" s="4" t="s">
        <v>300</v>
      </c>
      <c r="P852" t="str">
        <f t="shared" si="27"/>
        <v>"40309"</v>
      </c>
    </row>
    <row r="853" spans="1:16" x14ac:dyDescent="0.2">
      <c r="A853" t="s">
        <v>301</v>
      </c>
      <c r="B853" s="5" t="s">
        <v>225</v>
      </c>
      <c r="C853" t="s">
        <v>301</v>
      </c>
      <c r="E853" s="4" t="s">
        <v>301</v>
      </c>
      <c r="F853">
        <v>40313</v>
      </c>
      <c r="G853" t="s">
        <v>301</v>
      </c>
      <c r="I853" t="s">
        <v>298</v>
      </c>
      <c r="J853" t="s">
        <v>299</v>
      </c>
      <c r="K853" s="4" t="s">
        <v>304</v>
      </c>
      <c r="L853" t="str">
        <f t="shared" si="26"/>
        <v>"Galax City Schools"</v>
      </c>
      <c r="M853" t="s">
        <v>302</v>
      </c>
      <c r="N853" t="s">
        <v>303</v>
      </c>
      <c r="O853" s="4" t="s">
        <v>300</v>
      </c>
      <c r="P853" t="str">
        <f t="shared" si="27"/>
        <v>"40313"</v>
      </c>
    </row>
    <row r="854" spans="1:16" x14ac:dyDescent="0.2">
      <c r="A854" t="s">
        <v>301</v>
      </c>
      <c r="B854" s="5" t="s">
        <v>226</v>
      </c>
      <c r="C854" t="s">
        <v>301</v>
      </c>
      <c r="E854" s="4" t="s">
        <v>301</v>
      </c>
      <c r="F854">
        <v>40314</v>
      </c>
      <c r="G854" t="s">
        <v>301</v>
      </c>
      <c r="I854" t="s">
        <v>298</v>
      </c>
      <c r="J854" t="s">
        <v>299</v>
      </c>
      <c r="K854" s="4" t="s">
        <v>304</v>
      </c>
      <c r="L854" t="str">
        <f t="shared" si="26"/>
        <v>"Norton City Schools"</v>
      </c>
      <c r="M854" t="s">
        <v>302</v>
      </c>
      <c r="N854" t="s">
        <v>303</v>
      </c>
      <c r="O854" s="4" t="s">
        <v>300</v>
      </c>
      <c r="P854" t="str">
        <f t="shared" si="27"/>
        <v>"40314"</v>
      </c>
    </row>
    <row r="855" spans="1:16" x14ac:dyDescent="0.2">
      <c r="A855" t="s">
        <v>301</v>
      </c>
      <c r="B855" s="5" t="s">
        <v>227</v>
      </c>
      <c r="C855" t="s">
        <v>301</v>
      </c>
      <c r="E855" s="4" t="s">
        <v>301</v>
      </c>
      <c r="F855">
        <v>40332</v>
      </c>
      <c r="G855" t="s">
        <v>301</v>
      </c>
      <c r="I855" t="s">
        <v>298</v>
      </c>
      <c r="J855" t="s">
        <v>299</v>
      </c>
      <c r="K855" s="4" t="s">
        <v>304</v>
      </c>
      <c r="L855" t="str">
        <f t="shared" si="26"/>
        <v>"Manassas City Schools"</v>
      </c>
      <c r="M855" t="s">
        <v>302</v>
      </c>
      <c r="N855" t="s">
        <v>303</v>
      </c>
      <c r="O855" s="4" t="s">
        <v>300</v>
      </c>
      <c r="P855" t="str">
        <f t="shared" si="27"/>
        <v>"40332"</v>
      </c>
    </row>
    <row r="856" spans="1:16" x14ac:dyDescent="0.2">
      <c r="A856" t="s">
        <v>301</v>
      </c>
      <c r="B856" s="5" t="s">
        <v>228</v>
      </c>
      <c r="C856" t="s">
        <v>301</v>
      </c>
      <c r="E856" s="4" t="s">
        <v>301</v>
      </c>
      <c r="F856">
        <v>40335</v>
      </c>
      <c r="G856" t="s">
        <v>301</v>
      </c>
      <c r="I856" t="s">
        <v>298</v>
      </c>
      <c r="J856" t="s">
        <v>299</v>
      </c>
      <c r="K856" s="4" t="s">
        <v>304</v>
      </c>
      <c r="L856" t="str">
        <f t="shared" si="26"/>
        <v>"City of Salem Schools"</v>
      </c>
      <c r="M856" t="s">
        <v>302</v>
      </c>
      <c r="N856" t="s">
        <v>303</v>
      </c>
      <c r="O856" s="4" t="s">
        <v>300</v>
      </c>
      <c r="P856" t="str">
        <f t="shared" si="27"/>
        <v>"40335"</v>
      </c>
    </row>
    <row r="857" spans="1:16" x14ac:dyDescent="0.2">
      <c r="A857" t="s">
        <v>301</v>
      </c>
      <c r="B857" s="5" t="s">
        <v>294</v>
      </c>
      <c r="C857" t="s">
        <v>301</v>
      </c>
      <c r="E857" s="4" t="s">
        <v>301</v>
      </c>
      <c r="F857">
        <v>40402</v>
      </c>
      <c r="G857" t="s">
        <v>301</v>
      </c>
      <c r="I857" t="s">
        <v>298</v>
      </c>
      <c r="J857" t="s">
        <v>299</v>
      </c>
      <c r="K857" s="4" t="s">
        <v>304</v>
      </c>
      <c r="L857" t="str">
        <f t="shared" si="26"/>
        <v>"Williamsburg-James City County School Board"</v>
      </c>
      <c r="M857" t="s">
        <v>302</v>
      </c>
      <c r="N857" t="s">
        <v>303</v>
      </c>
      <c r="O857" s="4" t="s">
        <v>300</v>
      </c>
      <c r="P857" t="str">
        <f t="shared" si="27"/>
        <v>"40402"</v>
      </c>
    </row>
    <row r="858" spans="1:16" x14ac:dyDescent="0.2">
      <c r="A858" t="s">
        <v>301</v>
      </c>
      <c r="B858" s="5" t="s">
        <v>263</v>
      </c>
      <c r="C858" t="s">
        <v>301</v>
      </c>
      <c r="E858" s="4" t="s">
        <v>301</v>
      </c>
      <c r="F858">
        <v>40403</v>
      </c>
      <c r="G858" t="s">
        <v>301</v>
      </c>
      <c r="I858" t="s">
        <v>298</v>
      </c>
      <c r="J858" t="s">
        <v>299</v>
      </c>
      <c r="K858" s="4" t="s">
        <v>304</v>
      </c>
      <c r="L858" t="str">
        <f t="shared" si="26"/>
        <v>"Poquoson City Public Schools"</v>
      </c>
      <c r="M858" t="s">
        <v>302</v>
      </c>
      <c r="N858" t="s">
        <v>303</v>
      </c>
      <c r="O858" s="4" t="s">
        <v>300</v>
      </c>
      <c r="P858" t="str">
        <f t="shared" si="27"/>
        <v>"40403"</v>
      </c>
    </row>
    <row r="859" spans="1:16" x14ac:dyDescent="0.2">
      <c r="A859" t="s">
        <v>301</v>
      </c>
      <c r="B859" s="5" t="s">
        <v>264</v>
      </c>
      <c r="C859" t="s">
        <v>301</v>
      </c>
      <c r="E859" s="4" t="s">
        <v>301</v>
      </c>
      <c r="F859">
        <v>40410</v>
      </c>
      <c r="G859" t="s">
        <v>301</v>
      </c>
      <c r="I859" t="s">
        <v>298</v>
      </c>
      <c r="J859" t="s">
        <v>299</v>
      </c>
      <c r="K859" s="4" t="s">
        <v>304</v>
      </c>
      <c r="L859" t="str">
        <f t="shared" si="26"/>
        <v>"Valley Vocational Technical Center"</v>
      </c>
      <c r="M859" t="s">
        <v>302</v>
      </c>
      <c r="N859" t="s">
        <v>303</v>
      </c>
      <c r="O859" s="4" t="s">
        <v>300</v>
      </c>
      <c r="P859" t="str">
        <f t="shared" si="27"/>
        <v>"40410"</v>
      </c>
    </row>
    <row r="860" spans="1:16" x14ac:dyDescent="0.2">
      <c r="A860" t="s">
        <v>301</v>
      </c>
      <c r="B860" s="5" t="s">
        <v>295</v>
      </c>
      <c r="C860" t="s">
        <v>301</v>
      </c>
      <c r="E860" s="4" t="s">
        <v>301</v>
      </c>
      <c r="F860">
        <v>40412</v>
      </c>
      <c r="G860" t="s">
        <v>301</v>
      </c>
      <c r="I860" t="s">
        <v>298</v>
      </c>
      <c r="J860" t="s">
        <v>299</v>
      </c>
      <c r="K860" s="4" t="s">
        <v>304</v>
      </c>
      <c r="L860" t="str">
        <f t="shared" si="26"/>
        <v>"Charlottesville/Albemarle Vo-Tech Center"</v>
      </c>
      <c r="M860" t="s">
        <v>302</v>
      </c>
      <c r="N860" t="s">
        <v>303</v>
      </c>
      <c r="O860" s="4" t="s">
        <v>300</v>
      </c>
      <c r="P860" t="str">
        <f t="shared" si="27"/>
        <v>"40412"</v>
      </c>
    </row>
    <row r="861" spans="1:16" x14ac:dyDescent="0.2">
      <c r="A861" t="s">
        <v>301</v>
      </c>
      <c r="B861" s="5" t="s">
        <v>267</v>
      </c>
      <c r="C861" t="s">
        <v>301</v>
      </c>
      <c r="E861" s="4" t="s">
        <v>301</v>
      </c>
      <c r="F861">
        <v>40414</v>
      </c>
      <c r="G861" t="s">
        <v>301</v>
      </c>
      <c r="I861" t="s">
        <v>298</v>
      </c>
      <c r="J861" t="s">
        <v>299</v>
      </c>
      <c r="K861" s="4" t="s">
        <v>304</v>
      </c>
      <c r="L861" t="str">
        <f t="shared" si="26"/>
        <v>"Jackson River Technical Center"</v>
      </c>
      <c r="M861" t="s">
        <v>302</v>
      </c>
      <c r="N861" t="s">
        <v>303</v>
      </c>
      <c r="O861" s="4" t="s">
        <v>300</v>
      </c>
      <c r="P861" t="str">
        <f t="shared" si="27"/>
        <v>"40414"</v>
      </c>
    </row>
    <row r="862" spans="1:16" x14ac:dyDescent="0.2">
      <c r="A862" t="s">
        <v>301</v>
      </c>
      <c r="B862" s="5" t="s">
        <v>268</v>
      </c>
      <c r="C862" t="s">
        <v>301</v>
      </c>
      <c r="E862" s="4" t="s">
        <v>301</v>
      </c>
      <c r="F862">
        <v>40415</v>
      </c>
      <c r="G862" t="s">
        <v>301</v>
      </c>
      <c r="I862" t="s">
        <v>298</v>
      </c>
      <c r="J862" t="s">
        <v>299</v>
      </c>
      <c r="K862" s="4" t="s">
        <v>304</v>
      </c>
      <c r="L862" t="str">
        <f t="shared" si="26"/>
        <v>"New Horizons Technical Center"</v>
      </c>
      <c r="M862" t="s">
        <v>302</v>
      </c>
      <c r="N862" t="s">
        <v>303</v>
      </c>
      <c r="O862" s="4" t="s">
        <v>300</v>
      </c>
      <c r="P862" t="str">
        <f t="shared" si="27"/>
        <v>"40415"</v>
      </c>
    </row>
    <row r="863" spans="1:16" x14ac:dyDescent="0.2">
      <c r="A863" t="s">
        <v>301</v>
      </c>
      <c r="B863" s="5" t="s">
        <v>269</v>
      </c>
      <c r="C863" t="s">
        <v>301</v>
      </c>
      <c r="E863" s="4" t="s">
        <v>301</v>
      </c>
      <c r="F863">
        <v>40416</v>
      </c>
      <c r="G863" t="s">
        <v>301</v>
      </c>
      <c r="I863" t="s">
        <v>298</v>
      </c>
      <c r="J863" t="s">
        <v>299</v>
      </c>
      <c r="K863" s="4" t="s">
        <v>304</v>
      </c>
      <c r="L863" t="str">
        <f t="shared" si="26"/>
        <v>"Northern Neck Regional Vocational Center"</v>
      </c>
      <c r="M863" t="s">
        <v>302</v>
      </c>
      <c r="N863" t="s">
        <v>303</v>
      </c>
      <c r="O863" s="4" t="s">
        <v>300</v>
      </c>
      <c r="P863" t="str">
        <f t="shared" si="27"/>
        <v>"40416"</v>
      </c>
    </row>
    <row r="864" spans="1:16" x14ac:dyDescent="0.2">
      <c r="A864" t="s">
        <v>301</v>
      </c>
      <c r="B864" s="5" t="s">
        <v>270</v>
      </c>
      <c r="C864" t="s">
        <v>301</v>
      </c>
      <c r="E864" s="4" t="s">
        <v>301</v>
      </c>
      <c r="F864">
        <v>40417</v>
      </c>
      <c r="G864" t="s">
        <v>301</v>
      </c>
      <c r="I864" t="s">
        <v>298</v>
      </c>
      <c r="J864" t="s">
        <v>299</v>
      </c>
      <c r="K864" s="4" t="s">
        <v>304</v>
      </c>
      <c r="L864" t="str">
        <f t="shared" si="26"/>
        <v>"Rowanty Vocational Technical Center"</v>
      </c>
      <c r="M864" t="s">
        <v>302</v>
      </c>
      <c r="N864" t="s">
        <v>303</v>
      </c>
      <c r="O864" s="4" t="s">
        <v>300</v>
      </c>
      <c r="P864" t="str">
        <f t="shared" si="27"/>
        <v>"40417"</v>
      </c>
    </row>
    <row r="865" spans="1:16" x14ac:dyDescent="0.2">
      <c r="A865" t="s">
        <v>301</v>
      </c>
      <c r="B865" s="5" t="s">
        <v>296</v>
      </c>
      <c r="C865" t="s">
        <v>301</v>
      </c>
      <c r="E865" s="4" t="s">
        <v>301</v>
      </c>
      <c r="F865">
        <v>40418</v>
      </c>
      <c r="G865" t="s">
        <v>301</v>
      </c>
      <c r="I865" t="s">
        <v>298</v>
      </c>
      <c r="J865" t="s">
        <v>299</v>
      </c>
      <c r="K865" s="4" t="s">
        <v>304</v>
      </c>
      <c r="L865" t="str">
        <f t="shared" si="26"/>
        <v>"Amelia-Nottoway Vocational Center"</v>
      </c>
      <c r="M865" t="s">
        <v>302</v>
      </c>
      <c r="N865" t="s">
        <v>303</v>
      </c>
      <c r="O865" s="4" t="s">
        <v>300</v>
      </c>
      <c r="P865" t="str">
        <f t="shared" si="27"/>
        <v>"40418"</v>
      </c>
    </row>
    <row r="866" spans="1:16" x14ac:dyDescent="0.2">
      <c r="A866" t="s">
        <v>301</v>
      </c>
      <c r="B866" s="5" t="s">
        <v>272</v>
      </c>
      <c r="C866" t="s">
        <v>301</v>
      </c>
      <c r="E866" s="4" t="s">
        <v>301</v>
      </c>
      <c r="F866">
        <v>40421</v>
      </c>
      <c r="G866" t="s">
        <v>301</v>
      </c>
      <c r="I866" t="s">
        <v>298</v>
      </c>
      <c r="J866" t="s">
        <v>299</v>
      </c>
      <c r="K866" s="4" t="s">
        <v>304</v>
      </c>
      <c r="L866" t="str">
        <f t="shared" si="26"/>
        <v>"Northern Neck Regional Special Education Program"</v>
      </c>
      <c r="M866" t="s">
        <v>302</v>
      </c>
      <c r="N866" t="s">
        <v>303</v>
      </c>
      <c r="O866" s="4" t="s">
        <v>300</v>
      </c>
      <c r="P866" t="str">
        <f t="shared" si="27"/>
        <v>"40421"</v>
      </c>
    </row>
    <row r="867" spans="1:16" x14ac:dyDescent="0.2">
      <c r="A867" t="s">
        <v>301</v>
      </c>
      <c r="B867" s="5" t="s">
        <v>273</v>
      </c>
      <c r="C867" t="s">
        <v>301</v>
      </c>
      <c r="E867" s="4" t="s">
        <v>301</v>
      </c>
      <c r="F867">
        <v>40423</v>
      </c>
      <c r="G867" t="s">
        <v>301</v>
      </c>
      <c r="I867" t="s">
        <v>298</v>
      </c>
      <c r="J867" t="s">
        <v>299</v>
      </c>
      <c r="K867" s="4" t="s">
        <v>304</v>
      </c>
      <c r="L867" t="str">
        <f t="shared" si="26"/>
        <v>"Maggie Walker Governor's School for Govt &amp; Intl Studies"</v>
      </c>
      <c r="M867" t="s">
        <v>302</v>
      </c>
      <c r="N867" t="s">
        <v>303</v>
      </c>
      <c r="O867" s="4" t="s">
        <v>300</v>
      </c>
      <c r="P867" t="str">
        <f t="shared" si="27"/>
        <v>"40423"</v>
      </c>
    </row>
    <row r="868" spans="1:16" x14ac:dyDescent="0.2">
      <c r="A868" t="s">
        <v>301</v>
      </c>
      <c r="B868" s="5" t="s">
        <v>274</v>
      </c>
      <c r="C868" t="s">
        <v>301</v>
      </c>
      <c r="E868" s="4" t="s">
        <v>301</v>
      </c>
      <c r="F868">
        <v>40424</v>
      </c>
      <c r="G868" t="s">
        <v>301</v>
      </c>
      <c r="I868" t="s">
        <v>298</v>
      </c>
      <c r="J868" t="s">
        <v>299</v>
      </c>
      <c r="K868" s="4" t="s">
        <v>304</v>
      </c>
      <c r="L868" t="str">
        <f t="shared" si="26"/>
        <v>"Appomattox Region Governor's School"</v>
      </c>
      <c r="M868" t="s">
        <v>302</v>
      </c>
      <c r="N868" t="s">
        <v>303</v>
      </c>
      <c r="O868" s="4" t="s">
        <v>300</v>
      </c>
      <c r="P868" t="str">
        <f t="shared" si="27"/>
        <v>"40424"</v>
      </c>
    </row>
    <row r="869" spans="1:16" x14ac:dyDescent="0.2">
      <c r="A869" t="s">
        <v>301</v>
      </c>
      <c r="B869" s="5" t="s">
        <v>275</v>
      </c>
      <c r="C869" t="s">
        <v>301</v>
      </c>
      <c r="E869" s="4" t="s">
        <v>301</v>
      </c>
      <c r="F869">
        <v>40425</v>
      </c>
      <c r="G869" t="s">
        <v>301</v>
      </c>
      <c r="I869" t="s">
        <v>298</v>
      </c>
      <c r="J869" t="s">
        <v>299</v>
      </c>
      <c r="K869" s="4" t="s">
        <v>304</v>
      </c>
      <c r="L869" t="str">
        <f t="shared" si="26"/>
        <v>"Bridging Communities Regional Career and Tech Center"</v>
      </c>
      <c r="M869" t="s">
        <v>302</v>
      </c>
      <c r="N869" t="s">
        <v>303</v>
      </c>
      <c r="O869" s="4" t="s">
        <v>300</v>
      </c>
      <c r="P869" t="str">
        <f t="shared" si="27"/>
        <v>"40425"</v>
      </c>
    </row>
    <row r="870" spans="1:16" x14ac:dyDescent="0.2">
      <c r="A870" t="s">
        <v>301</v>
      </c>
      <c r="B870" s="5" t="s">
        <v>0</v>
      </c>
      <c r="C870" t="s">
        <v>301</v>
      </c>
      <c r="E870" s="4" t="s">
        <v>301</v>
      </c>
      <c r="F870" t="s">
        <v>32</v>
      </c>
      <c r="G870" t="s">
        <v>301</v>
      </c>
      <c r="I870" t="s">
        <v>298</v>
      </c>
      <c r="J870" t="s">
        <v>299</v>
      </c>
      <c r="K870" s="4" t="s">
        <v>304</v>
      </c>
      <c r="L870" t="str">
        <f t="shared" si="26"/>
        <v>"Accomack County School Board"</v>
      </c>
      <c r="M870" t="s">
        <v>302</v>
      </c>
      <c r="N870" t="s">
        <v>303</v>
      </c>
      <c r="O870" s="4" t="s">
        <v>300</v>
      </c>
      <c r="P870" t="str">
        <f t="shared" si="27"/>
        <v>"40100"</v>
      </c>
    </row>
    <row r="871" spans="1:16" x14ac:dyDescent="0.2">
      <c r="A871" t="s">
        <v>301</v>
      </c>
      <c r="B871" s="5" t="s">
        <v>1</v>
      </c>
      <c r="C871" t="s">
        <v>301</v>
      </c>
      <c r="E871" s="4" t="s">
        <v>301</v>
      </c>
      <c r="F871" t="s">
        <v>33</v>
      </c>
      <c r="G871" t="s">
        <v>301</v>
      </c>
      <c r="I871" t="s">
        <v>298</v>
      </c>
      <c r="J871" t="s">
        <v>299</v>
      </c>
      <c r="K871" s="4" t="s">
        <v>304</v>
      </c>
      <c r="L871" t="str">
        <f t="shared" si="26"/>
        <v>"Albemarle County Schools"</v>
      </c>
      <c r="M871" t="s">
        <v>302</v>
      </c>
      <c r="N871" t="s">
        <v>303</v>
      </c>
      <c r="O871" s="4" t="s">
        <v>300</v>
      </c>
      <c r="P871" t="str">
        <f t="shared" si="27"/>
        <v>"40101"</v>
      </c>
    </row>
    <row r="872" spans="1:16" x14ac:dyDescent="0.2">
      <c r="A872" t="s">
        <v>301</v>
      </c>
      <c r="B872" s="5" t="s">
        <v>2</v>
      </c>
      <c r="C872" t="s">
        <v>301</v>
      </c>
      <c r="E872" s="4" t="s">
        <v>301</v>
      </c>
      <c r="F872" t="s">
        <v>34</v>
      </c>
      <c r="G872" t="s">
        <v>301</v>
      </c>
      <c r="I872" t="s">
        <v>298</v>
      </c>
      <c r="J872" t="s">
        <v>299</v>
      </c>
      <c r="K872" s="4" t="s">
        <v>304</v>
      </c>
      <c r="L872" t="str">
        <f t="shared" si="26"/>
        <v>"Alleghany County School Board"</v>
      </c>
      <c r="M872" t="s">
        <v>302</v>
      </c>
      <c r="N872" t="s">
        <v>303</v>
      </c>
      <c r="O872" s="4" t="s">
        <v>300</v>
      </c>
      <c r="P872" t="str">
        <f t="shared" si="27"/>
        <v>"40102"</v>
      </c>
    </row>
    <row r="873" spans="1:16" x14ac:dyDescent="0.2">
      <c r="A873" t="s">
        <v>301</v>
      </c>
      <c r="B873" s="5" t="s">
        <v>3</v>
      </c>
      <c r="C873" t="s">
        <v>301</v>
      </c>
      <c r="E873" s="4" t="s">
        <v>301</v>
      </c>
      <c r="F873" t="s">
        <v>35</v>
      </c>
      <c r="G873" t="s">
        <v>301</v>
      </c>
      <c r="I873" t="s">
        <v>298</v>
      </c>
      <c r="J873" t="s">
        <v>299</v>
      </c>
      <c r="K873" s="4" t="s">
        <v>304</v>
      </c>
      <c r="L873" t="str">
        <f t="shared" si="26"/>
        <v>"Amelia County School Board"</v>
      </c>
      <c r="M873" t="s">
        <v>302</v>
      </c>
      <c r="N873" t="s">
        <v>303</v>
      </c>
      <c r="O873" s="4" t="s">
        <v>300</v>
      </c>
      <c r="P873" t="str">
        <f t="shared" si="27"/>
        <v>"40103"</v>
      </c>
    </row>
    <row r="874" spans="1:16" x14ac:dyDescent="0.2">
      <c r="A874" t="s">
        <v>301</v>
      </c>
      <c r="B874" s="5" t="s">
        <v>4</v>
      </c>
      <c r="C874" t="s">
        <v>301</v>
      </c>
      <c r="E874" s="4" t="s">
        <v>301</v>
      </c>
      <c r="F874" t="s">
        <v>36</v>
      </c>
      <c r="G874" t="s">
        <v>301</v>
      </c>
      <c r="I874" t="s">
        <v>298</v>
      </c>
      <c r="J874" t="s">
        <v>299</v>
      </c>
      <c r="K874" s="4" t="s">
        <v>304</v>
      </c>
      <c r="L874" t="str">
        <f t="shared" si="26"/>
        <v>"Amherst County School Board"</v>
      </c>
      <c r="M874" t="s">
        <v>302</v>
      </c>
      <c r="N874" t="s">
        <v>303</v>
      </c>
      <c r="O874" s="4" t="s">
        <v>300</v>
      </c>
      <c r="P874" t="str">
        <f t="shared" si="27"/>
        <v>"40104"</v>
      </c>
    </row>
    <row r="875" spans="1:16" x14ac:dyDescent="0.2">
      <c r="A875" t="s">
        <v>301</v>
      </c>
      <c r="B875" s="5" t="s">
        <v>5</v>
      </c>
      <c r="C875" t="s">
        <v>301</v>
      </c>
      <c r="E875" s="4" t="s">
        <v>301</v>
      </c>
      <c r="F875" t="s">
        <v>37</v>
      </c>
      <c r="G875" t="s">
        <v>301</v>
      </c>
      <c r="I875" t="s">
        <v>298</v>
      </c>
      <c r="J875" t="s">
        <v>299</v>
      </c>
      <c r="K875" s="4" t="s">
        <v>304</v>
      </c>
      <c r="L875" t="str">
        <f t="shared" si="26"/>
        <v>"Appomattox County School Board"</v>
      </c>
      <c r="M875" t="s">
        <v>302</v>
      </c>
      <c r="N875" t="s">
        <v>303</v>
      </c>
      <c r="O875" s="4" t="s">
        <v>300</v>
      </c>
      <c r="P875" t="str">
        <f t="shared" si="27"/>
        <v>"40105"</v>
      </c>
    </row>
    <row r="876" spans="1:16" x14ac:dyDescent="0.2">
      <c r="A876" t="s">
        <v>301</v>
      </c>
      <c r="B876" s="5" t="s">
        <v>6</v>
      </c>
      <c r="C876" t="s">
        <v>301</v>
      </c>
      <c r="E876" s="4" t="s">
        <v>301</v>
      </c>
      <c r="F876" t="s">
        <v>38</v>
      </c>
      <c r="G876" t="s">
        <v>301</v>
      </c>
      <c r="I876" t="s">
        <v>298</v>
      </c>
      <c r="J876" t="s">
        <v>299</v>
      </c>
      <c r="K876" s="4" t="s">
        <v>304</v>
      </c>
      <c r="L876" t="str">
        <f t="shared" si="26"/>
        <v>"Arlington Public Schools"</v>
      </c>
      <c r="M876" t="s">
        <v>302</v>
      </c>
      <c r="N876" t="s">
        <v>303</v>
      </c>
      <c r="O876" s="4" t="s">
        <v>300</v>
      </c>
      <c r="P876" t="str">
        <f t="shared" si="27"/>
        <v>"40106"</v>
      </c>
    </row>
    <row r="877" spans="1:16" x14ac:dyDescent="0.2">
      <c r="A877" t="s">
        <v>301</v>
      </c>
      <c r="B877" s="5" t="s">
        <v>7</v>
      </c>
      <c r="C877" t="s">
        <v>301</v>
      </c>
      <c r="E877" s="4" t="s">
        <v>301</v>
      </c>
      <c r="F877" t="s">
        <v>39</v>
      </c>
      <c r="G877" t="s">
        <v>301</v>
      </c>
      <c r="I877" t="s">
        <v>298</v>
      </c>
      <c r="J877" t="s">
        <v>299</v>
      </c>
      <c r="K877" s="4" t="s">
        <v>304</v>
      </c>
      <c r="L877" t="str">
        <f t="shared" si="26"/>
        <v>"Augusta County School Board"</v>
      </c>
      <c r="M877" t="s">
        <v>302</v>
      </c>
      <c r="N877" t="s">
        <v>303</v>
      </c>
      <c r="O877" s="4" t="s">
        <v>300</v>
      </c>
      <c r="P877" t="str">
        <f t="shared" si="27"/>
        <v>"40107"</v>
      </c>
    </row>
    <row r="878" spans="1:16" x14ac:dyDescent="0.2">
      <c r="A878" t="s">
        <v>301</v>
      </c>
      <c r="B878" s="5" t="s">
        <v>8</v>
      </c>
      <c r="C878" t="s">
        <v>301</v>
      </c>
      <c r="E878" s="4" t="s">
        <v>301</v>
      </c>
      <c r="F878" t="s">
        <v>40</v>
      </c>
      <c r="G878" t="s">
        <v>301</v>
      </c>
      <c r="I878" t="s">
        <v>298</v>
      </c>
      <c r="J878" t="s">
        <v>299</v>
      </c>
      <c r="K878" s="4" t="s">
        <v>304</v>
      </c>
      <c r="L878" t="str">
        <f t="shared" si="26"/>
        <v>"Bath County School Board"</v>
      </c>
      <c r="M878" t="s">
        <v>302</v>
      </c>
      <c r="N878" t="s">
        <v>303</v>
      </c>
      <c r="O878" s="4" t="s">
        <v>300</v>
      </c>
      <c r="P878" t="str">
        <f t="shared" si="27"/>
        <v>"40108"</v>
      </c>
    </row>
    <row r="879" spans="1:16" x14ac:dyDescent="0.2">
      <c r="A879" t="s">
        <v>301</v>
      </c>
      <c r="B879" s="5" t="s">
        <v>9</v>
      </c>
      <c r="C879" t="s">
        <v>301</v>
      </c>
      <c r="E879" s="4" t="s">
        <v>301</v>
      </c>
      <c r="F879" t="s">
        <v>41</v>
      </c>
      <c r="G879" t="s">
        <v>301</v>
      </c>
      <c r="I879" t="s">
        <v>298</v>
      </c>
      <c r="J879" t="s">
        <v>299</v>
      </c>
      <c r="K879" s="4" t="s">
        <v>304</v>
      </c>
      <c r="L879" t="str">
        <f t="shared" si="26"/>
        <v>"Bedford County School Board"</v>
      </c>
      <c r="M879" t="s">
        <v>302</v>
      </c>
      <c r="N879" t="s">
        <v>303</v>
      </c>
      <c r="O879" s="4" t="s">
        <v>300</v>
      </c>
      <c r="P879" t="str">
        <f t="shared" si="27"/>
        <v>"40109"</v>
      </c>
    </row>
    <row r="880" spans="1:16" x14ac:dyDescent="0.2">
      <c r="A880" t="s">
        <v>301</v>
      </c>
      <c r="B880" s="5" t="s">
        <v>10</v>
      </c>
      <c r="C880" t="s">
        <v>301</v>
      </c>
      <c r="E880" s="4" t="s">
        <v>301</v>
      </c>
      <c r="F880" t="s">
        <v>42</v>
      </c>
      <c r="G880" t="s">
        <v>301</v>
      </c>
      <c r="I880" t="s">
        <v>298</v>
      </c>
      <c r="J880" t="s">
        <v>299</v>
      </c>
      <c r="K880" s="4" t="s">
        <v>304</v>
      </c>
      <c r="L880" t="str">
        <f t="shared" si="26"/>
        <v>"Bland County School Board"</v>
      </c>
      <c r="M880" t="s">
        <v>302</v>
      </c>
      <c r="N880" t="s">
        <v>303</v>
      </c>
      <c r="O880" s="4" t="s">
        <v>300</v>
      </c>
      <c r="P880" t="str">
        <f t="shared" si="27"/>
        <v>"40110"</v>
      </c>
    </row>
    <row r="881" spans="1:16" x14ac:dyDescent="0.2">
      <c r="A881" t="s">
        <v>301</v>
      </c>
      <c r="B881" s="5" t="s">
        <v>11</v>
      </c>
      <c r="C881" t="s">
        <v>301</v>
      </c>
      <c r="E881" s="4" t="s">
        <v>301</v>
      </c>
      <c r="F881" t="s">
        <v>43</v>
      </c>
      <c r="G881" t="s">
        <v>301</v>
      </c>
      <c r="I881" t="s">
        <v>298</v>
      </c>
      <c r="J881" t="s">
        <v>299</v>
      </c>
      <c r="K881" s="4" t="s">
        <v>304</v>
      </c>
      <c r="L881" t="str">
        <f t="shared" si="26"/>
        <v>"Botetourt County Schools"</v>
      </c>
      <c r="M881" t="s">
        <v>302</v>
      </c>
      <c r="N881" t="s">
        <v>303</v>
      </c>
      <c r="O881" s="4" t="s">
        <v>300</v>
      </c>
      <c r="P881" t="str">
        <f t="shared" si="27"/>
        <v>"40111"</v>
      </c>
    </row>
    <row r="882" spans="1:16" x14ac:dyDescent="0.2">
      <c r="A882" t="s">
        <v>301</v>
      </c>
      <c r="B882" s="5" t="s">
        <v>12</v>
      </c>
      <c r="C882" t="s">
        <v>301</v>
      </c>
      <c r="E882" s="4" t="s">
        <v>301</v>
      </c>
      <c r="F882" t="s">
        <v>44</v>
      </c>
      <c r="G882" t="s">
        <v>301</v>
      </c>
      <c r="I882" t="s">
        <v>298</v>
      </c>
      <c r="J882" t="s">
        <v>299</v>
      </c>
      <c r="K882" s="4" t="s">
        <v>304</v>
      </c>
      <c r="L882" t="str">
        <f t="shared" si="26"/>
        <v>"Brunswick County Public Schools"</v>
      </c>
      <c r="M882" t="s">
        <v>302</v>
      </c>
      <c r="N882" t="s">
        <v>303</v>
      </c>
      <c r="O882" s="4" t="s">
        <v>300</v>
      </c>
      <c r="P882" t="str">
        <f t="shared" si="27"/>
        <v>"40112"</v>
      </c>
    </row>
    <row r="883" spans="1:16" x14ac:dyDescent="0.2">
      <c r="A883" t="s">
        <v>301</v>
      </c>
      <c r="B883" s="5" t="s">
        <v>13</v>
      </c>
      <c r="C883" t="s">
        <v>301</v>
      </c>
      <c r="E883" s="4" t="s">
        <v>301</v>
      </c>
      <c r="F883" t="s">
        <v>45</v>
      </c>
      <c r="G883" t="s">
        <v>301</v>
      </c>
      <c r="I883" t="s">
        <v>298</v>
      </c>
      <c r="J883" t="s">
        <v>299</v>
      </c>
      <c r="K883" s="4" t="s">
        <v>304</v>
      </c>
      <c r="L883" t="str">
        <f t="shared" si="26"/>
        <v>"Buchanan County School Board"</v>
      </c>
      <c r="M883" t="s">
        <v>302</v>
      </c>
      <c r="N883" t="s">
        <v>303</v>
      </c>
      <c r="O883" s="4" t="s">
        <v>300</v>
      </c>
      <c r="P883" t="str">
        <f t="shared" si="27"/>
        <v>"40113"</v>
      </c>
    </row>
    <row r="884" spans="1:16" x14ac:dyDescent="0.2">
      <c r="A884" t="s">
        <v>301</v>
      </c>
      <c r="B884" s="5" t="s">
        <v>14</v>
      </c>
      <c r="C884" t="s">
        <v>301</v>
      </c>
      <c r="E884" s="4" t="s">
        <v>301</v>
      </c>
      <c r="F884" t="s">
        <v>46</v>
      </c>
      <c r="G884" t="s">
        <v>301</v>
      </c>
      <c r="I884" t="s">
        <v>298</v>
      </c>
      <c r="J884" t="s">
        <v>299</v>
      </c>
      <c r="K884" s="4" t="s">
        <v>304</v>
      </c>
      <c r="L884" t="str">
        <f t="shared" si="26"/>
        <v>"Buckingham County School Board"</v>
      </c>
      <c r="M884" t="s">
        <v>302</v>
      </c>
      <c r="N884" t="s">
        <v>303</v>
      </c>
      <c r="O884" s="4" t="s">
        <v>300</v>
      </c>
      <c r="P884" t="str">
        <f t="shared" si="27"/>
        <v>"40114"</v>
      </c>
    </row>
    <row r="885" spans="1:16" x14ac:dyDescent="0.2">
      <c r="A885" t="s">
        <v>301</v>
      </c>
      <c r="B885" s="5" t="s">
        <v>15</v>
      </c>
      <c r="C885" t="s">
        <v>301</v>
      </c>
      <c r="E885" s="4" t="s">
        <v>301</v>
      </c>
      <c r="F885" t="s">
        <v>47</v>
      </c>
      <c r="G885" t="s">
        <v>301</v>
      </c>
      <c r="I885" t="s">
        <v>298</v>
      </c>
      <c r="J885" t="s">
        <v>299</v>
      </c>
      <c r="K885" s="4" t="s">
        <v>304</v>
      </c>
      <c r="L885" t="str">
        <f t="shared" si="26"/>
        <v>"Campbell County School Board"</v>
      </c>
      <c r="M885" t="s">
        <v>302</v>
      </c>
      <c r="N885" t="s">
        <v>303</v>
      </c>
      <c r="O885" s="4" t="s">
        <v>300</v>
      </c>
      <c r="P885" t="str">
        <f t="shared" si="27"/>
        <v>"40115"</v>
      </c>
    </row>
    <row r="886" spans="1:16" x14ac:dyDescent="0.2">
      <c r="A886" t="s">
        <v>301</v>
      </c>
      <c r="B886" s="5" t="s">
        <v>16</v>
      </c>
      <c r="C886" t="s">
        <v>301</v>
      </c>
      <c r="E886" s="4" t="s">
        <v>301</v>
      </c>
      <c r="F886" t="s">
        <v>48</v>
      </c>
      <c r="G886" t="s">
        <v>301</v>
      </c>
      <c r="I886" t="s">
        <v>298</v>
      </c>
      <c r="J886" t="s">
        <v>299</v>
      </c>
      <c r="K886" s="4" t="s">
        <v>304</v>
      </c>
      <c r="L886" t="str">
        <f t="shared" si="26"/>
        <v>"Caroline County School Board"</v>
      </c>
      <c r="M886" t="s">
        <v>302</v>
      </c>
      <c r="N886" t="s">
        <v>303</v>
      </c>
      <c r="O886" s="4" t="s">
        <v>300</v>
      </c>
      <c r="P886" t="str">
        <f t="shared" si="27"/>
        <v>"40116"</v>
      </c>
    </row>
    <row r="887" spans="1:16" x14ac:dyDescent="0.2">
      <c r="A887" t="s">
        <v>301</v>
      </c>
      <c r="B887" s="5" t="s">
        <v>17</v>
      </c>
      <c r="C887" t="s">
        <v>301</v>
      </c>
      <c r="E887" s="4" t="s">
        <v>301</v>
      </c>
      <c r="F887" t="s">
        <v>49</v>
      </c>
      <c r="G887" t="s">
        <v>301</v>
      </c>
      <c r="I887" t="s">
        <v>298</v>
      </c>
      <c r="J887" t="s">
        <v>299</v>
      </c>
      <c r="K887" s="4" t="s">
        <v>304</v>
      </c>
      <c r="L887" t="str">
        <f t="shared" si="26"/>
        <v>"Carroll County School Board"</v>
      </c>
      <c r="M887" t="s">
        <v>302</v>
      </c>
      <c r="N887" t="s">
        <v>303</v>
      </c>
      <c r="O887" s="4" t="s">
        <v>300</v>
      </c>
      <c r="P887" t="str">
        <f t="shared" si="27"/>
        <v>"40117"</v>
      </c>
    </row>
    <row r="888" spans="1:16" x14ac:dyDescent="0.2">
      <c r="A888" t="s">
        <v>301</v>
      </c>
      <c r="B888" s="5" t="s">
        <v>18</v>
      </c>
      <c r="C888" t="s">
        <v>301</v>
      </c>
      <c r="E888" s="4" t="s">
        <v>301</v>
      </c>
      <c r="F888" t="s">
        <v>50</v>
      </c>
      <c r="G888" t="s">
        <v>301</v>
      </c>
      <c r="I888" t="s">
        <v>298</v>
      </c>
      <c r="J888" t="s">
        <v>299</v>
      </c>
      <c r="K888" s="4" t="s">
        <v>304</v>
      </c>
      <c r="L888" t="str">
        <f t="shared" si="26"/>
        <v>"Charles City County School Board"</v>
      </c>
      <c r="M888" t="s">
        <v>302</v>
      </c>
      <c r="N888" t="s">
        <v>303</v>
      </c>
      <c r="O888" s="4" t="s">
        <v>300</v>
      </c>
      <c r="P888" t="str">
        <f t="shared" si="27"/>
        <v>"40118"</v>
      </c>
    </row>
    <row r="889" spans="1:16" x14ac:dyDescent="0.2">
      <c r="A889" t="s">
        <v>301</v>
      </c>
      <c r="B889" s="5" t="s">
        <v>19</v>
      </c>
      <c r="C889" t="s">
        <v>301</v>
      </c>
      <c r="E889" s="4" t="s">
        <v>301</v>
      </c>
      <c r="F889" t="s">
        <v>51</v>
      </c>
      <c r="G889" t="s">
        <v>301</v>
      </c>
      <c r="I889" t="s">
        <v>298</v>
      </c>
      <c r="J889" t="s">
        <v>299</v>
      </c>
      <c r="K889" s="4" t="s">
        <v>304</v>
      </c>
      <c r="L889" t="str">
        <f t="shared" si="26"/>
        <v>"Charlotte County School Board"</v>
      </c>
      <c r="M889" t="s">
        <v>302</v>
      </c>
      <c r="N889" t="s">
        <v>303</v>
      </c>
      <c r="O889" s="4" t="s">
        <v>300</v>
      </c>
      <c r="P889" t="str">
        <f t="shared" si="27"/>
        <v>"40119"</v>
      </c>
    </row>
    <row r="890" spans="1:16" x14ac:dyDescent="0.2">
      <c r="A890" t="s">
        <v>301</v>
      </c>
      <c r="B890" s="5" t="s">
        <v>20</v>
      </c>
      <c r="C890" t="s">
        <v>301</v>
      </c>
      <c r="E890" s="4" t="s">
        <v>301</v>
      </c>
      <c r="F890" t="s">
        <v>52</v>
      </c>
      <c r="G890" t="s">
        <v>301</v>
      </c>
      <c r="I890" t="s">
        <v>298</v>
      </c>
      <c r="J890" t="s">
        <v>299</v>
      </c>
      <c r="K890" s="4" t="s">
        <v>304</v>
      </c>
      <c r="L890" t="str">
        <f t="shared" si="26"/>
        <v>"Chesterfield County School Board"</v>
      </c>
      <c r="M890" t="s">
        <v>302</v>
      </c>
      <c r="N890" t="s">
        <v>303</v>
      </c>
      <c r="O890" s="4" t="s">
        <v>300</v>
      </c>
      <c r="P890" t="str">
        <f t="shared" si="27"/>
        <v>"40120"</v>
      </c>
    </row>
    <row r="891" spans="1:16" x14ac:dyDescent="0.2">
      <c r="A891" t="s">
        <v>301</v>
      </c>
      <c r="B891" s="5" t="s">
        <v>21</v>
      </c>
      <c r="C891" t="s">
        <v>301</v>
      </c>
      <c r="E891" s="4" t="s">
        <v>301</v>
      </c>
      <c r="F891" t="s">
        <v>53</v>
      </c>
      <c r="G891" t="s">
        <v>301</v>
      </c>
      <c r="I891" t="s">
        <v>298</v>
      </c>
      <c r="J891" t="s">
        <v>299</v>
      </c>
      <c r="K891" s="4" t="s">
        <v>304</v>
      </c>
      <c r="L891" t="str">
        <f t="shared" si="26"/>
        <v>"Clarke County School Board"</v>
      </c>
      <c r="M891" t="s">
        <v>302</v>
      </c>
      <c r="N891" t="s">
        <v>303</v>
      </c>
      <c r="O891" s="4" t="s">
        <v>300</v>
      </c>
      <c r="P891" t="str">
        <f t="shared" si="27"/>
        <v>"40121"</v>
      </c>
    </row>
    <row r="892" spans="1:16" x14ac:dyDescent="0.2">
      <c r="A892" t="s">
        <v>301</v>
      </c>
      <c r="B892" s="5" t="s">
        <v>22</v>
      </c>
      <c r="C892" t="s">
        <v>301</v>
      </c>
      <c r="E892" s="4" t="s">
        <v>301</v>
      </c>
      <c r="F892" t="s">
        <v>54</v>
      </c>
      <c r="G892" t="s">
        <v>301</v>
      </c>
      <c r="I892" t="s">
        <v>298</v>
      </c>
      <c r="J892" t="s">
        <v>299</v>
      </c>
      <c r="K892" s="4" t="s">
        <v>304</v>
      </c>
      <c r="L892" t="str">
        <f t="shared" si="26"/>
        <v>"Craig County School Board"</v>
      </c>
      <c r="M892" t="s">
        <v>302</v>
      </c>
      <c r="N892" t="s">
        <v>303</v>
      </c>
      <c r="O892" s="4" t="s">
        <v>300</v>
      </c>
      <c r="P892" t="str">
        <f t="shared" si="27"/>
        <v>"40122"</v>
      </c>
    </row>
    <row r="893" spans="1:16" x14ac:dyDescent="0.2">
      <c r="A893" t="s">
        <v>301</v>
      </c>
      <c r="B893" s="5" t="s">
        <v>23</v>
      </c>
      <c r="C893" t="s">
        <v>301</v>
      </c>
      <c r="E893" s="4" t="s">
        <v>301</v>
      </c>
      <c r="F893" t="s">
        <v>55</v>
      </c>
      <c r="G893" t="s">
        <v>301</v>
      </c>
      <c r="I893" t="s">
        <v>298</v>
      </c>
      <c r="J893" t="s">
        <v>299</v>
      </c>
      <c r="K893" s="4" t="s">
        <v>304</v>
      </c>
      <c r="L893" t="str">
        <f t="shared" si="26"/>
        <v>"Culpeper County School Board"</v>
      </c>
      <c r="M893" t="s">
        <v>302</v>
      </c>
      <c r="N893" t="s">
        <v>303</v>
      </c>
      <c r="O893" s="4" t="s">
        <v>300</v>
      </c>
      <c r="P893" t="str">
        <f t="shared" si="27"/>
        <v>"40123"</v>
      </c>
    </row>
    <row r="894" spans="1:16" x14ac:dyDescent="0.2">
      <c r="A894" t="s">
        <v>301</v>
      </c>
      <c r="B894" s="5" t="s">
        <v>24</v>
      </c>
      <c r="C894" t="s">
        <v>301</v>
      </c>
      <c r="E894" s="4" t="s">
        <v>301</v>
      </c>
      <c r="F894" t="s">
        <v>56</v>
      </c>
      <c r="G894" t="s">
        <v>301</v>
      </c>
      <c r="I894" t="s">
        <v>298</v>
      </c>
      <c r="J894" t="s">
        <v>299</v>
      </c>
      <c r="K894" s="4" t="s">
        <v>304</v>
      </c>
      <c r="L894" t="str">
        <f t="shared" si="26"/>
        <v>"Cumberland County School Board"</v>
      </c>
      <c r="M894" t="s">
        <v>302</v>
      </c>
      <c r="N894" t="s">
        <v>303</v>
      </c>
      <c r="O894" s="4" t="s">
        <v>300</v>
      </c>
      <c r="P894" t="str">
        <f t="shared" si="27"/>
        <v>"40124"</v>
      </c>
    </row>
    <row r="895" spans="1:16" x14ac:dyDescent="0.2">
      <c r="A895" t="s">
        <v>301</v>
      </c>
      <c r="B895" s="5" t="s">
        <v>25</v>
      </c>
      <c r="C895" t="s">
        <v>301</v>
      </c>
      <c r="E895" s="4" t="s">
        <v>301</v>
      </c>
      <c r="F895" t="s">
        <v>57</v>
      </c>
      <c r="G895" t="s">
        <v>301</v>
      </c>
      <c r="I895" t="s">
        <v>298</v>
      </c>
      <c r="J895" t="s">
        <v>299</v>
      </c>
      <c r="K895" s="4" t="s">
        <v>304</v>
      </c>
      <c r="L895" t="str">
        <f t="shared" si="26"/>
        <v>"Dickenson County School Board"</v>
      </c>
      <c r="M895" t="s">
        <v>302</v>
      </c>
      <c r="N895" t="s">
        <v>303</v>
      </c>
      <c r="O895" s="4" t="s">
        <v>300</v>
      </c>
      <c r="P895" t="str">
        <f t="shared" si="27"/>
        <v>"40125"</v>
      </c>
    </row>
    <row r="896" spans="1:16" x14ac:dyDescent="0.2">
      <c r="A896" t="s">
        <v>301</v>
      </c>
      <c r="B896" s="5" t="s">
        <v>26</v>
      </c>
      <c r="C896" t="s">
        <v>301</v>
      </c>
      <c r="E896" s="4" t="s">
        <v>301</v>
      </c>
      <c r="F896" t="s">
        <v>58</v>
      </c>
      <c r="G896" t="s">
        <v>301</v>
      </c>
      <c r="I896" t="s">
        <v>298</v>
      </c>
      <c r="J896" t="s">
        <v>299</v>
      </c>
      <c r="K896" s="4" t="s">
        <v>304</v>
      </c>
      <c r="L896" t="str">
        <f t="shared" si="26"/>
        <v>"Dinwiddie County School Board"</v>
      </c>
      <c r="M896" t="s">
        <v>302</v>
      </c>
      <c r="N896" t="s">
        <v>303</v>
      </c>
      <c r="O896" s="4" t="s">
        <v>300</v>
      </c>
      <c r="P896" t="str">
        <f t="shared" si="27"/>
        <v>"40126"</v>
      </c>
    </row>
    <row r="897" spans="1:16" x14ac:dyDescent="0.2">
      <c r="A897" t="s">
        <v>301</v>
      </c>
      <c r="B897" s="5" t="s">
        <v>27</v>
      </c>
      <c r="C897" t="s">
        <v>301</v>
      </c>
      <c r="E897" s="4" t="s">
        <v>301</v>
      </c>
      <c r="F897" t="s">
        <v>59</v>
      </c>
      <c r="G897" t="s">
        <v>301</v>
      </c>
      <c r="I897" t="s">
        <v>298</v>
      </c>
      <c r="J897" t="s">
        <v>299</v>
      </c>
      <c r="K897" s="4" t="s">
        <v>304</v>
      </c>
      <c r="L897" t="str">
        <f t="shared" si="26"/>
        <v>"Essex County Public Schools"</v>
      </c>
      <c r="M897" t="s">
        <v>302</v>
      </c>
      <c r="N897" t="s">
        <v>303</v>
      </c>
      <c r="O897" s="4" t="s">
        <v>300</v>
      </c>
      <c r="P897" t="str">
        <f t="shared" si="27"/>
        <v>"40128"</v>
      </c>
    </row>
    <row r="898" spans="1:16" x14ac:dyDescent="0.2">
      <c r="A898" t="s">
        <v>301</v>
      </c>
      <c r="B898" s="5" t="s">
        <v>28</v>
      </c>
      <c r="C898" t="s">
        <v>301</v>
      </c>
      <c r="E898" s="4" t="s">
        <v>301</v>
      </c>
      <c r="F898" t="s">
        <v>60</v>
      </c>
      <c r="G898" t="s">
        <v>301</v>
      </c>
      <c r="I898" t="s">
        <v>298</v>
      </c>
      <c r="J898" t="s">
        <v>299</v>
      </c>
      <c r="K898" s="4" t="s">
        <v>304</v>
      </c>
      <c r="L898" t="str">
        <f t="shared" ref="L898:L961" si="28">_xlfn.TEXTJOIN("",TRUE,A898:C898)</f>
        <v>"Fairfax County School Board"</v>
      </c>
      <c r="M898" t="s">
        <v>302</v>
      </c>
      <c r="N898" t="s">
        <v>303</v>
      </c>
      <c r="O898" s="4" t="s">
        <v>300</v>
      </c>
      <c r="P898" t="str">
        <f t="shared" ref="P898:P961" si="29">_xlfn.TEXTJOIN("",TRUE,E898:G898)</f>
        <v>"40129"</v>
      </c>
    </row>
    <row r="899" spans="1:16" x14ac:dyDescent="0.2">
      <c r="A899" t="s">
        <v>301</v>
      </c>
      <c r="B899" s="5" t="s">
        <v>29</v>
      </c>
      <c r="C899" t="s">
        <v>301</v>
      </c>
      <c r="E899" s="4" t="s">
        <v>301</v>
      </c>
      <c r="F899" t="s">
        <v>61</v>
      </c>
      <c r="G899" t="s">
        <v>301</v>
      </c>
      <c r="I899" t="s">
        <v>298</v>
      </c>
      <c r="J899" t="s">
        <v>299</v>
      </c>
      <c r="K899" s="4" t="s">
        <v>304</v>
      </c>
      <c r="L899" t="str">
        <f t="shared" si="28"/>
        <v>"Fauquier County School Board"</v>
      </c>
      <c r="M899" t="s">
        <v>302</v>
      </c>
      <c r="N899" t="s">
        <v>303</v>
      </c>
      <c r="O899" s="4" t="s">
        <v>300</v>
      </c>
      <c r="P899" t="str">
        <f t="shared" si="29"/>
        <v>"40130"</v>
      </c>
    </row>
    <row r="900" spans="1:16" x14ac:dyDescent="0.2">
      <c r="A900" t="s">
        <v>301</v>
      </c>
      <c r="B900" s="5" t="s">
        <v>30</v>
      </c>
      <c r="C900" t="s">
        <v>301</v>
      </c>
      <c r="E900" s="4" t="s">
        <v>301</v>
      </c>
      <c r="F900" t="s">
        <v>62</v>
      </c>
      <c r="G900" t="s">
        <v>301</v>
      </c>
      <c r="I900" t="s">
        <v>298</v>
      </c>
      <c r="J900" t="s">
        <v>299</v>
      </c>
      <c r="K900" s="4" t="s">
        <v>304</v>
      </c>
      <c r="L900" t="str">
        <f t="shared" si="28"/>
        <v>"Floyd County School Board"</v>
      </c>
      <c r="M900" t="s">
        <v>302</v>
      </c>
      <c r="N900" t="s">
        <v>303</v>
      </c>
      <c r="O900" s="4" t="s">
        <v>300</v>
      </c>
      <c r="P900" t="str">
        <f t="shared" si="29"/>
        <v>"40131"</v>
      </c>
    </row>
    <row r="901" spans="1:16" x14ac:dyDescent="0.2">
      <c r="A901" t="s">
        <v>301</v>
      </c>
      <c r="B901" s="5" t="s">
        <v>31</v>
      </c>
      <c r="C901" t="s">
        <v>301</v>
      </c>
      <c r="E901" s="4" t="s">
        <v>301</v>
      </c>
      <c r="F901" t="s">
        <v>63</v>
      </c>
      <c r="G901" t="s">
        <v>301</v>
      </c>
      <c r="I901" t="s">
        <v>298</v>
      </c>
      <c r="J901" t="s">
        <v>299</v>
      </c>
      <c r="K901" s="4" t="s">
        <v>304</v>
      </c>
      <c r="L901" t="str">
        <f t="shared" si="28"/>
        <v>"Fluvanna County Public Schools"</v>
      </c>
      <c r="M901" t="s">
        <v>302</v>
      </c>
      <c r="N901" t="s">
        <v>303</v>
      </c>
      <c r="O901" s="4" t="s">
        <v>300</v>
      </c>
      <c r="P901" t="str">
        <f t="shared" si="29"/>
        <v>"40132"</v>
      </c>
    </row>
    <row r="902" spans="1:16" x14ac:dyDescent="0.2">
      <c r="A902" t="s">
        <v>301</v>
      </c>
      <c r="B902" s="5" t="s">
        <v>64</v>
      </c>
      <c r="C902" t="s">
        <v>301</v>
      </c>
      <c r="E902" s="4" t="s">
        <v>301</v>
      </c>
      <c r="F902" t="s">
        <v>97</v>
      </c>
      <c r="G902" t="s">
        <v>301</v>
      </c>
      <c r="I902" t="s">
        <v>298</v>
      </c>
      <c r="J902" t="s">
        <v>299</v>
      </c>
      <c r="K902" s="4" t="s">
        <v>304</v>
      </c>
      <c r="L902" t="str">
        <f t="shared" si="28"/>
        <v>"Franklin County Public Schools"</v>
      </c>
      <c r="M902" t="s">
        <v>302</v>
      </c>
      <c r="N902" t="s">
        <v>303</v>
      </c>
      <c r="O902" s="4" t="s">
        <v>300</v>
      </c>
      <c r="P902" t="str">
        <f t="shared" si="29"/>
        <v>"40133"</v>
      </c>
    </row>
    <row r="903" spans="1:16" x14ac:dyDescent="0.2">
      <c r="A903" t="s">
        <v>301</v>
      </c>
      <c r="B903" s="5" t="s">
        <v>65</v>
      </c>
      <c r="C903" t="s">
        <v>301</v>
      </c>
      <c r="E903" s="4" t="s">
        <v>301</v>
      </c>
      <c r="F903" t="s">
        <v>98</v>
      </c>
      <c r="G903" t="s">
        <v>301</v>
      </c>
      <c r="I903" t="s">
        <v>298</v>
      </c>
      <c r="J903" t="s">
        <v>299</v>
      </c>
      <c r="K903" s="4" t="s">
        <v>304</v>
      </c>
      <c r="L903" t="str">
        <f t="shared" si="28"/>
        <v>"Frederick County School Board"</v>
      </c>
      <c r="M903" t="s">
        <v>302</v>
      </c>
      <c r="N903" t="s">
        <v>303</v>
      </c>
      <c r="O903" s="4" t="s">
        <v>300</v>
      </c>
      <c r="P903" t="str">
        <f t="shared" si="29"/>
        <v>"40134"</v>
      </c>
    </row>
    <row r="904" spans="1:16" x14ac:dyDescent="0.2">
      <c r="A904" t="s">
        <v>301</v>
      </c>
      <c r="B904" s="5" t="s">
        <v>66</v>
      </c>
      <c r="C904" t="s">
        <v>301</v>
      </c>
      <c r="E904" s="4" t="s">
        <v>301</v>
      </c>
      <c r="F904" t="s">
        <v>99</v>
      </c>
      <c r="G904" t="s">
        <v>301</v>
      </c>
      <c r="I904" t="s">
        <v>298</v>
      </c>
      <c r="J904" t="s">
        <v>299</v>
      </c>
      <c r="K904" s="4" t="s">
        <v>304</v>
      </c>
      <c r="L904" t="str">
        <f t="shared" si="28"/>
        <v>"Giles County Schools"</v>
      </c>
      <c r="M904" t="s">
        <v>302</v>
      </c>
      <c r="N904" t="s">
        <v>303</v>
      </c>
      <c r="O904" s="4" t="s">
        <v>300</v>
      </c>
      <c r="P904" t="str">
        <f t="shared" si="29"/>
        <v>"40135"</v>
      </c>
    </row>
    <row r="905" spans="1:16" x14ac:dyDescent="0.2">
      <c r="A905" t="s">
        <v>301</v>
      </c>
      <c r="B905" s="5" t="s">
        <v>67</v>
      </c>
      <c r="C905" t="s">
        <v>301</v>
      </c>
      <c r="E905" s="4" t="s">
        <v>301</v>
      </c>
      <c r="F905" t="s">
        <v>100</v>
      </c>
      <c r="G905" t="s">
        <v>301</v>
      </c>
      <c r="I905" t="s">
        <v>298</v>
      </c>
      <c r="J905" t="s">
        <v>299</v>
      </c>
      <c r="K905" s="4" t="s">
        <v>304</v>
      </c>
      <c r="L905" t="str">
        <f t="shared" si="28"/>
        <v>"Gloucester County School Board"</v>
      </c>
      <c r="M905" t="s">
        <v>302</v>
      </c>
      <c r="N905" t="s">
        <v>303</v>
      </c>
      <c r="O905" s="4" t="s">
        <v>300</v>
      </c>
      <c r="P905" t="str">
        <f t="shared" si="29"/>
        <v>"40136"</v>
      </c>
    </row>
    <row r="906" spans="1:16" x14ac:dyDescent="0.2">
      <c r="A906" t="s">
        <v>301</v>
      </c>
      <c r="B906" s="5" t="s">
        <v>68</v>
      </c>
      <c r="C906" t="s">
        <v>301</v>
      </c>
      <c r="E906" s="4" t="s">
        <v>301</v>
      </c>
      <c r="F906" t="s">
        <v>101</v>
      </c>
      <c r="G906" t="s">
        <v>301</v>
      </c>
      <c r="I906" t="s">
        <v>298</v>
      </c>
      <c r="J906" t="s">
        <v>299</v>
      </c>
      <c r="K906" s="4" t="s">
        <v>304</v>
      </c>
      <c r="L906" t="str">
        <f t="shared" si="28"/>
        <v>"Goochland County School Board"</v>
      </c>
      <c r="M906" t="s">
        <v>302</v>
      </c>
      <c r="N906" t="s">
        <v>303</v>
      </c>
      <c r="O906" s="4" t="s">
        <v>300</v>
      </c>
      <c r="P906" t="str">
        <f t="shared" si="29"/>
        <v>"40137"</v>
      </c>
    </row>
    <row r="907" spans="1:16" x14ac:dyDescent="0.2">
      <c r="A907" t="s">
        <v>301</v>
      </c>
      <c r="B907" s="5" t="s">
        <v>69</v>
      </c>
      <c r="C907" t="s">
        <v>301</v>
      </c>
      <c r="E907" s="4" t="s">
        <v>301</v>
      </c>
      <c r="F907" t="s">
        <v>102</v>
      </c>
      <c r="G907" t="s">
        <v>301</v>
      </c>
      <c r="I907" t="s">
        <v>298</v>
      </c>
      <c r="J907" t="s">
        <v>299</v>
      </c>
      <c r="K907" s="4" t="s">
        <v>304</v>
      </c>
      <c r="L907" t="str">
        <f t="shared" si="28"/>
        <v>"Grayson County School Board"</v>
      </c>
      <c r="M907" t="s">
        <v>302</v>
      </c>
      <c r="N907" t="s">
        <v>303</v>
      </c>
      <c r="O907" s="4" t="s">
        <v>300</v>
      </c>
      <c r="P907" t="str">
        <f t="shared" si="29"/>
        <v>"40138"</v>
      </c>
    </row>
    <row r="908" spans="1:16" x14ac:dyDescent="0.2">
      <c r="A908" t="s">
        <v>301</v>
      </c>
      <c r="B908" s="5" t="s">
        <v>70</v>
      </c>
      <c r="C908" t="s">
        <v>301</v>
      </c>
      <c r="E908" s="4" t="s">
        <v>301</v>
      </c>
      <c r="F908" t="s">
        <v>103</v>
      </c>
      <c r="G908" t="s">
        <v>301</v>
      </c>
      <c r="I908" t="s">
        <v>298</v>
      </c>
      <c r="J908" t="s">
        <v>299</v>
      </c>
      <c r="K908" s="4" t="s">
        <v>304</v>
      </c>
      <c r="L908" t="str">
        <f t="shared" si="28"/>
        <v>"Greene County Public Schools"</v>
      </c>
      <c r="M908" t="s">
        <v>302</v>
      </c>
      <c r="N908" t="s">
        <v>303</v>
      </c>
      <c r="O908" s="4" t="s">
        <v>300</v>
      </c>
      <c r="P908" t="str">
        <f t="shared" si="29"/>
        <v>"40139"</v>
      </c>
    </row>
    <row r="909" spans="1:16" x14ac:dyDescent="0.2">
      <c r="A909" t="s">
        <v>301</v>
      </c>
      <c r="B909" s="5" t="s">
        <v>71</v>
      </c>
      <c r="C909" t="s">
        <v>301</v>
      </c>
      <c r="E909" s="4" t="s">
        <v>301</v>
      </c>
      <c r="F909" t="s">
        <v>104</v>
      </c>
      <c r="G909" t="s">
        <v>301</v>
      </c>
      <c r="I909" t="s">
        <v>298</v>
      </c>
      <c r="J909" t="s">
        <v>299</v>
      </c>
      <c r="K909" s="4" t="s">
        <v>304</v>
      </c>
      <c r="L909" t="str">
        <f t="shared" si="28"/>
        <v>"Greensville County School Board"</v>
      </c>
      <c r="M909" t="s">
        <v>302</v>
      </c>
      <c r="N909" t="s">
        <v>303</v>
      </c>
      <c r="O909" s="4" t="s">
        <v>300</v>
      </c>
      <c r="P909" t="str">
        <f t="shared" si="29"/>
        <v>"40140"</v>
      </c>
    </row>
    <row r="910" spans="1:16" x14ac:dyDescent="0.2">
      <c r="A910" t="s">
        <v>301</v>
      </c>
      <c r="B910" s="5" t="s">
        <v>72</v>
      </c>
      <c r="C910" t="s">
        <v>301</v>
      </c>
      <c r="E910" s="4" t="s">
        <v>301</v>
      </c>
      <c r="F910" t="s">
        <v>105</v>
      </c>
      <c r="G910" t="s">
        <v>301</v>
      </c>
      <c r="I910" t="s">
        <v>298</v>
      </c>
      <c r="J910" t="s">
        <v>299</v>
      </c>
      <c r="K910" s="4" t="s">
        <v>304</v>
      </c>
      <c r="L910" t="str">
        <f t="shared" si="28"/>
        <v>"Halifax County School Board"</v>
      </c>
      <c r="M910" t="s">
        <v>302</v>
      </c>
      <c r="N910" t="s">
        <v>303</v>
      </c>
      <c r="O910" s="4" t="s">
        <v>300</v>
      </c>
      <c r="P910" t="str">
        <f t="shared" si="29"/>
        <v>"40141"</v>
      </c>
    </row>
    <row r="911" spans="1:16" x14ac:dyDescent="0.2">
      <c r="A911" t="s">
        <v>301</v>
      </c>
      <c r="B911" s="5" t="s">
        <v>73</v>
      </c>
      <c r="C911" t="s">
        <v>301</v>
      </c>
      <c r="E911" s="4" t="s">
        <v>301</v>
      </c>
      <c r="F911" t="s">
        <v>106</v>
      </c>
      <c r="G911" t="s">
        <v>301</v>
      </c>
      <c r="I911" t="s">
        <v>298</v>
      </c>
      <c r="J911" t="s">
        <v>299</v>
      </c>
      <c r="K911" s="4" t="s">
        <v>304</v>
      </c>
      <c r="L911" t="str">
        <f t="shared" si="28"/>
        <v>"Hanover County School Board"</v>
      </c>
      <c r="M911" t="s">
        <v>302</v>
      </c>
      <c r="N911" t="s">
        <v>303</v>
      </c>
      <c r="O911" s="4" t="s">
        <v>300</v>
      </c>
      <c r="P911" t="str">
        <f t="shared" si="29"/>
        <v>"40142"</v>
      </c>
    </row>
    <row r="912" spans="1:16" x14ac:dyDescent="0.2">
      <c r="A912" t="s">
        <v>301</v>
      </c>
      <c r="B912" s="5" t="s">
        <v>74</v>
      </c>
      <c r="C912" t="s">
        <v>301</v>
      </c>
      <c r="E912" s="4" t="s">
        <v>301</v>
      </c>
      <c r="F912" t="s">
        <v>107</v>
      </c>
      <c r="G912" t="s">
        <v>301</v>
      </c>
      <c r="I912" t="s">
        <v>298</v>
      </c>
      <c r="J912" t="s">
        <v>299</v>
      </c>
      <c r="K912" s="4" t="s">
        <v>304</v>
      </c>
      <c r="L912" t="str">
        <f t="shared" si="28"/>
        <v>"Henrico County School Board"</v>
      </c>
      <c r="M912" t="s">
        <v>302</v>
      </c>
      <c r="N912" t="s">
        <v>303</v>
      </c>
      <c r="O912" s="4" t="s">
        <v>300</v>
      </c>
      <c r="P912" t="str">
        <f t="shared" si="29"/>
        <v>"40143"</v>
      </c>
    </row>
    <row r="913" spans="1:16" x14ac:dyDescent="0.2">
      <c r="A913" t="s">
        <v>301</v>
      </c>
      <c r="B913" s="5" t="s">
        <v>75</v>
      </c>
      <c r="C913" t="s">
        <v>301</v>
      </c>
      <c r="E913" s="4" t="s">
        <v>301</v>
      </c>
      <c r="F913" t="s">
        <v>108</v>
      </c>
      <c r="G913" t="s">
        <v>301</v>
      </c>
      <c r="I913" t="s">
        <v>298</v>
      </c>
      <c r="J913" t="s">
        <v>299</v>
      </c>
      <c r="K913" s="4" t="s">
        <v>304</v>
      </c>
      <c r="L913" t="str">
        <f t="shared" si="28"/>
        <v>"Henry County Public Schools"</v>
      </c>
      <c r="M913" t="s">
        <v>302</v>
      </c>
      <c r="N913" t="s">
        <v>303</v>
      </c>
      <c r="O913" s="4" t="s">
        <v>300</v>
      </c>
      <c r="P913" t="str">
        <f t="shared" si="29"/>
        <v>"40144"</v>
      </c>
    </row>
    <row r="914" spans="1:16" x14ac:dyDescent="0.2">
      <c r="A914" t="s">
        <v>301</v>
      </c>
      <c r="B914" s="5" t="s">
        <v>76</v>
      </c>
      <c r="C914" t="s">
        <v>301</v>
      </c>
      <c r="E914" s="4" t="s">
        <v>301</v>
      </c>
      <c r="F914" t="s">
        <v>109</v>
      </c>
      <c r="G914" t="s">
        <v>301</v>
      </c>
      <c r="I914" t="s">
        <v>298</v>
      </c>
      <c r="J914" t="s">
        <v>299</v>
      </c>
      <c r="K914" s="4" t="s">
        <v>304</v>
      </c>
      <c r="L914" t="str">
        <f t="shared" si="28"/>
        <v>"Highland County Public Schools"</v>
      </c>
      <c r="M914" t="s">
        <v>302</v>
      </c>
      <c r="N914" t="s">
        <v>303</v>
      </c>
      <c r="O914" s="4" t="s">
        <v>300</v>
      </c>
      <c r="P914" t="str">
        <f t="shared" si="29"/>
        <v>"40145"</v>
      </c>
    </row>
    <row r="915" spans="1:16" x14ac:dyDescent="0.2">
      <c r="A915" t="s">
        <v>301</v>
      </c>
      <c r="B915" s="5" t="s">
        <v>77</v>
      </c>
      <c r="C915" t="s">
        <v>301</v>
      </c>
      <c r="E915" s="4" t="s">
        <v>301</v>
      </c>
      <c r="F915" t="s">
        <v>110</v>
      </c>
      <c r="G915" t="s">
        <v>301</v>
      </c>
      <c r="I915" t="s">
        <v>298</v>
      </c>
      <c r="J915" t="s">
        <v>299</v>
      </c>
      <c r="K915" s="4" t="s">
        <v>304</v>
      </c>
      <c r="L915" t="str">
        <f t="shared" si="28"/>
        <v>"Isle of Wight County Schools"</v>
      </c>
      <c r="M915" t="s">
        <v>302</v>
      </c>
      <c r="N915" t="s">
        <v>303</v>
      </c>
      <c r="O915" s="4" t="s">
        <v>300</v>
      </c>
      <c r="P915" t="str">
        <f t="shared" si="29"/>
        <v>"40146"</v>
      </c>
    </row>
    <row r="916" spans="1:16" x14ac:dyDescent="0.2">
      <c r="A916" t="s">
        <v>301</v>
      </c>
      <c r="B916" s="5" t="s">
        <v>78</v>
      </c>
      <c r="C916" t="s">
        <v>301</v>
      </c>
      <c r="E916" s="4" t="s">
        <v>301</v>
      </c>
      <c r="F916" t="s">
        <v>111</v>
      </c>
      <c r="G916" t="s">
        <v>301</v>
      </c>
      <c r="I916" t="s">
        <v>298</v>
      </c>
      <c r="J916" t="s">
        <v>299</v>
      </c>
      <c r="K916" s="4" t="s">
        <v>304</v>
      </c>
      <c r="L916" t="str">
        <f t="shared" si="28"/>
        <v>"King George County School Board"</v>
      </c>
      <c r="M916" t="s">
        <v>302</v>
      </c>
      <c r="N916" t="s">
        <v>303</v>
      </c>
      <c r="O916" s="4" t="s">
        <v>300</v>
      </c>
      <c r="P916" t="str">
        <f t="shared" si="29"/>
        <v>"40148"</v>
      </c>
    </row>
    <row r="917" spans="1:16" x14ac:dyDescent="0.2">
      <c r="A917" t="s">
        <v>301</v>
      </c>
      <c r="B917" s="5" t="s">
        <v>79</v>
      </c>
      <c r="C917" t="s">
        <v>301</v>
      </c>
      <c r="E917" s="4" t="s">
        <v>301</v>
      </c>
      <c r="F917" t="s">
        <v>112</v>
      </c>
      <c r="G917" t="s">
        <v>301</v>
      </c>
      <c r="I917" t="s">
        <v>298</v>
      </c>
      <c r="J917" t="s">
        <v>299</v>
      </c>
      <c r="K917" s="4" t="s">
        <v>304</v>
      </c>
      <c r="L917" t="str">
        <f t="shared" si="28"/>
        <v>"King &amp; Queen County School Board"</v>
      </c>
      <c r="M917" t="s">
        <v>302</v>
      </c>
      <c r="N917" t="s">
        <v>303</v>
      </c>
      <c r="O917" s="4" t="s">
        <v>300</v>
      </c>
      <c r="P917" t="str">
        <f t="shared" si="29"/>
        <v>"40149"</v>
      </c>
    </row>
    <row r="918" spans="1:16" x14ac:dyDescent="0.2">
      <c r="A918" t="s">
        <v>301</v>
      </c>
      <c r="B918" s="5" t="s">
        <v>80</v>
      </c>
      <c r="C918" t="s">
        <v>301</v>
      </c>
      <c r="E918" s="4" t="s">
        <v>301</v>
      </c>
      <c r="F918" t="s">
        <v>113</v>
      </c>
      <c r="G918" t="s">
        <v>301</v>
      </c>
      <c r="I918" t="s">
        <v>298</v>
      </c>
      <c r="J918" t="s">
        <v>299</v>
      </c>
      <c r="K918" s="4" t="s">
        <v>304</v>
      </c>
      <c r="L918" t="str">
        <f t="shared" si="28"/>
        <v>"King William County School Board"</v>
      </c>
      <c r="M918" t="s">
        <v>302</v>
      </c>
      <c r="N918" t="s">
        <v>303</v>
      </c>
      <c r="O918" s="4" t="s">
        <v>300</v>
      </c>
      <c r="P918" t="str">
        <f t="shared" si="29"/>
        <v>"40150"</v>
      </c>
    </row>
    <row r="919" spans="1:16" x14ac:dyDescent="0.2">
      <c r="A919" t="s">
        <v>301</v>
      </c>
      <c r="B919" s="5" t="s">
        <v>81</v>
      </c>
      <c r="C919" t="s">
        <v>301</v>
      </c>
      <c r="E919" s="4" t="s">
        <v>301</v>
      </c>
      <c r="F919" t="s">
        <v>114</v>
      </c>
      <c r="G919" t="s">
        <v>301</v>
      </c>
      <c r="I919" t="s">
        <v>298</v>
      </c>
      <c r="J919" t="s">
        <v>299</v>
      </c>
      <c r="K919" s="4" t="s">
        <v>304</v>
      </c>
      <c r="L919" t="str">
        <f t="shared" si="28"/>
        <v>"Lancaster County Public Schools"</v>
      </c>
      <c r="M919" t="s">
        <v>302</v>
      </c>
      <c r="N919" t="s">
        <v>303</v>
      </c>
      <c r="O919" s="4" t="s">
        <v>300</v>
      </c>
      <c r="P919" t="str">
        <f t="shared" si="29"/>
        <v>"40151"</v>
      </c>
    </row>
    <row r="920" spans="1:16" x14ac:dyDescent="0.2">
      <c r="A920" t="s">
        <v>301</v>
      </c>
      <c r="B920" s="5" t="s">
        <v>82</v>
      </c>
      <c r="C920" t="s">
        <v>301</v>
      </c>
      <c r="E920" s="4" t="s">
        <v>301</v>
      </c>
      <c r="F920" t="s">
        <v>115</v>
      </c>
      <c r="G920" t="s">
        <v>301</v>
      </c>
      <c r="I920" t="s">
        <v>298</v>
      </c>
      <c r="J920" t="s">
        <v>299</v>
      </c>
      <c r="K920" s="4" t="s">
        <v>304</v>
      </c>
      <c r="L920" t="str">
        <f t="shared" si="28"/>
        <v>"Lee County School Board"</v>
      </c>
      <c r="M920" t="s">
        <v>302</v>
      </c>
      <c r="N920" t="s">
        <v>303</v>
      </c>
      <c r="O920" s="4" t="s">
        <v>300</v>
      </c>
      <c r="P920" t="str">
        <f t="shared" si="29"/>
        <v>"40152"</v>
      </c>
    </row>
    <row r="921" spans="1:16" x14ac:dyDescent="0.2">
      <c r="A921" t="s">
        <v>301</v>
      </c>
      <c r="B921" s="5" t="s">
        <v>83</v>
      </c>
      <c r="C921" t="s">
        <v>301</v>
      </c>
      <c r="E921" s="4" t="s">
        <v>301</v>
      </c>
      <c r="F921" t="s">
        <v>116</v>
      </c>
      <c r="G921" t="s">
        <v>301</v>
      </c>
      <c r="I921" t="s">
        <v>298</v>
      </c>
      <c r="J921" t="s">
        <v>299</v>
      </c>
      <c r="K921" s="4" t="s">
        <v>304</v>
      </c>
      <c r="L921" t="str">
        <f t="shared" si="28"/>
        <v>"Loudoun County School Board"</v>
      </c>
      <c r="M921" t="s">
        <v>302</v>
      </c>
      <c r="N921" t="s">
        <v>303</v>
      </c>
      <c r="O921" s="4" t="s">
        <v>300</v>
      </c>
      <c r="P921" t="str">
        <f t="shared" si="29"/>
        <v>"40153"</v>
      </c>
    </row>
    <row r="922" spans="1:16" x14ac:dyDescent="0.2">
      <c r="A922" t="s">
        <v>301</v>
      </c>
      <c r="B922" s="5" t="s">
        <v>84</v>
      </c>
      <c r="C922" t="s">
        <v>301</v>
      </c>
      <c r="E922" s="4" t="s">
        <v>301</v>
      </c>
      <c r="F922" t="s">
        <v>117</v>
      </c>
      <c r="G922" t="s">
        <v>301</v>
      </c>
      <c r="I922" t="s">
        <v>298</v>
      </c>
      <c r="J922" t="s">
        <v>299</v>
      </c>
      <c r="K922" s="4" t="s">
        <v>304</v>
      </c>
      <c r="L922" t="str">
        <f t="shared" si="28"/>
        <v>"Louisa County Public Schools"</v>
      </c>
      <c r="M922" t="s">
        <v>302</v>
      </c>
      <c r="N922" t="s">
        <v>303</v>
      </c>
      <c r="O922" s="4" t="s">
        <v>300</v>
      </c>
      <c r="P922" t="str">
        <f t="shared" si="29"/>
        <v>"40154"</v>
      </c>
    </row>
    <row r="923" spans="1:16" x14ac:dyDescent="0.2">
      <c r="A923" t="s">
        <v>301</v>
      </c>
      <c r="B923" s="5" t="s">
        <v>85</v>
      </c>
      <c r="C923" t="s">
        <v>301</v>
      </c>
      <c r="E923" s="4" t="s">
        <v>301</v>
      </c>
      <c r="F923" t="s">
        <v>118</v>
      </c>
      <c r="G923" t="s">
        <v>301</v>
      </c>
      <c r="I923" t="s">
        <v>298</v>
      </c>
      <c r="J923" t="s">
        <v>299</v>
      </c>
      <c r="K923" s="4" t="s">
        <v>304</v>
      </c>
      <c r="L923" t="str">
        <f t="shared" si="28"/>
        <v>"Lunenburg County School Board"</v>
      </c>
      <c r="M923" t="s">
        <v>302</v>
      </c>
      <c r="N923" t="s">
        <v>303</v>
      </c>
      <c r="O923" s="4" t="s">
        <v>300</v>
      </c>
      <c r="P923" t="str">
        <f t="shared" si="29"/>
        <v>"40155"</v>
      </c>
    </row>
    <row r="924" spans="1:16" x14ac:dyDescent="0.2">
      <c r="A924" t="s">
        <v>301</v>
      </c>
      <c r="B924" s="5" t="s">
        <v>86</v>
      </c>
      <c r="C924" t="s">
        <v>301</v>
      </c>
      <c r="E924" s="4" t="s">
        <v>301</v>
      </c>
      <c r="F924" t="s">
        <v>119</v>
      </c>
      <c r="G924" t="s">
        <v>301</v>
      </c>
      <c r="I924" t="s">
        <v>298</v>
      </c>
      <c r="J924" t="s">
        <v>299</v>
      </c>
      <c r="K924" s="4" t="s">
        <v>304</v>
      </c>
      <c r="L924" t="str">
        <f t="shared" si="28"/>
        <v>"Madison County School Board"</v>
      </c>
      <c r="M924" t="s">
        <v>302</v>
      </c>
      <c r="N924" t="s">
        <v>303</v>
      </c>
      <c r="O924" s="4" t="s">
        <v>300</v>
      </c>
      <c r="P924" t="str">
        <f t="shared" si="29"/>
        <v>"40156"</v>
      </c>
    </row>
    <row r="925" spans="1:16" x14ac:dyDescent="0.2">
      <c r="A925" t="s">
        <v>301</v>
      </c>
      <c r="B925" s="5" t="s">
        <v>87</v>
      </c>
      <c r="C925" t="s">
        <v>301</v>
      </c>
      <c r="E925" s="4" t="s">
        <v>301</v>
      </c>
      <c r="F925" t="s">
        <v>120</v>
      </c>
      <c r="G925" t="s">
        <v>301</v>
      </c>
      <c r="I925" t="s">
        <v>298</v>
      </c>
      <c r="J925" t="s">
        <v>299</v>
      </c>
      <c r="K925" s="4" t="s">
        <v>304</v>
      </c>
      <c r="L925" t="str">
        <f t="shared" si="28"/>
        <v>"Mathews County School Board"</v>
      </c>
      <c r="M925" t="s">
        <v>302</v>
      </c>
      <c r="N925" t="s">
        <v>303</v>
      </c>
      <c r="O925" s="4" t="s">
        <v>300</v>
      </c>
      <c r="P925" t="str">
        <f t="shared" si="29"/>
        <v>"40157"</v>
      </c>
    </row>
    <row r="926" spans="1:16" x14ac:dyDescent="0.2">
      <c r="A926" t="s">
        <v>301</v>
      </c>
      <c r="B926" s="5" t="s">
        <v>88</v>
      </c>
      <c r="C926" t="s">
        <v>301</v>
      </c>
      <c r="E926" s="4" t="s">
        <v>301</v>
      </c>
      <c r="F926" t="s">
        <v>121</v>
      </c>
      <c r="G926" t="s">
        <v>301</v>
      </c>
      <c r="I926" t="s">
        <v>298</v>
      </c>
      <c r="J926" t="s">
        <v>299</v>
      </c>
      <c r="K926" s="4" t="s">
        <v>304</v>
      </c>
      <c r="L926" t="str">
        <f t="shared" si="28"/>
        <v>"Mecklenburg County School Board"</v>
      </c>
      <c r="M926" t="s">
        <v>302</v>
      </c>
      <c r="N926" t="s">
        <v>303</v>
      </c>
      <c r="O926" s="4" t="s">
        <v>300</v>
      </c>
      <c r="P926" t="str">
        <f t="shared" si="29"/>
        <v>"40158"</v>
      </c>
    </row>
    <row r="927" spans="1:16" x14ac:dyDescent="0.2">
      <c r="A927" t="s">
        <v>301</v>
      </c>
      <c r="B927" s="5" t="s">
        <v>89</v>
      </c>
      <c r="C927" t="s">
        <v>301</v>
      </c>
      <c r="E927" s="4" t="s">
        <v>301</v>
      </c>
      <c r="F927" t="s">
        <v>122</v>
      </c>
      <c r="G927" t="s">
        <v>301</v>
      </c>
      <c r="I927" t="s">
        <v>298</v>
      </c>
      <c r="J927" t="s">
        <v>299</v>
      </c>
      <c r="K927" s="4" t="s">
        <v>304</v>
      </c>
      <c r="L927" t="str">
        <f t="shared" si="28"/>
        <v>"Middlesex County School Board"</v>
      </c>
      <c r="M927" t="s">
        <v>302</v>
      </c>
      <c r="N927" t="s">
        <v>303</v>
      </c>
      <c r="O927" s="4" t="s">
        <v>300</v>
      </c>
      <c r="P927" t="str">
        <f t="shared" si="29"/>
        <v>"40159"</v>
      </c>
    </row>
    <row r="928" spans="1:16" x14ac:dyDescent="0.2">
      <c r="A928" t="s">
        <v>301</v>
      </c>
      <c r="B928" s="5" t="s">
        <v>90</v>
      </c>
      <c r="C928" t="s">
        <v>301</v>
      </c>
      <c r="E928" s="4" t="s">
        <v>301</v>
      </c>
      <c r="F928" t="s">
        <v>123</v>
      </c>
      <c r="G928" t="s">
        <v>301</v>
      </c>
      <c r="I928" t="s">
        <v>298</v>
      </c>
      <c r="J928" t="s">
        <v>299</v>
      </c>
      <c r="K928" s="4" t="s">
        <v>304</v>
      </c>
      <c r="L928" t="str">
        <f t="shared" si="28"/>
        <v>"Montgomery County School Board"</v>
      </c>
      <c r="M928" t="s">
        <v>302</v>
      </c>
      <c r="N928" t="s">
        <v>303</v>
      </c>
      <c r="O928" s="4" t="s">
        <v>300</v>
      </c>
      <c r="P928" t="str">
        <f t="shared" si="29"/>
        <v>"40160"</v>
      </c>
    </row>
    <row r="929" spans="1:16" x14ac:dyDescent="0.2">
      <c r="A929" t="s">
        <v>301</v>
      </c>
      <c r="B929" s="5" t="s">
        <v>91</v>
      </c>
      <c r="C929" t="s">
        <v>301</v>
      </c>
      <c r="E929" s="4" t="s">
        <v>301</v>
      </c>
      <c r="F929" t="s">
        <v>124</v>
      </c>
      <c r="G929" t="s">
        <v>301</v>
      </c>
      <c r="I929" t="s">
        <v>298</v>
      </c>
      <c r="J929" t="s">
        <v>299</v>
      </c>
      <c r="K929" s="4" t="s">
        <v>304</v>
      </c>
      <c r="L929" t="str">
        <f t="shared" si="28"/>
        <v>"Nelson County Public Schools"</v>
      </c>
      <c r="M929" t="s">
        <v>302</v>
      </c>
      <c r="N929" t="s">
        <v>303</v>
      </c>
      <c r="O929" s="4" t="s">
        <v>300</v>
      </c>
      <c r="P929" t="str">
        <f t="shared" si="29"/>
        <v>"40162"</v>
      </c>
    </row>
    <row r="930" spans="1:16" x14ac:dyDescent="0.2">
      <c r="A930" t="s">
        <v>301</v>
      </c>
      <c r="B930" s="5" t="s">
        <v>92</v>
      </c>
      <c r="C930" t="s">
        <v>301</v>
      </c>
      <c r="E930" s="4" t="s">
        <v>301</v>
      </c>
      <c r="F930" t="s">
        <v>125</v>
      </c>
      <c r="G930" t="s">
        <v>301</v>
      </c>
      <c r="I930" t="s">
        <v>298</v>
      </c>
      <c r="J930" t="s">
        <v>299</v>
      </c>
      <c r="K930" s="4" t="s">
        <v>304</v>
      </c>
      <c r="L930" t="str">
        <f t="shared" si="28"/>
        <v>"New Kent County School Board"</v>
      </c>
      <c r="M930" t="s">
        <v>302</v>
      </c>
      <c r="N930" t="s">
        <v>303</v>
      </c>
      <c r="O930" s="4" t="s">
        <v>300</v>
      </c>
      <c r="P930" t="str">
        <f t="shared" si="29"/>
        <v>"40163"</v>
      </c>
    </row>
    <row r="931" spans="1:16" x14ac:dyDescent="0.2">
      <c r="A931" t="s">
        <v>301</v>
      </c>
      <c r="B931" s="5" t="s">
        <v>93</v>
      </c>
      <c r="C931" t="s">
        <v>301</v>
      </c>
      <c r="E931" s="4" t="s">
        <v>301</v>
      </c>
      <c r="F931" t="s">
        <v>126</v>
      </c>
      <c r="G931" t="s">
        <v>301</v>
      </c>
      <c r="I931" t="s">
        <v>298</v>
      </c>
      <c r="J931" t="s">
        <v>299</v>
      </c>
      <c r="K931" s="4" t="s">
        <v>304</v>
      </c>
      <c r="L931" t="str">
        <f t="shared" si="28"/>
        <v>"Northampton County Schools"</v>
      </c>
      <c r="M931" t="s">
        <v>302</v>
      </c>
      <c r="N931" t="s">
        <v>303</v>
      </c>
      <c r="O931" s="4" t="s">
        <v>300</v>
      </c>
      <c r="P931" t="str">
        <f t="shared" si="29"/>
        <v>"40165"</v>
      </c>
    </row>
    <row r="932" spans="1:16" x14ac:dyDescent="0.2">
      <c r="A932" t="s">
        <v>301</v>
      </c>
      <c r="B932" s="5" t="s">
        <v>94</v>
      </c>
      <c r="C932" t="s">
        <v>301</v>
      </c>
      <c r="E932" s="4" t="s">
        <v>301</v>
      </c>
      <c r="F932" t="s">
        <v>127</v>
      </c>
      <c r="G932" t="s">
        <v>301</v>
      </c>
      <c r="I932" t="s">
        <v>298</v>
      </c>
      <c r="J932" t="s">
        <v>299</v>
      </c>
      <c r="K932" s="4" t="s">
        <v>304</v>
      </c>
      <c r="L932" t="str">
        <f t="shared" si="28"/>
        <v>"Northumberland County School Board"</v>
      </c>
      <c r="M932" t="s">
        <v>302</v>
      </c>
      <c r="N932" t="s">
        <v>303</v>
      </c>
      <c r="O932" s="4" t="s">
        <v>300</v>
      </c>
      <c r="P932" t="str">
        <f t="shared" si="29"/>
        <v>"40166"</v>
      </c>
    </row>
    <row r="933" spans="1:16" x14ac:dyDescent="0.2">
      <c r="A933" t="s">
        <v>301</v>
      </c>
      <c r="B933" s="5" t="s">
        <v>95</v>
      </c>
      <c r="C933" t="s">
        <v>301</v>
      </c>
      <c r="E933" s="4" t="s">
        <v>301</v>
      </c>
      <c r="F933" t="s">
        <v>128</v>
      </c>
      <c r="G933" t="s">
        <v>301</v>
      </c>
      <c r="I933" t="s">
        <v>298</v>
      </c>
      <c r="J933" t="s">
        <v>299</v>
      </c>
      <c r="K933" s="4" t="s">
        <v>304</v>
      </c>
      <c r="L933" t="str">
        <f t="shared" si="28"/>
        <v>"Nottoway County School Board"</v>
      </c>
      <c r="M933" t="s">
        <v>302</v>
      </c>
      <c r="N933" t="s">
        <v>303</v>
      </c>
      <c r="O933" s="4" t="s">
        <v>300</v>
      </c>
      <c r="P933" t="str">
        <f t="shared" si="29"/>
        <v>"40167"</v>
      </c>
    </row>
    <row r="934" spans="1:16" x14ac:dyDescent="0.2">
      <c r="A934" t="s">
        <v>301</v>
      </c>
      <c r="B934" s="5" t="s">
        <v>96</v>
      </c>
      <c r="C934" t="s">
        <v>301</v>
      </c>
      <c r="E934" s="4" t="s">
        <v>301</v>
      </c>
      <c r="F934" t="s">
        <v>129</v>
      </c>
      <c r="G934" t="s">
        <v>301</v>
      </c>
      <c r="I934" t="s">
        <v>298</v>
      </c>
      <c r="J934" t="s">
        <v>299</v>
      </c>
      <c r="K934" s="4" t="s">
        <v>304</v>
      </c>
      <c r="L934" t="str">
        <f t="shared" si="28"/>
        <v>"Orange County Public Schools"</v>
      </c>
      <c r="M934" t="s">
        <v>302</v>
      </c>
      <c r="N934" t="s">
        <v>303</v>
      </c>
      <c r="O934" s="4" t="s">
        <v>300</v>
      </c>
      <c r="P934" t="str">
        <f t="shared" si="29"/>
        <v>"40168"</v>
      </c>
    </row>
    <row r="935" spans="1:16" x14ac:dyDescent="0.2">
      <c r="A935" t="s">
        <v>301</v>
      </c>
      <c r="B935" s="5" t="s">
        <v>130</v>
      </c>
      <c r="C935" t="s">
        <v>301</v>
      </c>
      <c r="E935" s="4" t="s">
        <v>301</v>
      </c>
      <c r="F935" t="s">
        <v>163</v>
      </c>
      <c r="G935" t="s">
        <v>301</v>
      </c>
      <c r="I935" t="s">
        <v>298</v>
      </c>
      <c r="J935" t="s">
        <v>299</v>
      </c>
      <c r="K935" s="4" t="s">
        <v>304</v>
      </c>
      <c r="L935" t="str">
        <f t="shared" si="28"/>
        <v>"Page County Public Schools"</v>
      </c>
      <c r="M935" t="s">
        <v>302</v>
      </c>
      <c r="N935" t="s">
        <v>303</v>
      </c>
      <c r="O935" s="4" t="s">
        <v>300</v>
      </c>
      <c r="P935" t="str">
        <f t="shared" si="29"/>
        <v>"40169"</v>
      </c>
    </row>
    <row r="936" spans="1:16" x14ac:dyDescent="0.2">
      <c r="A936" t="s">
        <v>301</v>
      </c>
      <c r="B936" s="5" t="s">
        <v>131</v>
      </c>
      <c r="C936" t="s">
        <v>301</v>
      </c>
      <c r="E936" s="4" t="s">
        <v>301</v>
      </c>
      <c r="F936" t="s">
        <v>164</v>
      </c>
      <c r="G936" t="s">
        <v>301</v>
      </c>
      <c r="I936" t="s">
        <v>298</v>
      </c>
      <c r="J936" t="s">
        <v>299</v>
      </c>
      <c r="K936" s="4" t="s">
        <v>304</v>
      </c>
      <c r="L936" t="str">
        <f t="shared" si="28"/>
        <v>"Patrick County School Board"</v>
      </c>
      <c r="M936" t="s">
        <v>302</v>
      </c>
      <c r="N936" t="s">
        <v>303</v>
      </c>
      <c r="O936" s="4" t="s">
        <v>300</v>
      </c>
      <c r="P936" t="str">
        <f t="shared" si="29"/>
        <v>"40170"</v>
      </c>
    </row>
    <row r="937" spans="1:16" x14ac:dyDescent="0.2">
      <c r="A937" t="s">
        <v>301</v>
      </c>
      <c r="B937" s="5" t="s">
        <v>132</v>
      </c>
      <c r="C937" t="s">
        <v>301</v>
      </c>
      <c r="E937" s="4" t="s">
        <v>301</v>
      </c>
      <c r="F937" t="s">
        <v>165</v>
      </c>
      <c r="G937" t="s">
        <v>301</v>
      </c>
      <c r="I937" t="s">
        <v>298</v>
      </c>
      <c r="J937" t="s">
        <v>299</v>
      </c>
      <c r="K937" s="4" t="s">
        <v>304</v>
      </c>
      <c r="L937" t="str">
        <f t="shared" si="28"/>
        <v>"Pittsylvania County School Board"</v>
      </c>
      <c r="M937" t="s">
        <v>302</v>
      </c>
      <c r="N937" t="s">
        <v>303</v>
      </c>
      <c r="O937" s="4" t="s">
        <v>300</v>
      </c>
      <c r="P937" t="str">
        <f t="shared" si="29"/>
        <v>"40171"</v>
      </c>
    </row>
    <row r="938" spans="1:16" x14ac:dyDescent="0.2">
      <c r="A938" t="s">
        <v>301</v>
      </c>
      <c r="B938" s="5" t="s">
        <v>133</v>
      </c>
      <c r="C938" t="s">
        <v>301</v>
      </c>
      <c r="E938" s="4" t="s">
        <v>301</v>
      </c>
      <c r="F938" t="s">
        <v>166</v>
      </c>
      <c r="G938" t="s">
        <v>301</v>
      </c>
      <c r="I938" t="s">
        <v>298</v>
      </c>
      <c r="J938" t="s">
        <v>299</v>
      </c>
      <c r="K938" s="4" t="s">
        <v>304</v>
      </c>
      <c r="L938" t="str">
        <f t="shared" si="28"/>
        <v>"Powhatan County School Board"</v>
      </c>
      <c r="M938" t="s">
        <v>302</v>
      </c>
      <c r="N938" t="s">
        <v>303</v>
      </c>
      <c r="O938" s="4" t="s">
        <v>300</v>
      </c>
      <c r="P938" t="str">
        <f t="shared" si="29"/>
        <v>"40172"</v>
      </c>
    </row>
    <row r="939" spans="1:16" x14ac:dyDescent="0.2">
      <c r="A939" t="s">
        <v>301</v>
      </c>
      <c r="B939" s="5" t="s">
        <v>134</v>
      </c>
      <c r="C939" t="s">
        <v>301</v>
      </c>
      <c r="E939" s="4" t="s">
        <v>301</v>
      </c>
      <c r="F939" t="s">
        <v>167</v>
      </c>
      <c r="G939" t="s">
        <v>301</v>
      </c>
      <c r="I939" t="s">
        <v>298</v>
      </c>
      <c r="J939" t="s">
        <v>299</v>
      </c>
      <c r="K939" s="4" t="s">
        <v>304</v>
      </c>
      <c r="L939" t="str">
        <f t="shared" si="28"/>
        <v>"Prince Edward County School Board"</v>
      </c>
      <c r="M939" t="s">
        <v>302</v>
      </c>
      <c r="N939" t="s">
        <v>303</v>
      </c>
      <c r="O939" s="4" t="s">
        <v>300</v>
      </c>
      <c r="P939" t="str">
        <f t="shared" si="29"/>
        <v>"40173"</v>
      </c>
    </row>
    <row r="940" spans="1:16" x14ac:dyDescent="0.2">
      <c r="A940" t="s">
        <v>301</v>
      </c>
      <c r="B940" s="5" t="s">
        <v>135</v>
      </c>
      <c r="C940" t="s">
        <v>301</v>
      </c>
      <c r="E940" s="4" t="s">
        <v>301</v>
      </c>
      <c r="F940" t="s">
        <v>168</v>
      </c>
      <c r="G940" t="s">
        <v>301</v>
      </c>
      <c r="I940" t="s">
        <v>298</v>
      </c>
      <c r="J940" t="s">
        <v>299</v>
      </c>
      <c r="K940" s="4" t="s">
        <v>304</v>
      </c>
      <c r="L940" t="str">
        <f t="shared" si="28"/>
        <v>"Prince George County School Board"</v>
      </c>
      <c r="M940" t="s">
        <v>302</v>
      </c>
      <c r="N940" t="s">
        <v>303</v>
      </c>
      <c r="O940" s="4" t="s">
        <v>300</v>
      </c>
      <c r="P940" t="str">
        <f t="shared" si="29"/>
        <v>"40174"</v>
      </c>
    </row>
    <row r="941" spans="1:16" x14ac:dyDescent="0.2">
      <c r="A941" t="s">
        <v>301</v>
      </c>
      <c r="B941" s="5" t="s">
        <v>136</v>
      </c>
      <c r="C941" t="s">
        <v>301</v>
      </c>
      <c r="E941" s="4" t="s">
        <v>301</v>
      </c>
      <c r="F941" t="s">
        <v>169</v>
      </c>
      <c r="G941" t="s">
        <v>301</v>
      </c>
      <c r="I941" t="s">
        <v>298</v>
      </c>
      <c r="J941" t="s">
        <v>299</v>
      </c>
      <c r="K941" s="4" t="s">
        <v>304</v>
      </c>
      <c r="L941" t="str">
        <f t="shared" si="28"/>
        <v>"Prince William County School Board"</v>
      </c>
      <c r="M941" t="s">
        <v>302</v>
      </c>
      <c r="N941" t="s">
        <v>303</v>
      </c>
      <c r="O941" s="4" t="s">
        <v>300</v>
      </c>
      <c r="P941" t="str">
        <f t="shared" si="29"/>
        <v>"40176"</v>
      </c>
    </row>
    <row r="942" spans="1:16" x14ac:dyDescent="0.2">
      <c r="A942" t="s">
        <v>301</v>
      </c>
      <c r="B942" s="5" t="s">
        <v>137</v>
      </c>
      <c r="C942" t="s">
        <v>301</v>
      </c>
      <c r="E942" s="4" t="s">
        <v>301</v>
      </c>
      <c r="F942" t="s">
        <v>170</v>
      </c>
      <c r="G942" t="s">
        <v>301</v>
      </c>
      <c r="I942" t="s">
        <v>298</v>
      </c>
      <c r="J942" t="s">
        <v>299</v>
      </c>
      <c r="K942" s="4" t="s">
        <v>304</v>
      </c>
      <c r="L942" t="str">
        <f t="shared" si="28"/>
        <v>"Pulaski County School Board"</v>
      </c>
      <c r="M942" t="s">
        <v>302</v>
      </c>
      <c r="N942" t="s">
        <v>303</v>
      </c>
      <c r="O942" s="4" t="s">
        <v>300</v>
      </c>
      <c r="P942" t="str">
        <f t="shared" si="29"/>
        <v>"40177"</v>
      </c>
    </row>
    <row r="943" spans="1:16" x14ac:dyDescent="0.2">
      <c r="A943" t="s">
        <v>301</v>
      </c>
      <c r="B943" s="5" t="s">
        <v>138</v>
      </c>
      <c r="C943" t="s">
        <v>301</v>
      </c>
      <c r="E943" s="4" t="s">
        <v>301</v>
      </c>
      <c r="F943" t="s">
        <v>171</v>
      </c>
      <c r="G943" t="s">
        <v>301</v>
      </c>
      <c r="I943" t="s">
        <v>298</v>
      </c>
      <c r="J943" t="s">
        <v>299</v>
      </c>
      <c r="K943" s="4" t="s">
        <v>304</v>
      </c>
      <c r="L943" t="str">
        <f t="shared" si="28"/>
        <v>"Rappahannock County School Board"</v>
      </c>
      <c r="M943" t="s">
        <v>302</v>
      </c>
      <c r="N943" t="s">
        <v>303</v>
      </c>
      <c r="O943" s="4" t="s">
        <v>300</v>
      </c>
      <c r="P943" t="str">
        <f t="shared" si="29"/>
        <v>"40178"</v>
      </c>
    </row>
    <row r="944" spans="1:16" x14ac:dyDescent="0.2">
      <c r="A944" t="s">
        <v>301</v>
      </c>
      <c r="B944" s="5" t="s">
        <v>139</v>
      </c>
      <c r="C944" t="s">
        <v>301</v>
      </c>
      <c r="E944" s="4" t="s">
        <v>301</v>
      </c>
      <c r="F944" t="s">
        <v>172</v>
      </c>
      <c r="G944" t="s">
        <v>301</v>
      </c>
      <c r="I944" t="s">
        <v>298</v>
      </c>
      <c r="J944" t="s">
        <v>299</v>
      </c>
      <c r="K944" s="4" t="s">
        <v>304</v>
      </c>
      <c r="L944" t="str">
        <f t="shared" si="28"/>
        <v>"Richmond County School Board"</v>
      </c>
      <c r="M944" t="s">
        <v>302</v>
      </c>
      <c r="N944" t="s">
        <v>303</v>
      </c>
      <c r="O944" s="4" t="s">
        <v>300</v>
      </c>
      <c r="P944" t="str">
        <f t="shared" si="29"/>
        <v>"40179"</v>
      </c>
    </row>
    <row r="945" spans="1:16" x14ac:dyDescent="0.2">
      <c r="A945" t="s">
        <v>301</v>
      </c>
      <c r="B945" s="5" t="s">
        <v>140</v>
      </c>
      <c r="C945" t="s">
        <v>301</v>
      </c>
      <c r="E945" s="4" t="s">
        <v>301</v>
      </c>
      <c r="F945" t="s">
        <v>173</v>
      </c>
      <c r="G945" t="s">
        <v>301</v>
      </c>
      <c r="I945" t="s">
        <v>298</v>
      </c>
      <c r="J945" t="s">
        <v>299</v>
      </c>
      <c r="K945" s="4" t="s">
        <v>304</v>
      </c>
      <c r="L945" t="str">
        <f t="shared" si="28"/>
        <v>"Roanoke County School Board"</v>
      </c>
      <c r="M945" t="s">
        <v>302</v>
      </c>
      <c r="N945" t="s">
        <v>303</v>
      </c>
      <c r="O945" s="4" t="s">
        <v>300</v>
      </c>
      <c r="P945" t="str">
        <f t="shared" si="29"/>
        <v>"40180"</v>
      </c>
    </row>
    <row r="946" spans="1:16" x14ac:dyDescent="0.2">
      <c r="A946" t="s">
        <v>301</v>
      </c>
      <c r="B946" s="5" t="s">
        <v>141</v>
      </c>
      <c r="C946" t="s">
        <v>301</v>
      </c>
      <c r="E946" s="4" t="s">
        <v>301</v>
      </c>
      <c r="F946" t="s">
        <v>174</v>
      </c>
      <c r="G946" t="s">
        <v>301</v>
      </c>
      <c r="I946" t="s">
        <v>298</v>
      </c>
      <c r="J946" t="s">
        <v>299</v>
      </c>
      <c r="K946" s="4" t="s">
        <v>304</v>
      </c>
      <c r="L946" t="str">
        <f t="shared" si="28"/>
        <v>"Rockbridge County School Board"</v>
      </c>
      <c r="M946" t="s">
        <v>302</v>
      </c>
      <c r="N946" t="s">
        <v>303</v>
      </c>
      <c r="O946" s="4" t="s">
        <v>300</v>
      </c>
      <c r="P946" t="str">
        <f t="shared" si="29"/>
        <v>"40181"</v>
      </c>
    </row>
    <row r="947" spans="1:16" x14ac:dyDescent="0.2">
      <c r="A947" t="s">
        <v>301</v>
      </c>
      <c r="B947" s="5" t="s">
        <v>142</v>
      </c>
      <c r="C947" t="s">
        <v>301</v>
      </c>
      <c r="E947" s="4" t="s">
        <v>301</v>
      </c>
      <c r="F947" t="s">
        <v>175</v>
      </c>
      <c r="G947" t="s">
        <v>301</v>
      </c>
      <c r="I947" t="s">
        <v>298</v>
      </c>
      <c r="J947" t="s">
        <v>299</v>
      </c>
      <c r="K947" s="4" t="s">
        <v>304</v>
      </c>
      <c r="L947" t="str">
        <f t="shared" si="28"/>
        <v>"Rockingham County School Board"</v>
      </c>
      <c r="M947" t="s">
        <v>302</v>
      </c>
      <c r="N947" t="s">
        <v>303</v>
      </c>
      <c r="O947" s="4" t="s">
        <v>300</v>
      </c>
      <c r="P947" t="str">
        <f t="shared" si="29"/>
        <v>"40182"</v>
      </c>
    </row>
    <row r="948" spans="1:16" x14ac:dyDescent="0.2">
      <c r="A948" t="s">
        <v>301</v>
      </c>
      <c r="B948" s="5" t="s">
        <v>143</v>
      </c>
      <c r="C948" t="s">
        <v>301</v>
      </c>
      <c r="E948" s="4" t="s">
        <v>301</v>
      </c>
      <c r="F948" t="s">
        <v>176</v>
      </c>
      <c r="G948" t="s">
        <v>301</v>
      </c>
      <c r="I948" t="s">
        <v>298</v>
      </c>
      <c r="J948" t="s">
        <v>299</v>
      </c>
      <c r="K948" s="4" t="s">
        <v>304</v>
      </c>
      <c r="L948" t="str">
        <f t="shared" si="28"/>
        <v>"Russell County School Board"</v>
      </c>
      <c r="M948" t="s">
        <v>302</v>
      </c>
      <c r="N948" t="s">
        <v>303</v>
      </c>
      <c r="O948" s="4" t="s">
        <v>300</v>
      </c>
      <c r="P948" t="str">
        <f t="shared" si="29"/>
        <v>"40183"</v>
      </c>
    </row>
    <row r="949" spans="1:16" x14ac:dyDescent="0.2">
      <c r="A949" t="s">
        <v>301</v>
      </c>
      <c r="B949" s="5" t="s">
        <v>144</v>
      </c>
      <c r="C949" t="s">
        <v>301</v>
      </c>
      <c r="E949" s="4" t="s">
        <v>301</v>
      </c>
      <c r="F949" t="s">
        <v>177</v>
      </c>
      <c r="G949" t="s">
        <v>301</v>
      </c>
      <c r="I949" t="s">
        <v>298</v>
      </c>
      <c r="J949" t="s">
        <v>299</v>
      </c>
      <c r="K949" s="4" t="s">
        <v>304</v>
      </c>
      <c r="L949" t="str">
        <f t="shared" si="28"/>
        <v>"Scott County School Board"</v>
      </c>
      <c r="M949" t="s">
        <v>302</v>
      </c>
      <c r="N949" t="s">
        <v>303</v>
      </c>
      <c r="O949" s="4" t="s">
        <v>300</v>
      </c>
      <c r="P949" t="str">
        <f t="shared" si="29"/>
        <v>"40184"</v>
      </c>
    </row>
    <row r="950" spans="1:16" x14ac:dyDescent="0.2">
      <c r="A950" t="s">
        <v>301</v>
      </c>
      <c r="B950" s="5" t="s">
        <v>145</v>
      </c>
      <c r="C950" t="s">
        <v>301</v>
      </c>
      <c r="E950" s="4" t="s">
        <v>301</v>
      </c>
      <c r="F950" t="s">
        <v>178</v>
      </c>
      <c r="G950" t="s">
        <v>301</v>
      </c>
      <c r="I950" t="s">
        <v>298</v>
      </c>
      <c r="J950" t="s">
        <v>299</v>
      </c>
      <c r="K950" s="4" t="s">
        <v>304</v>
      </c>
      <c r="L950" t="str">
        <f t="shared" si="28"/>
        <v>"Shenandoah County School Board"</v>
      </c>
      <c r="M950" t="s">
        <v>302</v>
      </c>
      <c r="N950" t="s">
        <v>303</v>
      </c>
      <c r="O950" s="4" t="s">
        <v>300</v>
      </c>
      <c r="P950" t="str">
        <f t="shared" si="29"/>
        <v>"40185"</v>
      </c>
    </row>
    <row r="951" spans="1:16" x14ac:dyDescent="0.2">
      <c r="A951" t="s">
        <v>301</v>
      </c>
      <c r="B951" s="5" t="s">
        <v>146</v>
      </c>
      <c r="C951" t="s">
        <v>301</v>
      </c>
      <c r="E951" s="4" t="s">
        <v>301</v>
      </c>
      <c r="F951" t="s">
        <v>179</v>
      </c>
      <c r="G951" t="s">
        <v>301</v>
      </c>
      <c r="I951" t="s">
        <v>298</v>
      </c>
      <c r="J951" t="s">
        <v>299</v>
      </c>
      <c r="K951" s="4" t="s">
        <v>304</v>
      </c>
      <c r="L951" t="str">
        <f t="shared" si="28"/>
        <v>"Smyth County School Board"</v>
      </c>
      <c r="M951" t="s">
        <v>302</v>
      </c>
      <c r="N951" t="s">
        <v>303</v>
      </c>
      <c r="O951" s="4" t="s">
        <v>300</v>
      </c>
      <c r="P951" t="str">
        <f t="shared" si="29"/>
        <v>"40186"</v>
      </c>
    </row>
    <row r="952" spans="1:16" x14ac:dyDescent="0.2">
      <c r="A952" t="s">
        <v>301</v>
      </c>
      <c r="B952" s="5" t="s">
        <v>147</v>
      </c>
      <c r="C952" t="s">
        <v>301</v>
      </c>
      <c r="E952" s="4" t="s">
        <v>301</v>
      </c>
      <c r="F952" t="s">
        <v>180</v>
      </c>
      <c r="G952" t="s">
        <v>301</v>
      </c>
      <c r="I952" t="s">
        <v>298</v>
      </c>
      <c r="J952" t="s">
        <v>299</v>
      </c>
      <c r="K952" s="4" t="s">
        <v>304</v>
      </c>
      <c r="L952" t="str">
        <f t="shared" si="28"/>
        <v>"Southampton County School Board"</v>
      </c>
      <c r="M952" t="s">
        <v>302</v>
      </c>
      <c r="N952" t="s">
        <v>303</v>
      </c>
      <c r="O952" s="4" t="s">
        <v>300</v>
      </c>
      <c r="P952" t="str">
        <f t="shared" si="29"/>
        <v>"40187"</v>
      </c>
    </row>
    <row r="953" spans="1:16" x14ac:dyDescent="0.2">
      <c r="A953" t="s">
        <v>301</v>
      </c>
      <c r="B953" s="5" t="s">
        <v>148</v>
      </c>
      <c r="C953" t="s">
        <v>301</v>
      </c>
      <c r="E953" s="4" t="s">
        <v>301</v>
      </c>
      <c r="F953" t="s">
        <v>181</v>
      </c>
      <c r="G953" t="s">
        <v>301</v>
      </c>
      <c r="I953" t="s">
        <v>298</v>
      </c>
      <c r="J953" t="s">
        <v>299</v>
      </c>
      <c r="K953" s="4" t="s">
        <v>304</v>
      </c>
      <c r="L953" t="str">
        <f t="shared" si="28"/>
        <v>"Spotsylvania County School Board"</v>
      </c>
      <c r="M953" t="s">
        <v>302</v>
      </c>
      <c r="N953" t="s">
        <v>303</v>
      </c>
      <c r="O953" s="4" t="s">
        <v>300</v>
      </c>
      <c r="P953" t="str">
        <f t="shared" si="29"/>
        <v>"40188"</v>
      </c>
    </row>
    <row r="954" spans="1:16" x14ac:dyDescent="0.2">
      <c r="A954" t="s">
        <v>301</v>
      </c>
      <c r="B954" s="5" t="s">
        <v>149</v>
      </c>
      <c r="C954" t="s">
        <v>301</v>
      </c>
      <c r="E954" s="4" t="s">
        <v>301</v>
      </c>
      <c r="F954" t="s">
        <v>182</v>
      </c>
      <c r="G954" t="s">
        <v>301</v>
      </c>
      <c r="I954" t="s">
        <v>298</v>
      </c>
      <c r="J954" t="s">
        <v>299</v>
      </c>
      <c r="K954" s="4" t="s">
        <v>304</v>
      </c>
      <c r="L954" t="str">
        <f t="shared" si="28"/>
        <v>"Stafford County School Board"</v>
      </c>
      <c r="M954" t="s">
        <v>302</v>
      </c>
      <c r="N954" t="s">
        <v>303</v>
      </c>
      <c r="O954" s="4" t="s">
        <v>300</v>
      </c>
      <c r="P954" t="str">
        <f t="shared" si="29"/>
        <v>"40189"</v>
      </c>
    </row>
    <row r="955" spans="1:16" x14ac:dyDescent="0.2">
      <c r="A955" t="s">
        <v>301</v>
      </c>
      <c r="B955" s="5" t="s">
        <v>150</v>
      </c>
      <c r="C955" t="s">
        <v>301</v>
      </c>
      <c r="E955" s="4" t="s">
        <v>301</v>
      </c>
      <c r="F955" t="s">
        <v>183</v>
      </c>
      <c r="G955" t="s">
        <v>301</v>
      </c>
      <c r="I955" t="s">
        <v>298</v>
      </c>
      <c r="J955" t="s">
        <v>299</v>
      </c>
      <c r="K955" s="4" t="s">
        <v>304</v>
      </c>
      <c r="L955" t="str">
        <f t="shared" si="28"/>
        <v>"Surry County Schools"</v>
      </c>
      <c r="M955" t="s">
        <v>302</v>
      </c>
      <c r="N955" t="s">
        <v>303</v>
      </c>
      <c r="O955" s="4" t="s">
        <v>300</v>
      </c>
      <c r="P955" t="str">
        <f t="shared" si="29"/>
        <v>"40190"</v>
      </c>
    </row>
    <row r="956" spans="1:16" x14ac:dyDescent="0.2">
      <c r="A956" t="s">
        <v>301</v>
      </c>
      <c r="B956" s="5" t="s">
        <v>151</v>
      </c>
      <c r="C956" t="s">
        <v>301</v>
      </c>
      <c r="E956" s="4" t="s">
        <v>301</v>
      </c>
      <c r="F956" t="s">
        <v>184</v>
      </c>
      <c r="G956" t="s">
        <v>301</v>
      </c>
      <c r="I956" t="s">
        <v>298</v>
      </c>
      <c r="J956" t="s">
        <v>299</v>
      </c>
      <c r="K956" s="4" t="s">
        <v>304</v>
      </c>
      <c r="L956" t="str">
        <f t="shared" si="28"/>
        <v>"Sussex County School Board"</v>
      </c>
      <c r="M956" t="s">
        <v>302</v>
      </c>
      <c r="N956" t="s">
        <v>303</v>
      </c>
      <c r="O956" s="4" t="s">
        <v>300</v>
      </c>
      <c r="P956" t="str">
        <f t="shared" si="29"/>
        <v>"40191"</v>
      </c>
    </row>
    <row r="957" spans="1:16" x14ac:dyDescent="0.2">
      <c r="A957" t="s">
        <v>301</v>
      </c>
      <c r="B957" s="5" t="s">
        <v>152</v>
      </c>
      <c r="C957" t="s">
        <v>301</v>
      </c>
      <c r="E957" s="4" t="s">
        <v>301</v>
      </c>
      <c r="F957" t="s">
        <v>185</v>
      </c>
      <c r="G957" t="s">
        <v>301</v>
      </c>
      <c r="I957" t="s">
        <v>298</v>
      </c>
      <c r="J957" t="s">
        <v>299</v>
      </c>
      <c r="K957" s="4" t="s">
        <v>304</v>
      </c>
      <c r="L957" t="str">
        <f t="shared" si="28"/>
        <v>"Tazewell County Schools"</v>
      </c>
      <c r="M957" t="s">
        <v>302</v>
      </c>
      <c r="N957" t="s">
        <v>303</v>
      </c>
      <c r="O957" s="4" t="s">
        <v>300</v>
      </c>
      <c r="P957" t="str">
        <f t="shared" si="29"/>
        <v>"40192"</v>
      </c>
    </row>
    <row r="958" spans="1:16" x14ac:dyDescent="0.2">
      <c r="A958" t="s">
        <v>301</v>
      </c>
      <c r="B958" s="5" t="s">
        <v>153</v>
      </c>
      <c r="C958" t="s">
        <v>301</v>
      </c>
      <c r="E958" s="4" t="s">
        <v>301</v>
      </c>
      <c r="F958" t="s">
        <v>186</v>
      </c>
      <c r="G958" t="s">
        <v>301</v>
      </c>
      <c r="I958" t="s">
        <v>298</v>
      </c>
      <c r="J958" t="s">
        <v>299</v>
      </c>
      <c r="K958" s="4" t="s">
        <v>304</v>
      </c>
      <c r="L958" t="str">
        <f t="shared" si="28"/>
        <v>"Warren County School Board"</v>
      </c>
      <c r="M958" t="s">
        <v>302</v>
      </c>
      <c r="N958" t="s">
        <v>303</v>
      </c>
      <c r="O958" s="4" t="s">
        <v>300</v>
      </c>
      <c r="P958" t="str">
        <f t="shared" si="29"/>
        <v>"40193"</v>
      </c>
    </row>
    <row r="959" spans="1:16" x14ac:dyDescent="0.2">
      <c r="A959" t="s">
        <v>301</v>
      </c>
      <c r="B959" s="5" t="s">
        <v>154</v>
      </c>
      <c r="C959" t="s">
        <v>301</v>
      </c>
      <c r="E959" s="4" t="s">
        <v>301</v>
      </c>
      <c r="F959" t="s">
        <v>187</v>
      </c>
      <c r="G959" t="s">
        <v>301</v>
      </c>
      <c r="I959" t="s">
        <v>298</v>
      </c>
      <c r="J959" t="s">
        <v>299</v>
      </c>
      <c r="K959" s="4" t="s">
        <v>304</v>
      </c>
      <c r="L959" t="str">
        <f t="shared" si="28"/>
        <v>"Washington County School Board"</v>
      </c>
      <c r="M959" t="s">
        <v>302</v>
      </c>
      <c r="N959" t="s">
        <v>303</v>
      </c>
      <c r="O959" s="4" t="s">
        <v>300</v>
      </c>
      <c r="P959" t="str">
        <f t="shared" si="29"/>
        <v>"40195"</v>
      </c>
    </row>
    <row r="960" spans="1:16" x14ac:dyDescent="0.2">
      <c r="A960" t="s">
        <v>301</v>
      </c>
      <c r="B960" s="5" t="s">
        <v>155</v>
      </c>
      <c r="C960" t="s">
        <v>301</v>
      </c>
      <c r="E960" s="4" t="s">
        <v>301</v>
      </c>
      <c r="F960" t="s">
        <v>188</v>
      </c>
      <c r="G960" t="s">
        <v>301</v>
      </c>
      <c r="I960" t="s">
        <v>298</v>
      </c>
      <c r="J960" t="s">
        <v>299</v>
      </c>
      <c r="K960" s="4" t="s">
        <v>304</v>
      </c>
      <c r="L960" t="str">
        <f t="shared" si="28"/>
        <v>"Westmoreland County School Board"</v>
      </c>
      <c r="M960" t="s">
        <v>302</v>
      </c>
      <c r="N960" t="s">
        <v>303</v>
      </c>
      <c r="O960" s="4" t="s">
        <v>300</v>
      </c>
      <c r="P960" t="str">
        <f t="shared" si="29"/>
        <v>"40196"</v>
      </c>
    </row>
    <row r="961" spans="1:16" x14ac:dyDescent="0.2">
      <c r="A961" t="s">
        <v>301</v>
      </c>
      <c r="B961" s="5" t="s">
        <v>156</v>
      </c>
      <c r="C961" t="s">
        <v>301</v>
      </c>
      <c r="E961" s="4" t="s">
        <v>301</v>
      </c>
      <c r="F961" t="s">
        <v>189</v>
      </c>
      <c r="G961" t="s">
        <v>301</v>
      </c>
      <c r="I961" t="s">
        <v>298</v>
      </c>
      <c r="J961" t="s">
        <v>299</v>
      </c>
      <c r="K961" s="4" t="s">
        <v>304</v>
      </c>
      <c r="L961" t="str">
        <f t="shared" si="28"/>
        <v>"Wise County School Board"</v>
      </c>
      <c r="M961" t="s">
        <v>302</v>
      </c>
      <c r="N961" t="s">
        <v>303</v>
      </c>
      <c r="O961" s="4" t="s">
        <v>300</v>
      </c>
      <c r="P961" t="str">
        <f t="shared" si="29"/>
        <v>"40197"</v>
      </c>
    </row>
    <row r="962" spans="1:16" x14ac:dyDescent="0.2">
      <c r="A962" t="s">
        <v>301</v>
      </c>
      <c r="B962" s="5" t="s">
        <v>157</v>
      </c>
      <c r="C962" t="s">
        <v>301</v>
      </c>
      <c r="E962" s="4" t="s">
        <v>301</v>
      </c>
      <c r="F962" t="s">
        <v>190</v>
      </c>
      <c r="G962" t="s">
        <v>301</v>
      </c>
      <c r="I962" t="s">
        <v>298</v>
      </c>
      <c r="J962" t="s">
        <v>299</v>
      </c>
      <c r="K962" s="4" t="s">
        <v>304</v>
      </c>
      <c r="L962" t="str">
        <f t="shared" ref="L962:L1025" si="30">_xlfn.TEXTJOIN("",TRUE,A962:C962)</f>
        <v>"Wythe County School Board"</v>
      </c>
      <c r="M962" t="s">
        <v>302</v>
      </c>
      <c r="N962" t="s">
        <v>303</v>
      </c>
      <c r="O962" s="4" t="s">
        <v>300</v>
      </c>
      <c r="P962" t="str">
        <f t="shared" ref="P962:P1025" si="31">_xlfn.TEXTJOIN("",TRUE,E962:G962)</f>
        <v>"40198"</v>
      </c>
    </row>
    <row r="963" spans="1:16" x14ac:dyDescent="0.2">
      <c r="A963" t="s">
        <v>301</v>
      </c>
      <c r="B963" s="5" t="s">
        <v>158</v>
      </c>
      <c r="C963" t="s">
        <v>301</v>
      </c>
      <c r="E963" s="4" t="s">
        <v>301</v>
      </c>
      <c r="F963" t="s">
        <v>191</v>
      </c>
      <c r="G963" t="s">
        <v>301</v>
      </c>
      <c r="I963" t="s">
        <v>298</v>
      </c>
      <c r="J963" t="s">
        <v>299</v>
      </c>
      <c r="K963" s="4" t="s">
        <v>304</v>
      </c>
      <c r="L963" t="str">
        <f t="shared" si="30"/>
        <v>"York County School Board"</v>
      </c>
      <c r="M963" t="s">
        <v>302</v>
      </c>
      <c r="N963" t="s">
        <v>303</v>
      </c>
      <c r="O963" s="4" t="s">
        <v>300</v>
      </c>
      <c r="P963" t="str">
        <f t="shared" si="31"/>
        <v>"40199"</v>
      </c>
    </row>
    <row r="964" spans="1:16" x14ac:dyDescent="0.2">
      <c r="A964" t="s">
        <v>301</v>
      </c>
      <c r="B964" s="5" t="s">
        <v>159</v>
      </c>
      <c r="C964" t="s">
        <v>301</v>
      </c>
      <c r="E964" s="4" t="s">
        <v>301</v>
      </c>
      <c r="F964" t="s">
        <v>192</v>
      </c>
      <c r="G964" t="s">
        <v>301</v>
      </c>
      <c r="I964" t="s">
        <v>298</v>
      </c>
      <c r="J964" t="s">
        <v>299</v>
      </c>
      <c r="K964" s="4" t="s">
        <v>304</v>
      </c>
      <c r="L964" t="str">
        <f t="shared" si="30"/>
        <v>"Alexandria City School Board"</v>
      </c>
      <c r="M964" t="s">
        <v>302</v>
      </c>
      <c r="N964" t="s">
        <v>303</v>
      </c>
      <c r="O964" s="4" t="s">
        <v>300</v>
      </c>
      <c r="P964" t="str">
        <f t="shared" si="31"/>
        <v>"40200"</v>
      </c>
    </row>
    <row r="965" spans="1:16" x14ac:dyDescent="0.2">
      <c r="A965" t="s">
        <v>301</v>
      </c>
      <c r="B965" s="5" t="s">
        <v>160</v>
      </c>
      <c r="C965" t="s">
        <v>301</v>
      </c>
      <c r="E965" s="4" t="s">
        <v>301</v>
      </c>
      <c r="F965" t="s">
        <v>193</v>
      </c>
      <c r="G965" t="s">
        <v>301</v>
      </c>
      <c r="I965" t="s">
        <v>298</v>
      </c>
      <c r="J965" t="s">
        <v>299</v>
      </c>
      <c r="K965" s="4" t="s">
        <v>304</v>
      </c>
      <c r="L965" t="str">
        <f t="shared" si="30"/>
        <v>"Bristol City School Board"</v>
      </c>
      <c r="M965" t="s">
        <v>302</v>
      </c>
      <c r="N965" t="s">
        <v>303</v>
      </c>
      <c r="O965" s="4" t="s">
        <v>300</v>
      </c>
      <c r="P965" t="str">
        <f t="shared" si="31"/>
        <v>"40201"</v>
      </c>
    </row>
    <row r="966" spans="1:16" x14ac:dyDescent="0.2">
      <c r="A966" t="s">
        <v>301</v>
      </c>
      <c r="B966" s="5" t="s">
        <v>161</v>
      </c>
      <c r="C966" t="s">
        <v>301</v>
      </c>
      <c r="E966" s="4" t="s">
        <v>301</v>
      </c>
      <c r="F966" t="s">
        <v>194</v>
      </c>
      <c r="G966" t="s">
        <v>301</v>
      </c>
      <c r="I966" t="s">
        <v>298</v>
      </c>
      <c r="J966" t="s">
        <v>299</v>
      </c>
      <c r="K966" s="4" t="s">
        <v>304</v>
      </c>
      <c r="L966" t="str">
        <f t="shared" si="30"/>
        <v>"Buena Vista City Schools"</v>
      </c>
      <c r="M966" t="s">
        <v>302</v>
      </c>
      <c r="N966" t="s">
        <v>303</v>
      </c>
      <c r="O966" s="4" t="s">
        <v>300</v>
      </c>
      <c r="P966" t="str">
        <f t="shared" si="31"/>
        <v>"40202"</v>
      </c>
    </row>
    <row r="967" spans="1:16" x14ac:dyDescent="0.2">
      <c r="A967" t="s">
        <v>301</v>
      </c>
      <c r="B967" s="5" t="s">
        <v>162</v>
      </c>
      <c r="C967" t="s">
        <v>301</v>
      </c>
      <c r="E967" s="4" t="s">
        <v>301</v>
      </c>
      <c r="F967" t="s">
        <v>195</v>
      </c>
      <c r="G967" t="s">
        <v>301</v>
      </c>
      <c r="I967" t="s">
        <v>298</v>
      </c>
      <c r="J967" t="s">
        <v>299</v>
      </c>
      <c r="K967" s="4" t="s">
        <v>304</v>
      </c>
      <c r="L967" t="str">
        <f t="shared" si="30"/>
        <v>"Charlottesville Public Schools"</v>
      </c>
      <c r="M967" t="s">
        <v>302</v>
      </c>
      <c r="N967" t="s">
        <v>303</v>
      </c>
      <c r="O967" s="4" t="s">
        <v>300</v>
      </c>
      <c r="P967" t="str">
        <f t="shared" si="31"/>
        <v>"40203"</v>
      </c>
    </row>
    <row r="968" spans="1:16" x14ac:dyDescent="0.2">
      <c r="A968" t="s">
        <v>301</v>
      </c>
      <c r="B968" s="5" t="s">
        <v>196</v>
      </c>
      <c r="C968" t="s">
        <v>301</v>
      </c>
      <c r="E968" s="4" t="s">
        <v>301</v>
      </c>
      <c r="F968" t="s">
        <v>229</v>
      </c>
      <c r="G968" t="s">
        <v>301</v>
      </c>
      <c r="I968" t="s">
        <v>298</v>
      </c>
      <c r="J968" t="s">
        <v>299</v>
      </c>
      <c r="K968" s="4" t="s">
        <v>304</v>
      </c>
      <c r="L968" t="str">
        <f t="shared" si="30"/>
        <v>"Danville City Schools"</v>
      </c>
      <c r="M968" t="s">
        <v>302</v>
      </c>
      <c r="N968" t="s">
        <v>303</v>
      </c>
      <c r="O968" s="4" t="s">
        <v>300</v>
      </c>
      <c r="P968" t="str">
        <f t="shared" si="31"/>
        <v>"40205"</v>
      </c>
    </row>
    <row r="969" spans="1:16" x14ac:dyDescent="0.2">
      <c r="A969" t="s">
        <v>301</v>
      </c>
      <c r="B969" s="5" t="s">
        <v>197</v>
      </c>
      <c r="C969" t="s">
        <v>301</v>
      </c>
      <c r="E969" s="4" t="s">
        <v>301</v>
      </c>
      <c r="F969" t="s">
        <v>230</v>
      </c>
      <c r="G969" t="s">
        <v>301</v>
      </c>
      <c r="I969" t="s">
        <v>298</v>
      </c>
      <c r="J969" t="s">
        <v>299</v>
      </c>
      <c r="K969" s="4" t="s">
        <v>304</v>
      </c>
      <c r="L969" t="str">
        <f t="shared" si="30"/>
        <v>"Fredericksburg City Schools"</v>
      </c>
      <c r="M969" t="s">
        <v>302</v>
      </c>
      <c r="N969" t="s">
        <v>303</v>
      </c>
      <c r="O969" s="4" t="s">
        <v>300</v>
      </c>
      <c r="P969" t="str">
        <f t="shared" si="31"/>
        <v>"40206"</v>
      </c>
    </row>
    <row r="970" spans="1:16" x14ac:dyDescent="0.2">
      <c r="A970" t="s">
        <v>301</v>
      </c>
      <c r="B970" s="5" t="s">
        <v>198</v>
      </c>
      <c r="C970" t="s">
        <v>301</v>
      </c>
      <c r="E970" s="4" t="s">
        <v>301</v>
      </c>
      <c r="F970" t="s">
        <v>231</v>
      </c>
      <c r="G970" t="s">
        <v>301</v>
      </c>
      <c r="I970" t="s">
        <v>298</v>
      </c>
      <c r="J970" t="s">
        <v>299</v>
      </c>
      <c r="K970" s="4" t="s">
        <v>304</v>
      </c>
      <c r="L970" t="str">
        <f t="shared" si="30"/>
        <v>"Hampton City Schools"</v>
      </c>
      <c r="M970" t="s">
        <v>302</v>
      </c>
      <c r="N970" t="s">
        <v>303</v>
      </c>
      <c r="O970" s="4" t="s">
        <v>300</v>
      </c>
      <c r="P970" t="str">
        <f t="shared" si="31"/>
        <v>"40207"</v>
      </c>
    </row>
    <row r="971" spans="1:16" x14ac:dyDescent="0.2">
      <c r="A971" t="s">
        <v>301</v>
      </c>
      <c r="B971" s="5" t="s">
        <v>199</v>
      </c>
      <c r="C971" t="s">
        <v>301</v>
      </c>
      <c r="E971" s="4" t="s">
        <v>301</v>
      </c>
      <c r="F971" t="s">
        <v>232</v>
      </c>
      <c r="G971" t="s">
        <v>301</v>
      </c>
      <c r="I971" t="s">
        <v>298</v>
      </c>
      <c r="J971" t="s">
        <v>299</v>
      </c>
      <c r="K971" s="4" t="s">
        <v>304</v>
      </c>
      <c r="L971" t="str">
        <f t="shared" si="30"/>
        <v>"Harrisonburg City School Board"</v>
      </c>
      <c r="M971" t="s">
        <v>302</v>
      </c>
      <c r="N971" t="s">
        <v>303</v>
      </c>
      <c r="O971" s="4" t="s">
        <v>300</v>
      </c>
      <c r="P971" t="str">
        <f t="shared" si="31"/>
        <v>"40208"</v>
      </c>
    </row>
    <row r="972" spans="1:16" x14ac:dyDescent="0.2">
      <c r="A972" t="s">
        <v>301</v>
      </c>
      <c r="B972" s="5" t="s">
        <v>200</v>
      </c>
      <c r="C972" t="s">
        <v>301</v>
      </c>
      <c r="E972" s="4" t="s">
        <v>301</v>
      </c>
      <c r="F972" t="s">
        <v>233</v>
      </c>
      <c r="G972" t="s">
        <v>301</v>
      </c>
      <c r="I972" t="s">
        <v>298</v>
      </c>
      <c r="J972" t="s">
        <v>299</v>
      </c>
      <c r="K972" s="4" t="s">
        <v>304</v>
      </c>
      <c r="L972" t="str">
        <f t="shared" si="30"/>
        <v>"Hopewell City School Board"</v>
      </c>
      <c r="M972" t="s">
        <v>302</v>
      </c>
      <c r="N972" t="s">
        <v>303</v>
      </c>
      <c r="O972" s="4" t="s">
        <v>300</v>
      </c>
      <c r="P972" t="str">
        <f t="shared" si="31"/>
        <v>"40209"</v>
      </c>
    </row>
    <row r="973" spans="1:16" x14ac:dyDescent="0.2">
      <c r="A973" t="s">
        <v>301</v>
      </c>
      <c r="B973" s="5" t="s">
        <v>201</v>
      </c>
      <c r="C973" t="s">
        <v>301</v>
      </c>
      <c r="E973" s="4" t="s">
        <v>301</v>
      </c>
      <c r="F973" t="s">
        <v>234</v>
      </c>
      <c r="G973" t="s">
        <v>301</v>
      </c>
      <c r="I973" t="s">
        <v>298</v>
      </c>
      <c r="J973" t="s">
        <v>299</v>
      </c>
      <c r="K973" s="4" t="s">
        <v>304</v>
      </c>
      <c r="L973" t="str">
        <f t="shared" si="30"/>
        <v>"Lynchburg Public Schools"</v>
      </c>
      <c r="M973" t="s">
        <v>302</v>
      </c>
      <c r="N973" t="s">
        <v>303</v>
      </c>
      <c r="O973" s="4" t="s">
        <v>300</v>
      </c>
      <c r="P973" t="str">
        <f t="shared" si="31"/>
        <v>"40210"</v>
      </c>
    </row>
    <row r="974" spans="1:16" x14ac:dyDescent="0.2">
      <c r="A974" t="s">
        <v>301</v>
      </c>
      <c r="B974" s="5" t="s">
        <v>202</v>
      </c>
      <c r="C974" t="s">
        <v>301</v>
      </c>
      <c r="E974" s="4" t="s">
        <v>301</v>
      </c>
      <c r="F974" t="s">
        <v>235</v>
      </c>
      <c r="G974" t="s">
        <v>301</v>
      </c>
      <c r="I974" t="s">
        <v>298</v>
      </c>
      <c r="J974" t="s">
        <v>299</v>
      </c>
      <c r="K974" s="4" t="s">
        <v>304</v>
      </c>
      <c r="L974" t="str">
        <f t="shared" si="30"/>
        <v>"Newport News Public Schools"</v>
      </c>
      <c r="M974" t="s">
        <v>302</v>
      </c>
      <c r="N974" t="s">
        <v>303</v>
      </c>
      <c r="O974" s="4" t="s">
        <v>300</v>
      </c>
      <c r="P974" t="str">
        <f t="shared" si="31"/>
        <v>"40211"</v>
      </c>
    </row>
    <row r="975" spans="1:16" x14ac:dyDescent="0.2">
      <c r="A975" t="s">
        <v>301</v>
      </c>
      <c r="B975" s="5" t="s">
        <v>203</v>
      </c>
      <c r="C975" t="s">
        <v>301</v>
      </c>
      <c r="E975" s="4" t="s">
        <v>301</v>
      </c>
      <c r="F975" t="s">
        <v>236</v>
      </c>
      <c r="G975" t="s">
        <v>301</v>
      </c>
      <c r="I975" t="s">
        <v>298</v>
      </c>
      <c r="J975" t="s">
        <v>299</v>
      </c>
      <c r="K975" s="4" t="s">
        <v>304</v>
      </c>
      <c r="L975" t="str">
        <f t="shared" si="30"/>
        <v>"Norfolk Public Schools"</v>
      </c>
      <c r="M975" t="s">
        <v>302</v>
      </c>
      <c r="N975" t="s">
        <v>303</v>
      </c>
      <c r="O975" s="4" t="s">
        <v>300</v>
      </c>
      <c r="P975" t="str">
        <f t="shared" si="31"/>
        <v>"40212"</v>
      </c>
    </row>
    <row r="976" spans="1:16" x14ac:dyDescent="0.2">
      <c r="A976" t="s">
        <v>301</v>
      </c>
      <c r="B976" s="5" t="s">
        <v>204</v>
      </c>
      <c r="C976" t="s">
        <v>301</v>
      </c>
      <c r="E976" s="4" t="s">
        <v>301</v>
      </c>
      <c r="F976" t="s">
        <v>237</v>
      </c>
      <c r="G976" t="s">
        <v>301</v>
      </c>
      <c r="I976" t="s">
        <v>298</v>
      </c>
      <c r="J976" t="s">
        <v>299</v>
      </c>
      <c r="K976" s="4" t="s">
        <v>304</v>
      </c>
      <c r="L976" t="str">
        <f t="shared" si="30"/>
        <v>"Petersburg City Schools"</v>
      </c>
      <c r="M976" t="s">
        <v>302</v>
      </c>
      <c r="N976" t="s">
        <v>303</v>
      </c>
      <c r="O976" s="4" t="s">
        <v>300</v>
      </c>
      <c r="P976" t="str">
        <f t="shared" si="31"/>
        <v>"40213"</v>
      </c>
    </row>
    <row r="977" spans="1:16" x14ac:dyDescent="0.2">
      <c r="A977" t="s">
        <v>301</v>
      </c>
      <c r="B977" s="5" t="s">
        <v>205</v>
      </c>
      <c r="C977" t="s">
        <v>301</v>
      </c>
      <c r="E977" s="4" t="s">
        <v>301</v>
      </c>
      <c r="F977" t="s">
        <v>238</v>
      </c>
      <c r="G977" t="s">
        <v>301</v>
      </c>
      <c r="I977" t="s">
        <v>298</v>
      </c>
      <c r="J977" t="s">
        <v>299</v>
      </c>
      <c r="K977" s="4" t="s">
        <v>304</v>
      </c>
      <c r="L977" t="str">
        <f t="shared" si="30"/>
        <v>"Portsmouth School Board"</v>
      </c>
      <c r="M977" t="s">
        <v>302</v>
      </c>
      <c r="N977" t="s">
        <v>303</v>
      </c>
      <c r="O977" s="4" t="s">
        <v>300</v>
      </c>
      <c r="P977" t="str">
        <f t="shared" si="31"/>
        <v>"40214"</v>
      </c>
    </row>
    <row r="978" spans="1:16" x14ac:dyDescent="0.2">
      <c r="A978" t="s">
        <v>301</v>
      </c>
      <c r="B978" s="5" t="s">
        <v>206</v>
      </c>
      <c r="C978" t="s">
        <v>301</v>
      </c>
      <c r="E978" s="4" t="s">
        <v>301</v>
      </c>
      <c r="F978" t="s">
        <v>239</v>
      </c>
      <c r="G978" t="s">
        <v>301</v>
      </c>
      <c r="I978" t="s">
        <v>298</v>
      </c>
      <c r="J978" t="s">
        <v>299</v>
      </c>
      <c r="K978" s="4" t="s">
        <v>304</v>
      </c>
      <c r="L978" t="str">
        <f t="shared" si="30"/>
        <v>"Radford City School Board"</v>
      </c>
      <c r="M978" t="s">
        <v>302</v>
      </c>
      <c r="N978" t="s">
        <v>303</v>
      </c>
      <c r="O978" s="4" t="s">
        <v>300</v>
      </c>
      <c r="P978" t="str">
        <f t="shared" si="31"/>
        <v>"40215"</v>
      </c>
    </row>
    <row r="979" spans="1:16" x14ac:dyDescent="0.2">
      <c r="A979" t="s">
        <v>301</v>
      </c>
      <c r="B979" s="5" t="s">
        <v>207</v>
      </c>
      <c r="C979" t="s">
        <v>301</v>
      </c>
      <c r="E979" s="4" t="s">
        <v>301</v>
      </c>
      <c r="F979" t="s">
        <v>240</v>
      </c>
      <c r="G979" t="s">
        <v>301</v>
      </c>
      <c r="I979" t="s">
        <v>298</v>
      </c>
      <c r="J979" t="s">
        <v>299</v>
      </c>
      <c r="K979" s="4" t="s">
        <v>304</v>
      </c>
      <c r="L979" t="str">
        <f t="shared" si="30"/>
        <v>"Richmond Public Schools"</v>
      </c>
      <c r="M979" t="s">
        <v>302</v>
      </c>
      <c r="N979" t="s">
        <v>303</v>
      </c>
      <c r="O979" s="4" t="s">
        <v>300</v>
      </c>
      <c r="P979" t="str">
        <f t="shared" si="31"/>
        <v>"40216"</v>
      </c>
    </row>
    <row r="980" spans="1:16" x14ac:dyDescent="0.2">
      <c r="A980" t="s">
        <v>301</v>
      </c>
      <c r="B980" s="5" t="s">
        <v>208</v>
      </c>
      <c r="C980" t="s">
        <v>301</v>
      </c>
      <c r="E980" s="4" t="s">
        <v>301</v>
      </c>
      <c r="F980" t="s">
        <v>241</v>
      </c>
      <c r="G980" t="s">
        <v>301</v>
      </c>
      <c r="I980" t="s">
        <v>298</v>
      </c>
      <c r="J980" t="s">
        <v>299</v>
      </c>
      <c r="K980" s="4" t="s">
        <v>304</v>
      </c>
      <c r="L980" t="str">
        <f t="shared" si="30"/>
        <v>"Roanoke City School Board"</v>
      </c>
      <c r="M980" t="s">
        <v>302</v>
      </c>
      <c r="N980" t="s">
        <v>303</v>
      </c>
      <c r="O980" s="4" t="s">
        <v>300</v>
      </c>
      <c r="P980" t="str">
        <f t="shared" si="31"/>
        <v>"40217"</v>
      </c>
    </row>
    <row r="981" spans="1:16" x14ac:dyDescent="0.2">
      <c r="A981" t="s">
        <v>301</v>
      </c>
      <c r="B981" s="5" t="s">
        <v>209</v>
      </c>
      <c r="C981" t="s">
        <v>301</v>
      </c>
      <c r="E981" s="4" t="s">
        <v>301</v>
      </c>
      <c r="F981" t="s">
        <v>242</v>
      </c>
      <c r="G981" t="s">
        <v>301</v>
      </c>
      <c r="I981" t="s">
        <v>298</v>
      </c>
      <c r="J981" t="s">
        <v>299</v>
      </c>
      <c r="K981" s="4" t="s">
        <v>304</v>
      </c>
      <c r="L981" t="str">
        <f t="shared" si="30"/>
        <v>"Staunton City Schools"</v>
      </c>
      <c r="M981" t="s">
        <v>302</v>
      </c>
      <c r="N981" t="s">
        <v>303</v>
      </c>
      <c r="O981" s="4" t="s">
        <v>300</v>
      </c>
      <c r="P981" t="str">
        <f t="shared" si="31"/>
        <v>"40219"</v>
      </c>
    </row>
    <row r="982" spans="1:16" x14ac:dyDescent="0.2">
      <c r="A982" t="s">
        <v>301</v>
      </c>
      <c r="B982" s="5" t="s">
        <v>210</v>
      </c>
      <c r="C982" t="s">
        <v>301</v>
      </c>
      <c r="E982" s="4" t="s">
        <v>301</v>
      </c>
      <c r="F982" t="s">
        <v>243</v>
      </c>
      <c r="G982" t="s">
        <v>301</v>
      </c>
      <c r="I982" t="s">
        <v>298</v>
      </c>
      <c r="J982" t="s">
        <v>299</v>
      </c>
      <c r="K982" s="4" t="s">
        <v>304</v>
      </c>
      <c r="L982" t="str">
        <f t="shared" si="30"/>
        <v>"Suffolk City School Board"</v>
      </c>
      <c r="M982" t="s">
        <v>302</v>
      </c>
      <c r="N982" t="s">
        <v>303</v>
      </c>
      <c r="O982" s="4" t="s">
        <v>300</v>
      </c>
      <c r="P982" t="str">
        <f t="shared" si="31"/>
        <v>"40220"</v>
      </c>
    </row>
    <row r="983" spans="1:16" x14ac:dyDescent="0.2">
      <c r="A983" t="s">
        <v>301</v>
      </c>
      <c r="B983" s="5" t="s">
        <v>211</v>
      </c>
      <c r="C983" t="s">
        <v>301</v>
      </c>
      <c r="E983" s="4" t="s">
        <v>301</v>
      </c>
      <c r="F983" t="s">
        <v>244</v>
      </c>
      <c r="G983" t="s">
        <v>301</v>
      </c>
      <c r="I983" t="s">
        <v>298</v>
      </c>
      <c r="J983" t="s">
        <v>299</v>
      </c>
      <c r="K983" s="4" t="s">
        <v>304</v>
      </c>
      <c r="L983" t="str">
        <f t="shared" si="30"/>
        <v>"Winchester Public Schools"</v>
      </c>
      <c r="M983" t="s">
        <v>302</v>
      </c>
      <c r="N983" t="s">
        <v>303</v>
      </c>
      <c r="O983" s="4" t="s">
        <v>300</v>
      </c>
      <c r="P983" t="str">
        <f t="shared" si="31"/>
        <v>"40222"</v>
      </c>
    </row>
    <row r="984" spans="1:16" x14ac:dyDescent="0.2">
      <c r="A984" t="s">
        <v>301</v>
      </c>
      <c r="B984" s="5" t="s">
        <v>212</v>
      </c>
      <c r="C984" t="s">
        <v>301</v>
      </c>
      <c r="E984" s="4" t="s">
        <v>301</v>
      </c>
      <c r="F984">
        <v>40223</v>
      </c>
      <c r="G984" t="s">
        <v>301</v>
      </c>
      <c r="I984" t="s">
        <v>298</v>
      </c>
      <c r="J984" t="s">
        <v>299</v>
      </c>
      <c r="K984" s="4" t="s">
        <v>304</v>
      </c>
      <c r="L984" t="str">
        <f t="shared" si="30"/>
        <v>"Martinsville City Schools"</v>
      </c>
      <c r="M984" t="s">
        <v>302</v>
      </c>
      <c r="N984" t="s">
        <v>303</v>
      </c>
      <c r="O984" s="4" t="s">
        <v>300</v>
      </c>
      <c r="P984" t="str">
        <f t="shared" si="31"/>
        <v>"40223"</v>
      </c>
    </row>
    <row r="985" spans="1:16" x14ac:dyDescent="0.2">
      <c r="A985" t="s">
        <v>301</v>
      </c>
      <c r="B985" s="5" t="s">
        <v>213</v>
      </c>
      <c r="C985" t="s">
        <v>301</v>
      </c>
      <c r="E985" s="4" t="s">
        <v>301</v>
      </c>
      <c r="F985">
        <v>40224</v>
      </c>
      <c r="G985" t="s">
        <v>301</v>
      </c>
      <c r="I985" t="s">
        <v>298</v>
      </c>
      <c r="J985" t="s">
        <v>299</v>
      </c>
      <c r="K985" s="4" t="s">
        <v>304</v>
      </c>
      <c r="L985" t="str">
        <f t="shared" si="30"/>
        <v>"Falls Church Public Schools"</v>
      </c>
      <c r="M985" t="s">
        <v>302</v>
      </c>
      <c r="N985" t="s">
        <v>303</v>
      </c>
      <c r="O985" s="4" t="s">
        <v>300</v>
      </c>
      <c r="P985" t="str">
        <f t="shared" si="31"/>
        <v>"40224"</v>
      </c>
    </row>
    <row r="986" spans="1:16" x14ac:dyDescent="0.2">
      <c r="A986" t="s">
        <v>301</v>
      </c>
      <c r="B986" s="5" t="s">
        <v>214</v>
      </c>
      <c r="C986" t="s">
        <v>301</v>
      </c>
      <c r="E986" s="4" t="s">
        <v>301</v>
      </c>
      <c r="F986">
        <v>40225</v>
      </c>
      <c r="G986" t="s">
        <v>301</v>
      </c>
      <c r="I986" t="s">
        <v>298</v>
      </c>
      <c r="J986" t="s">
        <v>299</v>
      </c>
      <c r="K986" s="4" t="s">
        <v>304</v>
      </c>
      <c r="L986" t="str">
        <f t="shared" si="30"/>
        <v>"Colonial Heights City Schools"</v>
      </c>
      <c r="M986" t="s">
        <v>302</v>
      </c>
      <c r="N986" t="s">
        <v>303</v>
      </c>
      <c r="O986" s="4" t="s">
        <v>300</v>
      </c>
      <c r="P986" t="str">
        <f t="shared" si="31"/>
        <v>"40225"</v>
      </c>
    </row>
    <row r="987" spans="1:16" x14ac:dyDescent="0.2">
      <c r="A987" t="s">
        <v>301</v>
      </c>
      <c r="B987" s="5" t="s">
        <v>215</v>
      </c>
      <c r="C987" t="s">
        <v>301</v>
      </c>
      <c r="E987" s="4" t="s">
        <v>301</v>
      </c>
      <c r="F987">
        <v>40230</v>
      </c>
      <c r="G987" t="s">
        <v>301</v>
      </c>
      <c r="I987" t="s">
        <v>298</v>
      </c>
      <c r="J987" t="s">
        <v>299</v>
      </c>
      <c r="K987" s="4" t="s">
        <v>304</v>
      </c>
      <c r="L987" t="str">
        <f t="shared" si="30"/>
        <v>"Covington City School Board"</v>
      </c>
      <c r="M987" t="s">
        <v>302</v>
      </c>
      <c r="N987" t="s">
        <v>303</v>
      </c>
      <c r="O987" s="4" t="s">
        <v>300</v>
      </c>
      <c r="P987" t="str">
        <f t="shared" si="31"/>
        <v>"40230"</v>
      </c>
    </row>
    <row r="988" spans="1:16" x14ac:dyDescent="0.2">
      <c r="A988" t="s">
        <v>301</v>
      </c>
      <c r="B988" s="5" t="s">
        <v>216</v>
      </c>
      <c r="C988" t="s">
        <v>301</v>
      </c>
      <c r="E988" s="4" t="s">
        <v>301</v>
      </c>
      <c r="F988">
        <v>40231</v>
      </c>
      <c r="G988" t="s">
        <v>301</v>
      </c>
      <c r="I988" t="s">
        <v>298</v>
      </c>
      <c r="J988" t="s">
        <v>299</v>
      </c>
      <c r="K988" s="4" t="s">
        <v>304</v>
      </c>
      <c r="L988" t="str">
        <f t="shared" si="30"/>
        <v>"Fairfax City School Board"</v>
      </c>
      <c r="M988" t="s">
        <v>302</v>
      </c>
      <c r="N988" t="s">
        <v>303</v>
      </c>
      <c r="O988" s="4" t="s">
        <v>300</v>
      </c>
      <c r="P988" t="str">
        <f t="shared" si="31"/>
        <v>"40231"</v>
      </c>
    </row>
    <row r="989" spans="1:16" x14ac:dyDescent="0.2">
      <c r="A989" t="s">
        <v>301</v>
      </c>
      <c r="B989" s="5" t="s">
        <v>217</v>
      </c>
      <c r="C989" t="s">
        <v>301</v>
      </c>
      <c r="E989" s="4" t="s">
        <v>301</v>
      </c>
      <c r="F989">
        <v>40232</v>
      </c>
      <c r="G989" t="s">
        <v>301</v>
      </c>
      <c r="I989" t="s">
        <v>298</v>
      </c>
      <c r="J989" t="s">
        <v>299</v>
      </c>
      <c r="K989" s="4" t="s">
        <v>304</v>
      </c>
      <c r="L989" t="str">
        <f t="shared" si="30"/>
        <v>"Franklin City Public Schools"</v>
      </c>
      <c r="M989" t="s">
        <v>302</v>
      </c>
      <c r="N989" t="s">
        <v>303</v>
      </c>
      <c r="O989" s="4" t="s">
        <v>300</v>
      </c>
      <c r="P989" t="str">
        <f t="shared" si="31"/>
        <v>"40232"</v>
      </c>
    </row>
    <row r="990" spans="1:16" x14ac:dyDescent="0.2">
      <c r="A990" t="s">
        <v>301</v>
      </c>
      <c r="B990" s="5" t="s">
        <v>218</v>
      </c>
      <c r="C990" t="s">
        <v>301</v>
      </c>
      <c r="E990" s="4" t="s">
        <v>301</v>
      </c>
      <c r="F990">
        <v>40233</v>
      </c>
      <c r="G990" t="s">
        <v>301</v>
      </c>
      <c r="I990" t="s">
        <v>298</v>
      </c>
      <c r="J990" t="s">
        <v>299</v>
      </c>
      <c r="K990" s="4" t="s">
        <v>304</v>
      </c>
      <c r="L990" t="str">
        <f t="shared" si="30"/>
        <v>"Chesapeake Public Schools"</v>
      </c>
      <c r="M990" t="s">
        <v>302</v>
      </c>
      <c r="N990" t="s">
        <v>303</v>
      </c>
      <c r="O990" s="4" t="s">
        <v>300</v>
      </c>
      <c r="P990" t="str">
        <f t="shared" si="31"/>
        <v>"40233"</v>
      </c>
    </row>
    <row r="991" spans="1:16" x14ac:dyDescent="0.2">
      <c r="A991" t="s">
        <v>301</v>
      </c>
      <c r="B991" s="5" t="s">
        <v>219</v>
      </c>
      <c r="C991" t="s">
        <v>301</v>
      </c>
      <c r="E991" s="4" t="s">
        <v>301</v>
      </c>
      <c r="F991">
        <v>40234</v>
      </c>
      <c r="G991" t="s">
        <v>301</v>
      </c>
      <c r="I991" t="s">
        <v>298</v>
      </c>
      <c r="J991" t="s">
        <v>299</v>
      </c>
      <c r="K991" s="4" t="s">
        <v>304</v>
      </c>
      <c r="L991" t="str">
        <f t="shared" si="30"/>
        <v>"Virginia Beach City School Board"</v>
      </c>
      <c r="M991" t="s">
        <v>302</v>
      </c>
      <c r="N991" t="s">
        <v>303</v>
      </c>
      <c r="O991" s="4" t="s">
        <v>300</v>
      </c>
      <c r="P991" t="str">
        <f t="shared" si="31"/>
        <v>"40234"</v>
      </c>
    </row>
    <row r="992" spans="1:16" x14ac:dyDescent="0.2">
      <c r="A992" t="s">
        <v>301</v>
      </c>
      <c r="B992" s="5" t="s">
        <v>220</v>
      </c>
      <c r="C992" t="s">
        <v>301</v>
      </c>
      <c r="E992" s="4" t="s">
        <v>301</v>
      </c>
      <c r="F992">
        <v>40236</v>
      </c>
      <c r="G992" t="s">
        <v>301</v>
      </c>
      <c r="I992" t="s">
        <v>298</v>
      </c>
      <c r="J992" t="s">
        <v>299</v>
      </c>
      <c r="K992" s="4" t="s">
        <v>304</v>
      </c>
      <c r="L992" t="str">
        <f t="shared" si="30"/>
        <v>"Manassas Park City Schools"</v>
      </c>
      <c r="M992" t="s">
        <v>302</v>
      </c>
      <c r="N992" t="s">
        <v>303</v>
      </c>
      <c r="O992" s="4" t="s">
        <v>300</v>
      </c>
      <c r="P992" t="str">
        <f t="shared" si="31"/>
        <v>"40236"</v>
      </c>
    </row>
    <row r="993" spans="1:16" x14ac:dyDescent="0.2">
      <c r="A993" t="s">
        <v>301</v>
      </c>
      <c r="B993" s="5" t="s">
        <v>221</v>
      </c>
      <c r="C993" t="s">
        <v>301</v>
      </c>
      <c r="E993" s="4" t="s">
        <v>301</v>
      </c>
      <c r="F993">
        <v>40306</v>
      </c>
      <c r="G993" t="s">
        <v>301</v>
      </c>
      <c r="I993" t="s">
        <v>298</v>
      </c>
      <c r="J993" t="s">
        <v>299</v>
      </c>
      <c r="K993" s="4" t="s">
        <v>304</v>
      </c>
      <c r="L993" t="str">
        <f t="shared" si="30"/>
        <v>"Town of West Point School Board"</v>
      </c>
      <c r="M993" t="s">
        <v>302</v>
      </c>
      <c r="N993" t="s">
        <v>303</v>
      </c>
      <c r="O993" s="4" t="s">
        <v>300</v>
      </c>
      <c r="P993" t="str">
        <f t="shared" si="31"/>
        <v>"40306"</v>
      </c>
    </row>
    <row r="994" spans="1:16" x14ac:dyDescent="0.2">
      <c r="A994" t="s">
        <v>301</v>
      </c>
      <c r="B994" s="5" t="s">
        <v>222</v>
      </c>
      <c r="C994" t="s">
        <v>301</v>
      </c>
      <c r="E994" s="4" t="s">
        <v>301</v>
      </c>
      <c r="F994">
        <v>40307</v>
      </c>
      <c r="G994" t="s">
        <v>301</v>
      </c>
      <c r="I994" t="s">
        <v>298</v>
      </c>
      <c r="J994" t="s">
        <v>299</v>
      </c>
      <c r="K994" s="4" t="s">
        <v>304</v>
      </c>
      <c r="L994" t="str">
        <f t="shared" si="30"/>
        <v>"Lexington City School Board"</v>
      </c>
      <c r="M994" t="s">
        <v>302</v>
      </c>
      <c r="N994" t="s">
        <v>303</v>
      </c>
      <c r="O994" s="4" t="s">
        <v>300</v>
      </c>
      <c r="P994" t="str">
        <f t="shared" si="31"/>
        <v>"40307"</v>
      </c>
    </row>
    <row r="995" spans="1:16" x14ac:dyDescent="0.2">
      <c r="A995" t="s">
        <v>301</v>
      </c>
      <c r="B995" s="5" t="s">
        <v>223</v>
      </c>
      <c r="C995" t="s">
        <v>301</v>
      </c>
      <c r="E995" s="4" t="s">
        <v>301</v>
      </c>
      <c r="F995">
        <v>40308</v>
      </c>
      <c r="G995" t="s">
        <v>301</v>
      </c>
      <c r="I995" t="s">
        <v>298</v>
      </c>
      <c r="J995" t="s">
        <v>299</v>
      </c>
      <c r="K995" s="4" t="s">
        <v>304</v>
      </c>
      <c r="L995" t="str">
        <f t="shared" si="30"/>
        <v>"Waynesboro Public Schools"</v>
      </c>
      <c r="M995" t="s">
        <v>302</v>
      </c>
      <c r="N995" t="s">
        <v>303</v>
      </c>
      <c r="O995" s="4" t="s">
        <v>300</v>
      </c>
      <c r="P995" t="str">
        <f t="shared" si="31"/>
        <v>"40308"</v>
      </c>
    </row>
    <row r="996" spans="1:16" x14ac:dyDescent="0.2">
      <c r="A996" t="s">
        <v>301</v>
      </c>
      <c r="B996" s="5" t="s">
        <v>224</v>
      </c>
      <c r="C996" t="s">
        <v>301</v>
      </c>
      <c r="E996" s="4" t="s">
        <v>301</v>
      </c>
      <c r="F996">
        <v>40309</v>
      </c>
      <c r="G996" t="s">
        <v>301</v>
      </c>
      <c r="I996" t="s">
        <v>298</v>
      </c>
      <c r="J996" t="s">
        <v>299</v>
      </c>
      <c r="K996" s="4" t="s">
        <v>304</v>
      </c>
      <c r="L996" t="str">
        <f t="shared" si="30"/>
        <v>"Town of Colonial Beach Schools"</v>
      </c>
      <c r="M996" t="s">
        <v>302</v>
      </c>
      <c r="N996" t="s">
        <v>303</v>
      </c>
      <c r="O996" s="4" t="s">
        <v>300</v>
      </c>
      <c r="P996" t="str">
        <f t="shared" si="31"/>
        <v>"40309"</v>
      </c>
    </row>
    <row r="997" spans="1:16" x14ac:dyDescent="0.2">
      <c r="A997" t="s">
        <v>301</v>
      </c>
      <c r="B997" s="5" t="s">
        <v>225</v>
      </c>
      <c r="C997" t="s">
        <v>301</v>
      </c>
      <c r="E997" s="4" t="s">
        <v>301</v>
      </c>
      <c r="F997">
        <v>40313</v>
      </c>
      <c r="G997" t="s">
        <v>301</v>
      </c>
      <c r="I997" t="s">
        <v>298</v>
      </c>
      <c r="J997" t="s">
        <v>299</v>
      </c>
      <c r="K997" s="4" t="s">
        <v>304</v>
      </c>
      <c r="L997" t="str">
        <f t="shared" si="30"/>
        <v>"Galax City Schools"</v>
      </c>
      <c r="M997" t="s">
        <v>302</v>
      </c>
      <c r="N997" t="s">
        <v>303</v>
      </c>
      <c r="O997" s="4" t="s">
        <v>300</v>
      </c>
      <c r="P997" t="str">
        <f t="shared" si="31"/>
        <v>"40313"</v>
      </c>
    </row>
    <row r="998" spans="1:16" x14ac:dyDescent="0.2">
      <c r="A998" t="s">
        <v>301</v>
      </c>
      <c r="B998" s="5" t="s">
        <v>226</v>
      </c>
      <c r="C998" t="s">
        <v>301</v>
      </c>
      <c r="E998" s="4" t="s">
        <v>301</v>
      </c>
      <c r="F998">
        <v>40314</v>
      </c>
      <c r="G998" t="s">
        <v>301</v>
      </c>
      <c r="I998" t="s">
        <v>298</v>
      </c>
      <c r="J998" t="s">
        <v>299</v>
      </c>
      <c r="K998" s="4" t="s">
        <v>304</v>
      </c>
      <c r="L998" t="str">
        <f t="shared" si="30"/>
        <v>"Norton City Schools"</v>
      </c>
      <c r="M998" t="s">
        <v>302</v>
      </c>
      <c r="N998" t="s">
        <v>303</v>
      </c>
      <c r="O998" s="4" t="s">
        <v>300</v>
      </c>
      <c r="P998" t="str">
        <f t="shared" si="31"/>
        <v>"40314"</v>
      </c>
    </row>
    <row r="999" spans="1:16" x14ac:dyDescent="0.2">
      <c r="A999" t="s">
        <v>301</v>
      </c>
      <c r="B999" s="5" t="s">
        <v>227</v>
      </c>
      <c r="C999" t="s">
        <v>301</v>
      </c>
      <c r="E999" s="4" t="s">
        <v>301</v>
      </c>
      <c r="F999">
        <v>40332</v>
      </c>
      <c r="G999" t="s">
        <v>301</v>
      </c>
      <c r="I999" t="s">
        <v>298</v>
      </c>
      <c r="J999" t="s">
        <v>299</v>
      </c>
      <c r="K999" s="4" t="s">
        <v>304</v>
      </c>
      <c r="L999" t="str">
        <f t="shared" si="30"/>
        <v>"Manassas City Schools"</v>
      </c>
      <c r="M999" t="s">
        <v>302</v>
      </c>
      <c r="N999" t="s">
        <v>303</v>
      </c>
      <c r="O999" s="4" t="s">
        <v>300</v>
      </c>
      <c r="P999" t="str">
        <f t="shared" si="31"/>
        <v>"40332"</v>
      </c>
    </row>
    <row r="1000" spans="1:16" x14ac:dyDescent="0.2">
      <c r="A1000" t="s">
        <v>301</v>
      </c>
      <c r="B1000" s="5" t="s">
        <v>228</v>
      </c>
      <c r="C1000" t="s">
        <v>301</v>
      </c>
      <c r="E1000" s="4" t="s">
        <v>301</v>
      </c>
      <c r="F1000">
        <v>40335</v>
      </c>
      <c r="G1000" t="s">
        <v>301</v>
      </c>
      <c r="I1000" t="s">
        <v>298</v>
      </c>
      <c r="J1000" t="s">
        <v>299</v>
      </c>
      <c r="K1000" s="4" t="s">
        <v>304</v>
      </c>
      <c r="L1000" t="str">
        <f t="shared" si="30"/>
        <v>"City of Salem Schools"</v>
      </c>
      <c r="M1000" t="s">
        <v>302</v>
      </c>
      <c r="N1000" t="s">
        <v>303</v>
      </c>
      <c r="O1000" s="4" t="s">
        <v>300</v>
      </c>
      <c r="P1000" t="str">
        <f t="shared" si="31"/>
        <v>"40335"</v>
      </c>
    </row>
    <row r="1001" spans="1:16" x14ac:dyDescent="0.2">
      <c r="A1001" t="s">
        <v>301</v>
      </c>
      <c r="B1001" s="5" t="s">
        <v>294</v>
      </c>
      <c r="C1001" t="s">
        <v>301</v>
      </c>
      <c r="E1001" s="4" t="s">
        <v>301</v>
      </c>
      <c r="F1001">
        <v>40402</v>
      </c>
      <c r="G1001" t="s">
        <v>301</v>
      </c>
      <c r="I1001" t="s">
        <v>298</v>
      </c>
      <c r="J1001" t="s">
        <v>299</v>
      </c>
      <c r="K1001" s="4" t="s">
        <v>304</v>
      </c>
      <c r="L1001" t="str">
        <f t="shared" si="30"/>
        <v>"Williamsburg-James City County School Board"</v>
      </c>
      <c r="M1001" t="s">
        <v>302</v>
      </c>
      <c r="N1001" t="s">
        <v>303</v>
      </c>
      <c r="O1001" s="4" t="s">
        <v>300</v>
      </c>
      <c r="P1001" t="str">
        <f t="shared" si="31"/>
        <v>"40402"</v>
      </c>
    </row>
    <row r="1002" spans="1:16" x14ac:dyDescent="0.2">
      <c r="A1002" t="s">
        <v>301</v>
      </c>
      <c r="B1002" s="5" t="s">
        <v>263</v>
      </c>
      <c r="C1002" t="s">
        <v>301</v>
      </c>
      <c r="E1002" s="4" t="s">
        <v>301</v>
      </c>
      <c r="F1002">
        <v>40403</v>
      </c>
      <c r="G1002" t="s">
        <v>301</v>
      </c>
      <c r="I1002" t="s">
        <v>298</v>
      </c>
      <c r="J1002" t="s">
        <v>299</v>
      </c>
      <c r="K1002" s="4" t="s">
        <v>304</v>
      </c>
      <c r="L1002" t="str">
        <f t="shared" si="30"/>
        <v>"Poquoson City Public Schools"</v>
      </c>
      <c r="M1002" t="s">
        <v>302</v>
      </c>
      <c r="N1002" t="s">
        <v>303</v>
      </c>
      <c r="O1002" s="4" t="s">
        <v>300</v>
      </c>
      <c r="P1002" t="str">
        <f t="shared" si="31"/>
        <v>"40403"</v>
      </c>
    </row>
    <row r="1003" spans="1:16" x14ac:dyDescent="0.2">
      <c r="A1003" t="s">
        <v>301</v>
      </c>
      <c r="B1003" s="5" t="s">
        <v>264</v>
      </c>
      <c r="C1003" t="s">
        <v>301</v>
      </c>
      <c r="E1003" s="4" t="s">
        <v>301</v>
      </c>
      <c r="F1003">
        <v>40410</v>
      </c>
      <c r="G1003" t="s">
        <v>301</v>
      </c>
      <c r="I1003" t="s">
        <v>298</v>
      </c>
      <c r="J1003" t="s">
        <v>299</v>
      </c>
      <c r="K1003" s="4" t="s">
        <v>304</v>
      </c>
      <c r="L1003" t="str">
        <f t="shared" si="30"/>
        <v>"Valley Vocational Technical Center"</v>
      </c>
      <c r="M1003" t="s">
        <v>302</v>
      </c>
      <c r="N1003" t="s">
        <v>303</v>
      </c>
      <c r="O1003" s="4" t="s">
        <v>300</v>
      </c>
      <c r="P1003" t="str">
        <f t="shared" si="31"/>
        <v>"40410"</v>
      </c>
    </row>
    <row r="1004" spans="1:16" x14ac:dyDescent="0.2">
      <c r="A1004" t="s">
        <v>301</v>
      </c>
      <c r="B1004" s="5" t="s">
        <v>295</v>
      </c>
      <c r="C1004" t="s">
        <v>301</v>
      </c>
      <c r="E1004" s="4" t="s">
        <v>301</v>
      </c>
      <c r="F1004">
        <v>40412</v>
      </c>
      <c r="G1004" t="s">
        <v>301</v>
      </c>
      <c r="I1004" t="s">
        <v>298</v>
      </c>
      <c r="J1004" t="s">
        <v>299</v>
      </c>
      <c r="K1004" s="4" t="s">
        <v>304</v>
      </c>
      <c r="L1004" t="str">
        <f t="shared" si="30"/>
        <v>"Charlottesville/Albemarle Vo-Tech Center"</v>
      </c>
      <c r="M1004" t="s">
        <v>302</v>
      </c>
      <c r="N1004" t="s">
        <v>303</v>
      </c>
      <c r="O1004" s="4" t="s">
        <v>300</v>
      </c>
      <c r="P1004" t="str">
        <f t="shared" si="31"/>
        <v>"40412"</v>
      </c>
    </row>
    <row r="1005" spans="1:16" x14ac:dyDescent="0.2">
      <c r="A1005" t="s">
        <v>301</v>
      </c>
      <c r="B1005" s="5" t="s">
        <v>267</v>
      </c>
      <c r="C1005" t="s">
        <v>301</v>
      </c>
      <c r="E1005" s="4" t="s">
        <v>301</v>
      </c>
      <c r="F1005">
        <v>40414</v>
      </c>
      <c r="G1005" t="s">
        <v>301</v>
      </c>
      <c r="I1005" t="s">
        <v>298</v>
      </c>
      <c r="J1005" t="s">
        <v>299</v>
      </c>
      <c r="K1005" s="4" t="s">
        <v>304</v>
      </c>
      <c r="L1005" t="str">
        <f t="shared" si="30"/>
        <v>"Jackson River Technical Center"</v>
      </c>
      <c r="M1005" t="s">
        <v>302</v>
      </c>
      <c r="N1005" t="s">
        <v>303</v>
      </c>
      <c r="O1005" s="4" t="s">
        <v>300</v>
      </c>
      <c r="P1005" t="str">
        <f t="shared" si="31"/>
        <v>"40414"</v>
      </c>
    </row>
    <row r="1006" spans="1:16" x14ac:dyDescent="0.2">
      <c r="A1006" t="s">
        <v>301</v>
      </c>
      <c r="B1006" s="5" t="s">
        <v>268</v>
      </c>
      <c r="C1006" t="s">
        <v>301</v>
      </c>
      <c r="E1006" s="4" t="s">
        <v>301</v>
      </c>
      <c r="F1006">
        <v>40415</v>
      </c>
      <c r="G1006" t="s">
        <v>301</v>
      </c>
      <c r="I1006" t="s">
        <v>298</v>
      </c>
      <c r="J1006" t="s">
        <v>299</v>
      </c>
      <c r="K1006" s="4" t="s">
        <v>304</v>
      </c>
      <c r="L1006" t="str">
        <f t="shared" si="30"/>
        <v>"New Horizons Technical Center"</v>
      </c>
      <c r="M1006" t="s">
        <v>302</v>
      </c>
      <c r="N1006" t="s">
        <v>303</v>
      </c>
      <c r="O1006" s="4" t="s">
        <v>300</v>
      </c>
      <c r="P1006" t="str">
        <f t="shared" si="31"/>
        <v>"40415"</v>
      </c>
    </row>
    <row r="1007" spans="1:16" x14ac:dyDescent="0.2">
      <c r="A1007" t="s">
        <v>301</v>
      </c>
      <c r="B1007" s="5" t="s">
        <v>269</v>
      </c>
      <c r="C1007" t="s">
        <v>301</v>
      </c>
      <c r="E1007" s="4" t="s">
        <v>301</v>
      </c>
      <c r="F1007">
        <v>40416</v>
      </c>
      <c r="G1007" t="s">
        <v>301</v>
      </c>
      <c r="I1007" t="s">
        <v>298</v>
      </c>
      <c r="J1007" t="s">
        <v>299</v>
      </c>
      <c r="K1007" s="4" t="s">
        <v>304</v>
      </c>
      <c r="L1007" t="str">
        <f t="shared" si="30"/>
        <v>"Northern Neck Regional Vocational Center"</v>
      </c>
      <c r="M1007" t="s">
        <v>302</v>
      </c>
      <c r="N1007" t="s">
        <v>303</v>
      </c>
      <c r="O1007" s="4" t="s">
        <v>300</v>
      </c>
      <c r="P1007" t="str">
        <f t="shared" si="31"/>
        <v>"40416"</v>
      </c>
    </row>
    <row r="1008" spans="1:16" x14ac:dyDescent="0.2">
      <c r="A1008" t="s">
        <v>301</v>
      </c>
      <c r="B1008" s="5" t="s">
        <v>270</v>
      </c>
      <c r="C1008" t="s">
        <v>301</v>
      </c>
      <c r="E1008" s="4" t="s">
        <v>301</v>
      </c>
      <c r="F1008">
        <v>40417</v>
      </c>
      <c r="G1008" t="s">
        <v>301</v>
      </c>
      <c r="I1008" t="s">
        <v>298</v>
      </c>
      <c r="J1008" t="s">
        <v>299</v>
      </c>
      <c r="K1008" s="4" t="s">
        <v>304</v>
      </c>
      <c r="L1008" t="str">
        <f t="shared" si="30"/>
        <v>"Rowanty Vocational Technical Center"</v>
      </c>
      <c r="M1008" t="s">
        <v>302</v>
      </c>
      <c r="N1008" t="s">
        <v>303</v>
      </c>
      <c r="O1008" s="4" t="s">
        <v>300</v>
      </c>
      <c r="P1008" t="str">
        <f t="shared" si="31"/>
        <v>"40417"</v>
      </c>
    </row>
    <row r="1009" spans="1:16" x14ac:dyDescent="0.2">
      <c r="A1009" t="s">
        <v>301</v>
      </c>
      <c r="B1009" s="5" t="s">
        <v>296</v>
      </c>
      <c r="C1009" t="s">
        <v>301</v>
      </c>
      <c r="E1009" s="4" t="s">
        <v>301</v>
      </c>
      <c r="F1009">
        <v>40418</v>
      </c>
      <c r="G1009" t="s">
        <v>301</v>
      </c>
      <c r="I1009" t="s">
        <v>298</v>
      </c>
      <c r="J1009" t="s">
        <v>299</v>
      </c>
      <c r="K1009" s="4" t="s">
        <v>304</v>
      </c>
      <c r="L1009" t="str">
        <f t="shared" si="30"/>
        <v>"Amelia-Nottoway Vocational Center"</v>
      </c>
      <c r="M1009" t="s">
        <v>302</v>
      </c>
      <c r="N1009" t="s">
        <v>303</v>
      </c>
      <c r="O1009" s="4" t="s">
        <v>300</v>
      </c>
      <c r="P1009" t="str">
        <f t="shared" si="31"/>
        <v>"40418"</v>
      </c>
    </row>
    <row r="1010" spans="1:16" x14ac:dyDescent="0.2">
      <c r="A1010" t="s">
        <v>301</v>
      </c>
      <c r="B1010" s="5" t="s">
        <v>272</v>
      </c>
      <c r="C1010" t="s">
        <v>301</v>
      </c>
      <c r="E1010" s="4" t="s">
        <v>301</v>
      </c>
      <c r="F1010">
        <v>40421</v>
      </c>
      <c r="G1010" t="s">
        <v>301</v>
      </c>
      <c r="I1010" t="s">
        <v>298</v>
      </c>
      <c r="J1010" t="s">
        <v>299</v>
      </c>
      <c r="K1010" s="4" t="s">
        <v>304</v>
      </c>
      <c r="L1010" t="str">
        <f t="shared" si="30"/>
        <v>"Northern Neck Regional Special Education Program"</v>
      </c>
      <c r="M1010" t="s">
        <v>302</v>
      </c>
      <c r="N1010" t="s">
        <v>303</v>
      </c>
      <c r="O1010" s="4" t="s">
        <v>300</v>
      </c>
      <c r="P1010" t="str">
        <f t="shared" si="31"/>
        <v>"40421"</v>
      </c>
    </row>
    <row r="1011" spans="1:16" x14ac:dyDescent="0.2">
      <c r="A1011" t="s">
        <v>301</v>
      </c>
      <c r="B1011" s="5" t="s">
        <v>273</v>
      </c>
      <c r="C1011" t="s">
        <v>301</v>
      </c>
      <c r="E1011" s="4" t="s">
        <v>301</v>
      </c>
      <c r="F1011">
        <v>40423</v>
      </c>
      <c r="G1011" t="s">
        <v>301</v>
      </c>
      <c r="I1011" t="s">
        <v>298</v>
      </c>
      <c r="J1011" t="s">
        <v>299</v>
      </c>
      <c r="K1011" s="4" t="s">
        <v>304</v>
      </c>
      <c r="L1011" t="str">
        <f t="shared" si="30"/>
        <v>"Maggie Walker Governor's School for Govt &amp; Intl Studies"</v>
      </c>
      <c r="M1011" t="s">
        <v>302</v>
      </c>
      <c r="N1011" t="s">
        <v>303</v>
      </c>
      <c r="O1011" s="4" t="s">
        <v>300</v>
      </c>
      <c r="P1011" t="str">
        <f t="shared" si="31"/>
        <v>"40423"</v>
      </c>
    </row>
    <row r="1012" spans="1:16" x14ac:dyDescent="0.2">
      <c r="A1012" t="s">
        <v>301</v>
      </c>
      <c r="B1012" s="5" t="s">
        <v>274</v>
      </c>
      <c r="C1012" t="s">
        <v>301</v>
      </c>
      <c r="E1012" s="4" t="s">
        <v>301</v>
      </c>
      <c r="F1012">
        <v>40424</v>
      </c>
      <c r="G1012" t="s">
        <v>301</v>
      </c>
      <c r="I1012" t="s">
        <v>298</v>
      </c>
      <c r="J1012" t="s">
        <v>299</v>
      </c>
      <c r="K1012" s="4" t="s">
        <v>304</v>
      </c>
      <c r="L1012" t="str">
        <f t="shared" si="30"/>
        <v>"Appomattox Region Governor's School"</v>
      </c>
      <c r="M1012" t="s">
        <v>302</v>
      </c>
      <c r="N1012" t="s">
        <v>303</v>
      </c>
      <c r="O1012" s="4" t="s">
        <v>300</v>
      </c>
      <c r="P1012" t="str">
        <f t="shared" si="31"/>
        <v>"40424"</v>
      </c>
    </row>
    <row r="1013" spans="1:16" x14ac:dyDescent="0.2">
      <c r="A1013" t="s">
        <v>301</v>
      </c>
      <c r="B1013" s="5" t="s">
        <v>275</v>
      </c>
      <c r="C1013" t="s">
        <v>301</v>
      </c>
      <c r="E1013" s="4" t="s">
        <v>301</v>
      </c>
      <c r="F1013">
        <v>40425</v>
      </c>
      <c r="G1013" t="s">
        <v>301</v>
      </c>
      <c r="I1013" t="s">
        <v>298</v>
      </c>
      <c r="J1013" t="s">
        <v>299</v>
      </c>
      <c r="K1013" s="4" t="s">
        <v>304</v>
      </c>
      <c r="L1013" t="str">
        <f t="shared" si="30"/>
        <v>"Bridging Communities Regional Career and Tech Center"</v>
      </c>
      <c r="M1013" t="s">
        <v>302</v>
      </c>
      <c r="N1013" t="s">
        <v>303</v>
      </c>
      <c r="O1013" s="4" t="s">
        <v>300</v>
      </c>
      <c r="P1013" t="str">
        <f t="shared" si="31"/>
        <v>"40425"</v>
      </c>
    </row>
    <row r="1014" spans="1:16" x14ac:dyDescent="0.2">
      <c r="A1014" t="s">
        <v>301</v>
      </c>
      <c r="B1014" s="5" t="s">
        <v>0</v>
      </c>
      <c r="C1014" t="s">
        <v>301</v>
      </c>
      <c r="E1014" s="4" t="s">
        <v>301</v>
      </c>
      <c r="F1014" t="s">
        <v>32</v>
      </c>
      <c r="G1014" t="s">
        <v>301</v>
      </c>
      <c r="I1014" t="s">
        <v>298</v>
      </c>
      <c r="J1014" t="s">
        <v>299</v>
      </c>
      <c r="K1014" s="4" t="s">
        <v>304</v>
      </c>
      <c r="L1014" t="str">
        <f t="shared" si="30"/>
        <v>"Accomack County School Board"</v>
      </c>
      <c r="M1014" t="s">
        <v>302</v>
      </c>
      <c r="N1014" t="s">
        <v>303</v>
      </c>
      <c r="O1014" s="4" t="s">
        <v>300</v>
      </c>
      <c r="P1014" t="str">
        <f t="shared" si="31"/>
        <v>"40100"</v>
      </c>
    </row>
    <row r="1015" spans="1:16" x14ac:dyDescent="0.2">
      <c r="A1015" t="s">
        <v>301</v>
      </c>
      <c r="B1015" s="5" t="s">
        <v>1</v>
      </c>
      <c r="C1015" t="s">
        <v>301</v>
      </c>
      <c r="E1015" s="4" t="s">
        <v>301</v>
      </c>
      <c r="F1015" t="s">
        <v>33</v>
      </c>
      <c r="G1015" t="s">
        <v>301</v>
      </c>
      <c r="I1015" t="s">
        <v>298</v>
      </c>
      <c r="J1015" t="s">
        <v>299</v>
      </c>
      <c r="K1015" s="4" t="s">
        <v>304</v>
      </c>
      <c r="L1015" t="str">
        <f t="shared" si="30"/>
        <v>"Albemarle County Schools"</v>
      </c>
      <c r="M1015" t="s">
        <v>302</v>
      </c>
      <c r="N1015" t="s">
        <v>303</v>
      </c>
      <c r="O1015" s="4" t="s">
        <v>300</v>
      </c>
      <c r="P1015" t="str">
        <f t="shared" si="31"/>
        <v>"40101"</v>
      </c>
    </row>
    <row r="1016" spans="1:16" x14ac:dyDescent="0.2">
      <c r="A1016" t="s">
        <v>301</v>
      </c>
      <c r="B1016" s="5" t="s">
        <v>2</v>
      </c>
      <c r="C1016" t="s">
        <v>301</v>
      </c>
      <c r="E1016" s="4" t="s">
        <v>301</v>
      </c>
      <c r="F1016" t="s">
        <v>34</v>
      </c>
      <c r="G1016" t="s">
        <v>301</v>
      </c>
      <c r="I1016" t="s">
        <v>298</v>
      </c>
      <c r="J1016" t="s">
        <v>299</v>
      </c>
      <c r="K1016" s="4" t="s">
        <v>304</v>
      </c>
      <c r="L1016" t="str">
        <f t="shared" si="30"/>
        <v>"Alleghany County School Board"</v>
      </c>
      <c r="M1016" t="s">
        <v>302</v>
      </c>
      <c r="N1016" t="s">
        <v>303</v>
      </c>
      <c r="O1016" s="4" t="s">
        <v>300</v>
      </c>
      <c r="P1016" t="str">
        <f t="shared" si="31"/>
        <v>"40102"</v>
      </c>
    </row>
    <row r="1017" spans="1:16" x14ac:dyDescent="0.2">
      <c r="A1017" t="s">
        <v>301</v>
      </c>
      <c r="B1017" s="5" t="s">
        <v>3</v>
      </c>
      <c r="C1017" t="s">
        <v>301</v>
      </c>
      <c r="E1017" s="4" t="s">
        <v>301</v>
      </c>
      <c r="F1017" t="s">
        <v>35</v>
      </c>
      <c r="G1017" t="s">
        <v>301</v>
      </c>
      <c r="I1017" t="s">
        <v>298</v>
      </c>
      <c r="J1017" t="s">
        <v>299</v>
      </c>
      <c r="K1017" s="4" t="s">
        <v>304</v>
      </c>
      <c r="L1017" t="str">
        <f t="shared" si="30"/>
        <v>"Amelia County School Board"</v>
      </c>
      <c r="M1017" t="s">
        <v>302</v>
      </c>
      <c r="N1017" t="s">
        <v>303</v>
      </c>
      <c r="O1017" s="4" t="s">
        <v>300</v>
      </c>
      <c r="P1017" t="str">
        <f t="shared" si="31"/>
        <v>"40103"</v>
      </c>
    </row>
    <row r="1018" spans="1:16" x14ac:dyDescent="0.2">
      <c r="A1018" t="s">
        <v>301</v>
      </c>
      <c r="B1018" s="5" t="s">
        <v>4</v>
      </c>
      <c r="C1018" t="s">
        <v>301</v>
      </c>
      <c r="E1018" s="4" t="s">
        <v>301</v>
      </c>
      <c r="F1018" t="s">
        <v>36</v>
      </c>
      <c r="G1018" t="s">
        <v>301</v>
      </c>
      <c r="I1018" t="s">
        <v>298</v>
      </c>
      <c r="J1018" t="s">
        <v>299</v>
      </c>
      <c r="K1018" s="4" t="s">
        <v>304</v>
      </c>
      <c r="L1018" t="str">
        <f t="shared" si="30"/>
        <v>"Amherst County School Board"</v>
      </c>
      <c r="M1018" t="s">
        <v>302</v>
      </c>
      <c r="N1018" t="s">
        <v>303</v>
      </c>
      <c r="O1018" s="4" t="s">
        <v>300</v>
      </c>
      <c r="P1018" t="str">
        <f t="shared" si="31"/>
        <v>"40104"</v>
      </c>
    </row>
    <row r="1019" spans="1:16" x14ac:dyDescent="0.2">
      <c r="A1019" t="s">
        <v>301</v>
      </c>
      <c r="B1019" s="5" t="s">
        <v>5</v>
      </c>
      <c r="C1019" t="s">
        <v>301</v>
      </c>
      <c r="E1019" s="4" t="s">
        <v>301</v>
      </c>
      <c r="F1019" t="s">
        <v>37</v>
      </c>
      <c r="G1019" t="s">
        <v>301</v>
      </c>
      <c r="I1019" t="s">
        <v>298</v>
      </c>
      <c r="J1019" t="s">
        <v>299</v>
      </c>
      <c r="K1019" s="4" t="s">
        <v>304</v>
      </c>
      <c r="L1019" t="str">
        <f t="shared" si="30"/>
        <v>"Appomattox County School Board"</v>
      </c>
      <c r="M1019" t="s">
        <v>302</v>
      </c>
      <c r="N1019" t="s">
        <v>303</v>
      </c>
      <c r="O1019" s="4" t="s">
        <v>300</v>
      </c>
      <c r="P1019" t="str">
        <f t="shared" si="31"/>
        <v>"40105"</v>
      </c>
    </row>
    <row r="1020" spans="1:16" x14ac:dyDescent="0.2">
      <c r="A1020" t="s">
        <v>301</v>
      </c>
      <c r="B1020" s="5" t="s">
        <v>6</v>
      </c>
      <c r="C1020" t="s">
        <v>301</v>
      </c>
      <c r="E1020" s="4" t="s">
        <v>301</v>
      </c>
      <c r="F1020" t="s">
        <v>38</v>
      </c>
      <c r="G1020" t="s">
        <v>301</v>
      </c>
      <c r="I1020" t="s">
        <v>298</v>
      </c>
      <c r="J1020" t="s">
        <v>299</v>
      </c>
      <c r="K1020" s="4" t="s">
        <v>304</v>
      </c>
      <c r="L1020" t="str">
        <f t="shared" si="30"/>
        <v>"Arlington Public Schools"</v>
      </c>
      <c r="M1020" t="s">
        <v>302</v>
      </c>
      <c r="N1020" t="s">
        <v>303</v>
      </c>
      <c r="O1020" s="4" t="s">
        <v>300</v>
      </c>
      <c r="P1020" t="str">
        <f t="shared" si="31"/>
        <v>"40106"</v>
      </c>
    </row>
    <row r="1021" spans="1:16" x14ac:dyDescent="0.2">
      <c r="A1021" t="s">
        <v>301</v>
      </c>
      <c r="B1021" s="5" t="s">
        <v>7</v>
      </c>
      <c r="C1021" t="s">
        <v>301</v>
      </c>
      <c r="E1021" s="4" t="s">
        <v>301</v>
      </c>
      <c r="F1021" t="s">
        <v>39</v>
      </c>
      <c r="G1021" t="s">
        <v>301</v>
      </c>
      <c r="I1021" t="s">
        <v>298</v>
      </c>
      <c r="J1021" t="s">
        <v>299</v>
      </c>
      <c r="K1021" s="4" t="s">
        <v>304</v>
      </c>
      <c r="L1021" t="str">
        <f t="shared" si="30"/>
        <v>"Augusta County School Board"</v>
      </c>
      <c r="M1021" t="s">
        <v>302</v>
      </c>
      <c r="N1021" t="s">
        <v>303</v>
      </c>
      <c r="O1021" s="4" t="s">
        <v>300</v>
      </c>
      <c r="P1021" t="str">
        <f t="shared" si="31"/>
        <v>"40107"</v>
      </c>
    </row>
    <row r="1022" spans="1:16" x14ac:dyDescent="0.2">
      <c r="A1022" t="s">
        <v>301</v>
      </c>
      <c r="B1022" s="5" t="s">
        <v>8</v>
      </c>
      <c r="C1022" t="s">
        <v>301</v>
      </c>
      <c r="E1022" s="4" t="s">
        <v>301</v>
      </c>
      <c r="F1022" t="s">
        <v>40</v>
      </c>
      <c r="G1022" t="s">
        <v>301</v>
      </c>
      <c r="I1022" t="s">
        <v>298</v>
      </c>
      <c r="J1022" t="s">
        <v>299</v>
      </c>
      <c r="K1022" s="4" t="s">
        <v>304</v>
      </c>
      <c r="L1022" t="str">
        <f t="shared" si="30"/>
        <v>"Bath County School Board"</v>
      </c>
      <c r="M1022" t="s">
        <v>302</v>
      </c>
      <c r="N1022" t="s">
        <v>303</v>
      </c>
      <c r="O1022" s="4" t="s">
        <v>300</v>
      </c>
      <c r="P1022" t="str">
        <f t="shared" si="31"/>
        <v>"40108"</v>
      </c>
    </row>
    <row r="1023" spans="1:16" x14ac:dyDescent="0.2">
      <c r="A1023" t="s">
        <v>301</v>
      </c>
      <c r="B1023" s="5" t="s">
        <v>9</v>
      </c>
      <c r="C1023" t="s">
        <v>301</v>
      </c>
      <c r="E1023" s="4" t="s">
        <v>301</v>
      </c>
      <c r="F1023" t="s">
        <v>41</v>
      </c>
      <c r="G1023" t="s">
        <v>301</v>
      </c>
      <c r="I1023" t="s">
        <v>298</v>
      </c>
      <c r="J1023" t="s">
        <v>299</v>
      </c>
      <c r="K1023" s="4" t="s">
        <v>304</v>
      </c>
      <c r="L1023" t="str">
        <f t="shared" si="30"/>
        <v>"Bedford County School Board"</v>
      </c>
      <c r="M1023" t="s">
        <v>302</v>
      </c>
      <c r="N1023" t="s">
        <v>303</v>
      </c>
      <c r="O1023" s="4" t="s">
        <v>300</v>
      </c>
      <c r="P1023" t="str">
        <f t="shared" si="31"/>
        <v>"40109"</v>
      </c>
    </row>
    <row r="1024" spans="1:16" x14ac:dyDescent="0.2">
      <c r="A1024" t="s">
        <v>301</v>
      </c>
      <c r="B1024" s="5" t="s">
        <v>10</v>
      </c>
      <c r="C1024" t="s">
        <v>301</v>
      </c>
      <c r="E1024" s="4" t="s">
        <v>301</v>
      </c>
      <c r="F1024" t="s">
        <v>42</v>
      </c>
      <c r="G1024" t="s">
        <v>301</v>
      </c>
      <c r="I1024" t="s">
        <v>298</v>
      </c>
      <c r="J1024" t="s">
        <v>299</v>
      </c>
      <c r="K1024" s="4" t="s">
        <v>304</v>
      </c>
      <c r="L1024" t="str">
        <f t="shared" si="30"/>
        <v>"Bland County School Board"</v>
      </c>
      <c r="M1024" t="s">
        <v>302</v>
      </c>
      <c r="N1024" t="s">
        <v>303</v>
      </c>
      <c r="O1024" s="4" t="s">
        <v>300</v>
      </c>
      <c r="P1024" t="str">
        <f t="shared" si="31"/>
        <v>"40110"</v>
      </c>
    </row>
    <row r="1025" spans="1:16" x14ac:dyDescent="0.2">
      <c r="A1025" t="s">
        <v>301</v>
      </c>
      <c r="B1025" s="5" t="s">
        <v>11</v>
      </c>
      <c r="C1025" t="s">
        <v>301</v>
      </c>
      <c r="E1025" s="4" t="s">
        <v>301</v>
      </c>
      <c r="F1025" t="s">
        <v>43</v>
      </c>
      <c r="G1025" t="s">
        <v>301</v>
      </c>
      <c r="I1025" t="s">
        <v>298</v>
      </c>
      <c r="J1025" t="s">
        <v>299</v>
      </c>
      <c r="K1025" s="4" t="s">
        <v>304</v>
      </c>
      <c r="L1025" t="str">
        <f t="shared" si="30"/>
        <v>"Botetourt County Schools"</v>
      </c>
      <c r="M1025" t="s">
        <v>302</v>
      </c>
      <c r="N1025" t="s">
        <v>303</v>
      </c>
      <c r="O1025" s="4" t="s">
        <v>300</v>
      </c>
      <c r="P1025" t="str">
        <f t="shared" si="31"/>
        <v>"40111"</v>
      </c>
    </row>
    <row r="1026" spans="1:16" x14ac:dyDescent="0.2">
      <c r="A1026" t="s">
        <v>301</v>
      </c>
      <c r="B1026" s="5" t="s">
        <v>12</v>
      </c>
      <c r="C1026" t="s">
        <v>301</v>
      </c>
      <c r="E1026" s="4" t="s">
        <v>301</v>
      </c>
      <c r="F1026" t="s">
        <v>44</v>
      </c>
      <c r="G1026" t="s">
        <v>301</v>
      </c>
      <c r="I1026" t="s">
        <v>298</v>
      </c>
      <c r="J1026" t="s">
        <v>299</v>
      </c>
      <c r="K1026" s="4" t="s">
        <v>304</v>
      </c>
      <c r="L1026" t="str">
        <f t="shared" ref="L1026:L1089" si="32">_xlfn.TEXTJOIN("",TRUE,A1026:C1026)</f>
        <v>"Brunswick County Public Schools"</v>
      </c>
      <c r="M1026" t="s">
        <v>302</v>
      </c>
      <c r="N1026" t="s">
        <v>303</v>
      </c>
      <c r="O1026" s="4" t="s">
        <v>300</v>
      </c>
      <c r="P1026" t="str">
        <f t="shared" ref="P1026:P1089" si="33">_xlfn.TEXTJOIN("",TRUE,E1026:G1026)</f>
        <v>"40112"</v>
      </c>
    </row>
    <row r="1027" spans="1:16" x14ac:dyDescent="0.2">
      <c r="A1027" t="s">
        <v>301</v>
      </c>
      <c r="B1027" s="5" t="s">
        <v>13</v>
      </c>
      <c r="C1027" t="s">
        <v>301</v>
      </c>
      <c r="E1027" s="4" t="s">
        <v>301</v>
      </c>
      <c r="F1027" t="s">
        <v>45</v>
      </c>
      <c r="G1027" t="s">
        <v>301</v>
      </c>
      <c r="I1027" t="s">
        <v>298</v>
      </c>
      <c r="J1027" t="s">
        <v>299</v>
      </c>
      <c r="K1027" s="4" t="s">
        <v>304</v>
      </c>
      <c r="L1027" t="str">
        <f t="shared" si="32"/>
        <v>"Buchanan County School Board"</v>
      </c>
      <c r="M1027" t="s">
        <v>302</v>
      </c>
      <c r="N1027" t="s">
        <v>303</v>
      </c>
      <c r="O1027" s="4" t="s">
        <v>300</v>
      </c>
      <c r="P1027" t="str">
        <f t="shared" si="33"/>
        <v>"40113"</v>
      </c>
    </row>
    <row r="1028" spans="1:16" x14ac:dyDescent="0.2">
      <c r="A1028" t="s">
        <v>301</v>
      </c>
      <c r="B1028" s="5" t="s">
        <v>14</v>
      </c>
      <c r="C1028" t="s">
        <v>301</v>
      </c>
      <c r="E1028" s="4" t="s">
        <v>301</v>
      </c>
      <c r="F1028" t="s">
        <v>46</v>
      </c>
      <c r="G1028" t="s">
        <v>301</v>
      </c>
      <c r="I1028" t="s">
        <v>298</v>
      </c>
      <c r="J1028" t="s">
        <v>299</v>
      </c>
      <c r="K1028" s="4" t="s">
        <v>304</v>
      </c>
      <c r="L1028" t="str">
        <f t="shared" si="32"/>
        <v>"Buckingham County School Board"</v>
      </c>
      <c r="M1028" t="s">
        <v>302</v>
      </c>
      <c r="N1028" t="s">
        <v>303</v>
      </c>
      <c r="O1028" s="4" t="s">
        <v>300</v>
      </c>
      <c r="P1028" t="str">
        <f t="shared" si="33"/>
        <v>"40114"</v>
      </c>
    </row>
    <row r="1029" spans="1:16" x14ac:dyDescent="0.2">
      <c r="A1029" t="s">
        <v>301</v>
      </c>
      <c r="B1029" s="5" t="s">
        <v>15</v>
      </c>
      <c r="C1029" t="s">
        <v>301</v>
      </c>
      <c r="E1029" s="4" t="s">
        <v>301</v>
      </c>
      <c r="F1029" t="s">
        <v>47</v>
      </c>
      <c r="G1029" t="s">
        <v>301</v>
      </c>
      <c r="I1029" t="s">
        <v>298</v>
      </c>
      <c r="J1029" t="s">
        <v>299</v>
      </c>
      <c r="K1029" s="4" t="s">
        <v>304</v>
      </c>
      <c r="L1029" t="str">
        <f t="shared" si="32"/>
        <v>"Campbell County School Board"</v>
      </c>
      <c r="M1029" t="s">
        <v>302</v>
      </c>
      <c r="N1029" t="s">
        <v>303</v>
      </c>
      <c r="O1029" s="4" t="s">
        <v>300</v>
      </c>
      <c r="P1029" t="str">
        <f t="shared" si="33"/>
        <v>"40115"</v>
      </c>
    </row>
    <row r="1030" spans="1:16" x14ac:dyDescent="0.2">
      <c r="A1030" t="s">
        <v>301</v>
      </c>
      <c r="B1030" s="5" t="s">
        <v>16</v>
      </c>
      <c r="C1030" t="s">
        <v>301</v>
      </c>
      <c r="E1030" s="4" t="s">
        <v>301</v>
      </c>
      <c r="F1030" t="s">
        <v>48</v>
      </c>
      <c r="G1030" t="s">
        <v>301</v>
      </c>
      <c r="I1030" t="s">
        <v>298</v>
      </c>
      <c r="J1030" t="s">
        <v>299</v>
      </c>
      <c r="K1030" s="4" t="s">
        <v>304</v>
      </c>
      <c r="L1030" t="str">
        <f t="shared" si="32"/>
        <v>"Caroline County School Board"</v>
      </c>
      <c r="M1030" t="s">
        <v>302</v>
      </c>
      <c r="N1030" t="s">
        <v>303</v>
      </c>
      <c r="O1030" s="4" t="s">
        <v>300</v>
      </c>
      <c r="P1030" t="str">
        <f t="shared" si="33"/>
        <v>"40116"</v>
      </c>
    </row>
    <row r="1031" spans="1:16" x14ac:dyDescent="0.2">
      <c r="A1031" t="s">
        <v>301</v>
      </c>
      <c r="B1031" s="5" t="s">
        <v>17</v>
      </c>
      <c r="C1031" t="s">
        <v>301</v>
      </c>
      <c r="E1031" s="4" t="s">
        <v>301</v>
      </c>
      <c r="F1031" t="s">
        <v>49</v>
      </c>
      <c r="G1031" t="s">
        <v>301</v>
      </c>
      <c r="I1031" t="s">
        <v>298</v>
      </c>
      <c r="J1031" t="s">
        <v>299</v>
      </c>
      <c r="K1031" s="4" t="s">
        <v>304</v>
      </c>
      <c r="L1031" t="str">
        <f t="shared" si="32"/>
        <v>"Carroll County School Board"</v>
      </c>
      <c r="M1031" t="s">
        <v>302</v>
      </c>
      <c r="N1031" t="s">
        <v>303</v>
      </c>
      <c r="O1031" s="4" t="s">
        <v>300</v>
      </c>
      <c r="P1031" t="str">
        <f t="shared" si="33"/>
        <v>"40117"</v>
      </c>
    </row>
    <row r="1032" spans="1:16" x14ac:dyDescent="0.2">
      <c r="A1032" t="s">
        <v>301</v>
      </c>
      <c r="B1032" s="5" t="s">
        <v>18</v>
      </c>
      <c r="C1032" t="s">
        <v>301</v>
      </c>
      <c r="E1032" s="4" t="s">
        <v>301</v>
      </c>
      <c r="F1032" t="s">
        <v>50</v>
      </c>
      <c r="G1032" t="s">
        <v>301</v>
      </c>
      <c r="I1032" t="s">
        <v>298</v>
      </c>
      <c r="J1032" t="s">
        <v>299</v>
      </c>
      <c r="K1032" s="4" t="s">
        <v>304</v>
      </c>
      <c r="L1032" t="str">
        <f t="shared" si="32"/>
        <v>"Charles City County School Board"</v>
      </c>
      <c r="M1032" t="s">
        <v>302</v>
      </c>
      <c r="N1032" t="s">
        <v>303</v>
      </c>
      <c r="O1032" s="4" t="s">
        <v>300</v>
      </c>
      <c r="P1032" t="str">
        <f t="shared" si="33"/>
        <v>"40118"</v>
      </c>
    </row>
    <row r="1033" spans="1:16" x14ac:dyDescent="0.2">
      <c r="A1033" t="s">
        <v>301</v>
      </c>
      <c r="B1033" s="5" t="s">
        <v>19</v>
      </c>
      <c r="C1033" t="s">
        <v>301</v>
      </c>
      <c r="E1033" s="4" t="s">
        <v>301</v>
      </c>
      <c r="F1033" t="s">
        <v>51</v>
      </c>
      <c r="G1033" t="s">
        <v>301</v>
      </c>
      <c r="I1033" t="s">
        <v>298</v>
      </c>
      <c r="J1033" t="s">
        <v>299</v>
      </c>
      <c r="K1033" s="4" t="s">
        <v>304</v>
      </c>
      <c r="L1033" t="str">
        <f t="shared" si="32"/>
        <v>"Charlotte County School Board"</v>
      </c>
      <c r="M1033" t="s">
        <v>302</v>
      </c>
      <c r="N1033" t="s">
        <v>303</v>
      </c>
      <c r="O1033" s="4" t="s">
        <v>300</v>
      </c>
      <c r="P1033" t="str">
        <f t="shared" si="33"/>
        <v>"40119"</v>
      </c>
    </row>
    <row r="1034" spans="1:16" x14ac:dyDescent="0.2">
      <c r="A1034" t="s">
        <v>301</v>
      </c>
      <c r="B1034" s="5" t="s">
        <v>20</v>
      </c>
      <c r="C1034" t="s">
        <v>301</v>
      </c>
      <c r="E1034" s="4" t="s">
        <v>301</v>
      </c>
      <c r="F1034" t="s">
        <v>52</v>
      </c>
      <c r="G1034" t="s">
        <v>301</v>
      </c>
      <c r="I1034" t="s">
        <v>298</v>
      </c>
      <c r="J1034" t="s">
        <v>299</v>
      </c>
      <c r="K1034" s="4" t="s">
        <v>304</v>
      </c>
      <c r="L1034" t="str">
        <f t="shared" si="32"/>
        <v>"Chesterfield County School Board"</v>
      </c>
      <c r="M1034" t="s">
        <v>302</v>
      </c>
      <c r="N1034" t="s">
        <v>303</v>
      </c>
      <c r="O1034" s="4" t="s">
        <v>300</v>
      </c>
      <c r="P1034" t="str">
        <f t="shared" si="33"/>
        <v>"40120"</v>
      </c>
    </row>
    <row r="1035" spans="1:16" x14ac:dyDescent="0.2">
      <c r="A1035" t="s">
        <v>301</v>
      </c>
      <c r="B1035" s="5" t="s">
        <v>21</v>
      </c>
      <c r="C1035" t="s">
        <v>301</v>
      </c>
      <c r="E1035" s="4" t="s">
        <v>301</v>
      </c>
      <c r="F1035" t="s">
        <v>53</v>
      </c>
      <c r="G1035" t="s">
        <v>301</v>
      </c>
      <c r="I1035" t="s">
        <v>298</v>
      </c>
      <c r="J1035" t="s">
        <v>299</v>
      </c>
      <c r="K1035" s="4" t="s">
        <v>304</v>
      </c>
      <c r="L1035" t="str">
        <f t="shared" si="32"/>
        <v>"Clarke County School Board"</v>
      </c>
      <c r="M1035" t="s">
        <v>302</v>
      </c>
      <c r="N1035" t="s">
        <v>303</v>
      </c>
      <c r="O1035" s="4" t="s">
        <v>300</v>
      </c>
      <c r="P1035" t="str">
        <f t="shared" si="33"/>
        <v>"40121"</v>
      </c>
    </row>
    <row r="1036" spans="1:16" x14ac:dyDescent="0.2">
      <c r="A1036" t="s">
        <v>301</v>
      </c>
      <c r="B1036" s="5" t="s">
        <v>22</v>
      </c>
      <c r="C1036" t="s">
        <v>301</v>
      </c>
      <c r="E1036" s="4" t="s">
        <v>301</v>
      </c>
      <c r="F1036" t="s">
        <v>54</v>
      </c>
      <c r="G1036" t="s">
        <v>301</v>
      </c>
      <c r="I1036" t="s">
        <v>298</v>
      </c>
      <c r="J1036" t="s">
        <v>299</v>
      </c>
      <c r="K1036" s="4" t="s">
        <v>304</v>
      </c>
      <c r="L1036" t="str">
        <f t="shared" si="32"/>
        <v>"Craig County School Board"</v>
      </c>
      <c r="M1036" t="s">
        <v>302</v>
      </c>
      <c r="N1036" t="s">
        <v>303</v>
      </c>
      <c r="O1036" s="4" t="s">
        <v>300</v>
      </c>
      <c r="P1036" t="str">
        <f t="shared" si="33"/>
        <v>"40122"</v>
      </c>
    </row>
    <row r="1037" spans="1:16" x14ac:dyDescent="0.2">
      <c r="A1037" t="s">
        <v>301</v>
      </c>
      <c r="B1037" s="5" t="s">
        <v>23</v>
      </c>
      <c r="C1037" t="s">
        <v>301</v>
      </c>
      <c r="E1037" s="4" t="s">
        <v>301</v>
      </c>
      <c r="F1037" t="s">
        <v>55</v>
      </c>
      <c r="G1037" t="s">
        <v>301</v>
      </c>
      <c r="I1037" t="s">
        <v>298</v>
      </c>
      <c r="J1037" t="s">
        <v>299</v>
      </c>
      <c r="K1037" s="4" t="s">
        <v>304</v>
      </c>
      <c r="L1037" t="str">
        <f t="shared" si="32"/>
        <v>"Culpeper County School Board"</v>
      </c>
      <c r="M1037" t="s">
        <v>302</v>
      </c>
      <c r="N1037" t="s">
        <v>303</v>
      </c>
      <c r="O1037" s="4" t="s">
        <v>300</v>
      </c>
      <c r="P1037" t="str">
        <f t="shared" si="33"/>
        <v>"40123"</v>
      </c>
    </row>
    <row r="1038" spans="1:16" x14ac:dyDescent="0.2">
      <c r="A1038" t="s">
        <v>301</v>
      </c>
      <c r="B1038" s="5" t="s">
        <v>24</v>
      </c>
      <c r="C1038" t="s">
        <v>301</v>
      </c>
      <c r="E1038" s="4" t="s">
        <v>301</v>
      </c>
      <c r="F1038" t="s">
        <v>56</v>
      </c>
      <c r="G1038" t="s">
        <v>301</v>
      </c>
      <c r="I1038" t="s">
        <v>298</v>
      </c>
      <c r="J1038" t="s">
        <v>299</v>
      </c>
      <c r="K1038" s="4" t="s">
        <v>304</v>
      </c>
      <c r="L1038" t="str">
        <f t="shared" si="32"/>
        <v>"Cumberland County School Board"</v>
      </c>
      <c r="M1038" t="s">
        <v>302</v>
      </c>
      <c r="N1038" t="s">
        <v>303</v>
      </c>
      <c r="O1038" s="4" t="s">
        <v>300</v>
      </c>
      <c r="P1038" t="str">
        <f t="shared" si="33"/>
        <v>"40124"</v>
      </c>
    </row>
    <row r="1039" spans="1:16" x14ac:dyDescent="0.2">
      <c r="A1039" t="s">
        <v>301</v>
      </c>
      <c r="B1039" s="5" t="s">
        <v>25</v>
      </c>
      <c r="C1039" t="s">
        <v>301</v>
      </c>
      <c r="E1039" s="4" t="s">
        <v>301</v>
      </c>
      <c r="F1039" t="s">
        <v>57</v>
      </c>
      <c r="G1039" t="s">
        <v>301</v>
      </c>
      <c r="I1039" t="s">
        <v>298</v>
      </c>
      <c r="J1039" t="s">
        <v>299</v>
      </c>
      <c r="K1039" s="4" t="s">
        <v>304</v>
      </c>
      <c r="L1039" t="str">
        <f t="shared" si="32"/>
        <v>"Dickenson County School Board"</v>
      </c>
      <c r="M1039" t="s">
        <v>302</v>
      </c>
      <c r="N1039" t="s">
        <v>303</v>
      </c>
      <c r="O1039" s="4" t="s">
        <v>300</v>
      </c>
      <c r="P1039" t="str">
        <f t="shared" si="33"/>
        <v>"40125"</v>
      </c>
    </row>
    <row r="1040" spans="1:16" x14ac:dyDescent="0.2">
      <c r="A1040" t="s">
        <v>301</v>
      </c>
      <c r="B1040" s="5" t="s">
        <v>26</v>
      </c>
      <c r="C1040" t="s">
        <v>301</v>
      </c>
      <c r="E1040" s="4" t="s">
        <v>301</v>
      </c>
      <c r="F1040" t="s">
        <v>58</v>
      </c>
      <c r="G1040" t="s">
        <v>301</v>
      </c>
      <c r="I1040" t="s">
        <v>298</v>
      </c>
      <c r="J1040" t="s">
        <v>299</v>
      </c>
      <c r="K1040" s="4" t="s">
        <v>304</v>
      </c>
      <c r="L1040" t="str">
        <f t="shared" si="32"/>
        <v>"Dinwiddie County School Board"</v>
      </c>
      <c r="M1040" t="s">
        <v>302</v>
      </c>
      <c r="N1040" t="s">
        <v>303</v>
      </c>
      <c r="O1040" s="4" t="s">
        <v>300</v>
      </c>
      <c r="P1040" t="str">
        <f t="shared" si="33"/>
        <v>"40126"</v>
      </c>
    </row>
    <row r="1041" spans="1:16" x14ac:dyDescent="0.2">
      <c r="A1041" t="s">
        <v>301</v>
      </c>
      <c r="B1041" s="5" t="s">
        <v>27</v>
      </c>
      <c r="C1041" t="s">
        <v>301</v>
      </c>
      <c r="E1041" s="4" t="s">
        <v>301</v>
      </c>
      <c r="F1041" t="s">
        <v>59</v>
      </c>
      <c r="G1041" t="s">
        <v>301</v>
      </c>
      <c r="I1041" t="s">
        <v>298</v>
      </c>
      <c r="J1041" t="s">
        <v>299</v>
      </c>
      <c r="K1041" s="4" t="s">
        <v>304</v>
      </c>
      <c r="L1041" t="str">
        <f t="shared" si="32"/>
        <v>"Essex County Public Schools"</v>
      </c>
      <c r="M1041" t="s">
        <v>302</v>
      </c>
      <c r="N1041" t="s">
        <v>303</v>
      </c>
      <c r="O1041" s="4" t="s">
        <v>300</v>
      </c>
      <c r="P1041" t="str">
        <f t="shared" si="33"/>
        <v>"40128"</v>
      </c>
    </row>
    <row r="1042" spans="1:16" x14ac:dyDescent="0.2">
      <c r="A1042" t="s">
        <v>301</v>
      </c>
      <c r="B1042" s="5" t="s">
        <v>28</v>
      </c>
      <c r="C1042" t="s">
        <v>301</v>
      </c>
      <c r="E1042" s="4" t="s">
        <v>301</v>
      </c>
      <c r="F1042" t="s">
        <v>60</v>
      </c>
      <c r="G1042" t="s">
        <v>301</v>
      </c>
      <c r="I1042" t="s">
        <v>298</v>
      </c>
      <c r="J1042" t="s">
        <v>299</v>
      </c>
      <c r="K1042" s="4" t="s">
        <v>304</v>
      </c>
      <c r="L1042" t="str">
        <f t="shared" si="32"/>
        <v>"Fairfax County School Board"</v>
      </c>
      <c r="M1042" t="s">
        <v>302</v>
      </c>
      <c r="N1042" t="s">
        <v>303</v>
      </c>
      <c r="O1042" s="4" t="s">
        <v>300</v>
      </c>
      <c r="P1042" t="str">
        <f t="shared" si="33"/>
        <v>"40129"</v>
      </c>
    </row>
    <row r="1043" spans="1:16" x14ac:dyDescent="0.2">
      <c r="A1043" t="s">
        <v>301</v>
      </c>
      <c r="B1043" s="5" t="s">
        <v>29</v>
      </c>
      <c r="C1043" t="s">
        <v>301</v>
      </c>
      <c r="E1043" s="4" t="s">
        <v>301</v>
      </c>
      <c r="F1043" t="s">
        <v>61</v>
      </c>
      <c r="G1043" t="s">
        <v>301</v>
      </c>
      <c r="I1043" t="s">
        <v>298</v>
      </c>
      <c r="J1043" t="s">
        <v>299</v>
      </c>
      <c r="K1043" s="4" t="s">
        <v>304</v>
      </c>
      <c r="L1043" t="str">
        <f t="shared" si="32"/>
        <v>"Fauquier County School Board"</v>
      </c>
      <c r="M1043" t="s">
        <v>302</v>
      </c>
      <c r="N1043" t="s">
        <v>303</v>
      </c>
      <c r="O1043" s="4" t="s">
        <v>300</v>
      </c>
      <c r="P1043" t="str">
        <f t="shared" si="33"/>
        <v>"40130"</v>
      </c>
    </row>
    <row r="1044" spans="1:16" x14ac:dyDescent="0.2">
      <c r="A1044" t="s">
        <v>301</v>
      </c>
      <c r="B1044" s="5" t="s">
        <v>30</v>
      </c>
      <c r="C1044" t="s">
        <v>301</v>
      </c>
      <c r="E1044" s="4" t="s">
        <v>301</v>
      </c>
      <c r="F1044" t="s">
        <v>62</v>
      </c>
      <c r="G1044" t="s">
        <v>301</v>
      </c>
      <c r="I1044" t="s">
        <v>298</v>
      </c>
      <c r="J1044" t="s">
        <v>299</v>
      </c>
      <c r="K1044" s="4" t="s">
        <v>304</v>
      </c>
      <c r="L1044" t="str">
        <f t="shared" si="32"/>
        <v>"Floyd County School Board"</v>
      </c>
      <c r="M1044" t="s">
        <v>302</v>
      </c>
      <c r="N1044" t="s">
        <v>303</v>
      </c>
      <c r="O1044" s="4" t="s">
        <v>300</v>
      </c>
      <c r="P1044" t="str">
        <f t="shared" si="33"/>
        <v>"40131"</v>
      </c>
    </row>
    <row r="1045" spans="1:16" x14ac:dyDescent="0.2">
      <c r="A1045" t="s">
        <v>301</v>
      </c>
      <c r="B1045" s="5" t="s">
        <v>31</v>
      </c>
      <c r="C1045" t="s">
        <v>301</v>
      </c>
      <c r="E1045" s="4" t="s">
        <v>301</v>
      </c>
      <c r="F1045" t="s">
        <v>63</v>
      </c>
      <c r="G1045" t="s">
        <v>301</v>
      </c>
      <c r="I1045" t="s">
        <v>298</v>
      </c>
      <c r="J1045" t="s">
        <v>299</v>
      </c>
      <c r="K1045" s="4" t="s">
        <v>304</v>
      </c>
      <c r="L1045" t="str">
        <f t="shared" si="32"/>
        <v>"Fluvanna County Public Schools"</v>
      </c>
      <c r="M1045" t="s">
        <v>302</v>
      </c>
      <c r="N1045" t="s">
        <v>303</v>
      </c>
      <c r="O1045" s="4" t="s">
        <v>300</v>
      </c>
      <c r="P1045" t="str">
        <f t="shared" si="33"/>
        <v>"40132"</v>
      </c>
    </row>
    <row r="1046" spans="1:16" x14ac:dyDescent="0.2">
      <c r="A1046" t="s">
        <v>301</v>
      </c>
      <c r="B1046" s="5" t="s">
        <v>64</v>
      </c>
      <c r="C1046" t="s">
        <v>301</v>
      </c>
      <c r="E1046" s="4" t="s">
        <v>301</v>
      </c>
      <c r="F1046" t="s">
        <v>97</v>
      </c>
      <c r="G1046" t="s">
        <v>301</v>
      </c>
      <c r="I1046" t="s">
        <v>298</v>
      </c>
      <c r="J1046" t="s">
        <v>299</v>
      </c>
      <c r="K1046" s="4" t="s">
        <v>304</v>
      </c>
      <c r="L1046" t="str">
        <f t="shared" si="32"/>
        <v>"Franklin County Public Schools"</v>
      </c>
      <c r="M1046" t="s">
        <v>302</v>
      </c>
      <c r="N1046" t="s">
        <v>303</v>
      </c>
      <c r="O1046" s="4" t="s">
        <v>300</v>
      </c>
      <c r="P1046" t="str">
        <f t="shared" si="33"/>
        <v>"40133"</v>
      </c>
    </row>
    <row r="1047" spans="1:16" x14ac:dyDescent="0.2">
      <c r="A1047" t="s">
        <v>301</v>
      </c>
      <c r="B1047" s="5" t="s">
        <v>65</v>
      </c>
      <c r="C1047" t="s">
        <v>301</v>
      </c>
      <c r="E1047" s="4" t="s">
        <v>301</v>
      </c>
      <c r="F1047" t="s">
        <v>98</v>
      </c>
      <c r="G1047" t="s">
        <v>301</v>
      </c>
      <c r="I1047" t="s">
        <v>298</v>
      </c>
      <c r="J1047" t="s">
        <v>299</v>
      </c>
      <c r="K1047" s="4" t="s">
        <v>304</v>
      </c>
      <c r="L1047" t="str">
        <f t="shared" si="32"/>
        <v>"Frederick County School Board"</v>
      </c>
      <c r="M1047" t="s">
        <v>302</v>
      </c>
      <c r="N1047" t="s">
        <v>303</v>
      </c>
      <c r="O1047" s="4" t="s">
        <v>300</v>
      </c>
      <c r="P1047" t="str">
        <f t="shared" si="33"/>
        <v>"40134"</v>
      </c>
    </row>
    <row r="1048" spans="1:16" x14ac:dyDescent="0.2">
      <c r="A1048" t="s">
        <v>301</v>
      </c>
      <c r="B1048" s="5" t="s">
        <v>66</v>
      </c>
      <c r="C1048" t="s">
        <v>301</v>
      </c>
      <c r="E1048" s="4" t="s">
        <v>301</v>
      </c>
      <c r="F1048" t="s">
        <v>99</v>
      </c>
      <c r="G1048" t="s">
        <v>301</v>
      </c>
      <c r="I1048" t="s">
        <v>298</v>
      </c>
      <c r="J1048" t="s">
        <v>299</v>
      </c>
      <c r="K1048" s="4" t="s">
        <v>304</v>
      </c>
      <c r="L1048" t="str">
        <f t="shared" si="32"/>
        <v>"Giles County Schools"</v>
      </c>
      <c r="M1048" t="s">
        <v>302</v>
      </c>
      <c r="N1048" t="s">
        <v>303</v>
      </c>
      <c r="O1048" s="4" t="s">
        <v>300</v>
      </c>
      <c r="P1048" t="str">
        <f t="shared" si="33"/>
        <v>"40135"</v>
      </c>
    </row>
    <row r="1049" spans="1:16" x14ac:dyDescent="0.2">
      <c r="A1049" t="s">
        <v>301</v>
      </c>
      <c r="B1049" s="5" t="s">
        <v>67</v>
      </c>
      <c r="C1049" t="s">
        <v>301</v>
      </c>
      <c r="E1049" s="4" t="s">
        <v>301</v>
      </c>
      <c r="F1049" t="s">
        <v>100</v>
      </c>
      <c r="G1049" t="s">
        <v>301</v>
      </c>
      <c r="I1049" t="s">
        <v>298</v>
      </c>
      <c r="J1049" t="s">
        <v>299</v>
      </c>
      <c r="K1049" s="4" t="s">
        <v>304</v>
      </c>
      <c r="L1049" t="str">
        <f t="shared" si="32"/>
        <v>"Gloucester County School Board"</v>
      </c>
      <c r="M1049" t="s">
        <v>302</v>
      </c>
      <c r="N1049" t="s">
        <v>303</v>
      </c>
      <c r="O1049" s="4" t="s">
        <v>300</v>
      </c>
      <c r="P1049" t="str">
        <f t="shared" si="33"/>
        <v>"40136"</v>
      </c>
    </row>
    <row r="1050" spans="1:16" x14ac:dyDescent="0.2">
      <c r="A1050" t="s">
        <v>301</v>
      </c>
      <c r="B1050" s="5" t="s">
        <v>68</v>
      </c>
      <c r="C1050" t="s">
        <v>301</v>
      </c>
      <c r="E1050" s="4" t="s">
        <v>301</v>
      </c>
      <c r="F1050" t="s">
        <v>101</v>
      </c>
      <c r="G1050" t="s">
        <v>301</v>
      </c>
      <c r="I1050" t="s">
        <v>298</v>
      </c>
      <c r="J1050" t="s">
        <v>299</v>
      </c>
      <c r="K1050" s="4" t="s">
        <v>304</v>
      </c>
      <c r="L1050" t="str">
        <f t="shared" si="32"/>
        <v>"Goochland County School Board"</v>
      </c>
      <c r="M1050" t="s">
        <v>302</v>
      </c>
      <c r="N1050" t="s">
        <v>303</v>
      </c>
      <c r="O1050" s="4" t="s">
        <v>300</v>
      </c>
      <c r="P1050" t="str">
        <f t="shared" si="33"/>
        <v>"40137"</v>
      </c>
    </row>
    <row r="1051" spans="1:16" x14ac:dyDescent="0.2">
      <c r="A1051" t="s">
        <v>301</v>
      </c>
      <c r="B1051" s="5" t="s">
        <v>69</v>
      </c>
      <c r="C1051" t="s">
        <v>301</v>
      </c>
      <c r="E1051" s="4" t="s">
        <v>301</v>
      </c>
      <c r="F1051" t="s">
        <v>102</v>
      </c>
      <c r="G1051" t="s">
        <v>301</v>
      </c>
      <c r="I1051" t="s">
        <v>298</v>
      </c>
      <c r="J1051" t="s">
        <v>299</v>
      </c>
      <c r="K1051" s="4" t="s">
        <v>304</v>
      </c>
      <c r="L1051" t="str">
        <f t="shared" si="32"/>
        <v>"Grayson County School Board"</v>
      </c>
      <c r="M1051" t="s">
        <v>302</v>
      </c>
      <c r="N1051" t="s">
        <v>303</v>
      </c>
      <c r="O1051" s="4" t="s">
        <v>300</v>
      </c>
      <c r="P1051" t="str">
        <f t="shared" si="33"/>
        <v>"40138"</v>
      </c>
    </row>
    <row r="1052" spans="1:16" x14ac:dyDescent="0.2">
      <c r="A1052" t="s">
        <v>301</v>
      </c>
      <c r="B1052" s="5" t="s">
        <v>70</v>
      </c>
      <c r="C1052" t="s">
        <v>301</v>
      </c>
      <c r="E1052" s="4" t="s">
        <v>301</v>
      </c>
      <c r="F1052" t="s">
        <v>103</v>
      </c>
      <c r="G1052" t="s">
        <v>301</v>
      </c>
      <c r="I1052" t="s">
        <v>298</v>
      </c>
      <c r="J1052" t="s">
        <v>299</v>
      </c>
      <c r="K1052" s="4" t="s">
        <v>304</v>
      </c>
      <c r="L1052" t="str">
        <f t="shared" si="32"/>
        <v>"Greene County Public Schools"</v>
      </c>
      <c r="M1052" t="s">
        <v>302</v>
      </c>
      <c r="N1052" t="s">
        <v>303</v>
      </c>
      <c r="O1052" s="4" t="s">
        <v>300</v>
      </c>
      <c r="P1052" t="str">
        <f t="shared" si="33"/>
        <v>"40139"</v>
      </c>
    </row>
    <row r="1053" spans="1:16" x14ac:dyDescent="0.2">
      <c r="A1053" t="s">
        <v>301</v>
      </c>
      <c r="B1053" s="5" t="s">
        <v>71</v>
      </c>
      <c r="C1053" t="s">
        <v>301</v>
      </c>
      <c r="E1053" s="4" t="s">
        <v>301</v>
      </c>
      <c r="F1053" t="s">
        <v>104</v>
      </c>
      <c r="G1053" t="s">
        <v>301</v>
      </c>
      <c r="I1053" t="s">
        <v>298</v>
      </c>
      <c r="J1053" t="s">
        <v>299</v>
      </c>
      <c r="K1053" s="4" t="s">
        <v>304</v>
      </c>
      <c r="L1053" t="str">
        <f t="shared" si="32"/>
        <v>"Greensville County School Board"</v>
      </c>
      <c r="M1053" t="s">
        <v>302</v>
      </c>
      <c r="N1053" t="s">
        <v>303</v>
      </c>
      <c r="O1053" s="4" t="s">
        <v>300</v>
      </c>
      <c r="P1053" t="str">
        <f t="shared" si="33"/>
        <v>"40140"</v>
      </c>
    </row>
    <row r="1054" spans="1:16" x14ac:dyDescent="0.2">
      <c r="A1054" t="s">
        <v>301</v>
      </c>
      <c r="B1054" s="5" t="s">
        <v>72</v>
      </c>
      <c r="C1054" t="s">
        <v>301</v>
      </c>
      <c r="E1054" s="4" t="s">
        <v>301</v>
      </c>
      <c r="F1054" t="s">
        <v>105</v>
      </c>
      <c r="G1054" t="s">
        <v>301</v>
      </c>
      <c r="I1054" t="s">
        <v>298</v>
      </c>
      <c r="J1054" t="s">
        <v>299</v>
      </c>
      <c r="K1054" s="4" t="s">
        <v>304</v>
      </c>
      <c r="L1054" t="str">
        <f t="shared" si="32"/>
        <v>"Halifax County School Board"</v>
      </c>
      <c r="M1054" t="s">
        <v>302</v>
      </c>
      <c r="N1054" t="s">
        <v>303</v>
      </c>
      <c r="O1054" s="4" t="s">
        <v>300</v>
      </c>
      <c r="P1054" t="str">
        <f t="shared" si="33"/>
        <v>"40141"</v>
      </c>
    </row>
    <row r="1055" spans="1:16" x14ac:dyDescent="0.2">
      <c r="A1055" t="s">
        <v>301</v>
      </c>
      <c r="B1055" s="5" t="s">
        <v>73</v>
      </c>
      <c r="C1055" t="s">
        <v>301</v>
      </c>
      <c r="E1055" s="4" t="s">
        <v>301</v>
      </c>
      <c r="F1055" t="s">
        <v>106</v>
      </c>
      <c r="G1055" t="s">
        <v>301</v>
      </c>
      <c r="I1055" t="s">
        <v>298</v>
      </c>
      <c r="J1055" t="s">
        <v>299</v>
      </c>
      <c r="K1055" s="4" t="s">
        <v>304</v>
      </c>
      <c r="L1055" t="str">
        <f t="shared" si="32"/>
        <v>"Hanover County School Board"</v>
      </c>
      <c r="M1055" t="s">
        <v>302</v>
      </c>
      <c r="N1055" t="s">
        <v>303</v>
      </c>
      <c r="O1055" s="4" t="s">
        <v>300</v>
      </c>
      <c r="P1055" t="str">
        <f t="shared" si="33"/>
        <v>"40142"</v>
      </c>
    </row>
    <row r="1056" spans="1:16" x14ac:dyDescent="0.2">
      <c r="A1056" t="s">
        <v>301</v>
      </c>
      <c r="B1056" s="5" t="s">
        <v>74</v>
      </c>
      <c r="C1056" t="s">
        <v>301</v>
      </c>
      <c r="E1056" s="4" t="s">
        <v>301</v>
      </c>
      <c r="F1056" t="s">
        <v>107</v>
      </c>
      <c r="G1056" t="s">
        <v>301</v>
      </c>
      <c r="I1056" t="s">
        <v>298</v>
      </c>
      <c r="J1056" t="s">
        <v>299</v>
      </c>
      <c r="K1056" s="4" t="s">
        <v>304</v>
      </c>
      <c r="L1056" t="str">
        <f t="shared" si="32"/>
        <v>"Henrico County School Board"</v>
      </c>
      <c r="M1056" t="s">
        <v>302</v>
      </c>
      <c r="N1056" t="s">
        <v>303</v>
      </c>
      <c r="O1056" s="4" t="s">
        <v>300</v>
      </c>
      <c r="P1056" t="str">
        <f t="shared" si="33"/>
        <v>"40143"</v>
      </c>
    </row>
    <row r="1057" spans="1:16" x14ac:dyDescent="0.2">
      <c r="A1057" t="s">
        <v>301</v>
      </c>
      <c r="B1057" s="5" t="s">
        <v>75</v>
      </c>
      <c r="C1057" t="s">
        <v>301</v>
      </c>
      <c r="E1057" s="4" t="s">
        <v>301</v>
      </c>
      <c r="F1057" t="s">
        <v>108</v>
      </c>
      <c r="G1057" t="s">
        <v>301</v>
      </c>
      <c r="I1057" t="s">
        <v>298</v>
      </c>
      <c r="J1057" t="s">
        <v>299</v>
      </c>
      <c r="K1057" s="4" t="s">
        <v>304</v>
      </c>
      <c r="L1057" t="str">
        <f t="shared" si="32"/>
        <v>"Henry County Public Schools"</v>
      </c>
      <c r="M1057" t="s">
        <v>302</v>
      </c>
      <c r="N1057" t="s">
        <v>303</v>
      </c>
      <c r="O1057" s="4" t="s">
        <v>300</v>
      </c>
      <c r="P1057" t="str">
        <f t="shared" si="33"/>
        <v>"40144"</v>
      </c>
    </row>
    <row r="1058" spans="1:16" x14ac:dyDescent="0.2">
      <c r="A1058" t="s">
        <v>301</v>
      </c>
      <c r="B1058" s="5" t="s">
        <v>76</v>
      </c>
      <c r="C1058" t="s">
        <v>301</v>
      </c>
      <c r="E1058" s="4" t="s">
        <v>301</v>
      </c>
      <c r="F1058" t="s">
        <v>109</v>
      </c>
      <c r="G1058" t="s">
        <v>301</v>
      </c>
      <c r="I1058" t="s">
        <v>298</v>
      </c>
      <c r="J1058" t="s">
        <v>299</v>
      </c>
      <c r="K1058" s="4" t="s">
        <v>304</v>
      </c>
      <c r="L1058" t="str">
        <f t="shared" si="32"/>
        <v>"Highland County Public Schools"</v>
      </c>
      <c r="M1058" t="s">
        <v>302</v>
      </c>
      <c r="N1058" t="s">
        <v>303</v>
      </c>
      <c r="O1058" s="4" t="s">
        <v>300</v>
      </c>
      <c r="P1058" t="str">
        <f t="shared" si="33"/>
        <v>"40145"</v>
      </c>
    </row>
    <row r="1059" spans="1:16" x14ac:dyDescent="0.2">
      <c r="A1059" t="s">
        <v>301</v>
      </c>
      <c r="B1059" s="5" t="s">
        <v>77</v>
      </c>
      <c r="C1059" t="s">
        <v>301</v>
      </c>
      <c r="E1059" s="4" t="s">
        <v>301</v>
      </c>
      <c r="F1059" t="s">
        <v>110</v>
      </c>
      <c r="G1059" t="s">
        <v>301</v>
      </c>
      <c r="I1059" t="s">
        <v>298</v>
      </c>
      <c r="J1059" t="s">
        <v>299</v>
      </c>
      <c r="K1059" s="4" t="s">
        <v>304</v>
      </c>
      <c r="L1059" t="str">
        <f t="shared" si="32"/>
        <v>"Isle of Wight County Schools"</v>
      </c>
      <c r="M1059" t="s">
        <v>302</v>
      </c>
      <c r="N1059" t="s">
        <v>303</v>
      </c>
      <c r="O1059" s="4" t="s">
        <v>300</v>
      </c>
      <c r="P1059" t="str">
        <f t="shared" si="33"/>
        <v>"40146"</v>
      </c>
    </row>
    <row r="1060" spans="1:16" x14ac:dyDescent="0.2">
      <c r="A1060" t="s">
        <v>301</v>
      </c>
      <c r="B1060" s="5" t="s">
        <v>78</v>
      </c>
      <c r="C1060" t="s">
        <v>301</v>
      </c>
      <c r="E1060" s="4" t="s">
        <v>301</v>
      </c>
      <c r="F1060" t="s">
        <v>111</v>
      </c>
      <c r="G1060" t="s">
        <v>301</v>
      </c>
      <c r="I1060" t="s">
        <v>298</v>
      </c>
      <c r="J1060" t="s">
        <v>299</v>
      </c>
      <c r="K1060" s="4" t="s">
        <v>304</v>
      </c>
      <c r="L1060" t="str">
        <f t="shared" si="32"/>
        <v>"King George County School Board"</v>
      </c>
      <c r="M1060" t="s">
        <v>302</v>
      </c>
      <c r="N1060" t="s">
        <v>303</v>
      </c>
      <c r="O1060" s="4" t="s">
        <v>300</v>
      </c>
      <c r="P1060" t="str">
        <f t="shared" si="33"/>
        <v>"40148"</v>
      </c>
    </row>
    <row r="1061" spans="1:16" x14ac:dyDescent="0.2">
      <c r="A1061" t="s">
        <v>301</v>
      </c>
      <c r="B1061" s="5" t="s">
        <v>79</v>
      </c>
      <c r="C1061" t="s">
        <v>301</v>
      </c>
      <c r="E1061" s="4" t="s">
        <v>301</v>
      </c>
      <c r="F1061" t="s">
        <v>112</v>
      </c>
      <c r="G1061" t="s">
        <v>301</v>
      </c>
      <c r="I1061" t="s">
        <v>298</v>
      </c>
      <c r="J1061" t="s">
        <v>299</v>
      </c>
      <c r="K1061" s="4" t="s">
        <v>304</v>
      </c>
      <c r="L1061" t="str">
        <f t="shared" si="32"/>
        <v>"King &amp; Queen County School Board"</v>
      </c>
      <c r="M1061" t="s">
        <v>302</v>
      </c>
      <c r="N1061" t="s">
        <v>303</v>
      </c>
      <c r="O1061" s="4" t="s">
        <v>300</v>
      </c>
      <c r="P1061" t="str">
        <f t="shared" si="33"/>
        <v>"40149"</v>
      </c>
    </row>
    <row r="1062" spans="1:16" x14ac:dyDescent="0.2">
      <c r="A1062" t="s">
        <v>301</v>
      </c>
      <c r="B1062" s="5" t="s">
        <v>80</v>
      </c>
      <c r="C1062" t="s">
        <v>301</v>
      </c>
      <c r="E1062" s="4" t="s">
        <v>301</v>
      </c>
      <c r="F1062" t="s">
        <v>113</v>
      </c>
      <c r="G1062" t="s">
        <v>301</v>
      </c>
      <c r="I1062" t="s">
        <v>298</v>
      </c>
      <c r="J1062" t="s">
        <v>299</v>
      </c>
      <c r="K1062" s="4" t="s">
        <v>304</v>
      </c>
      <c r="L1062" t="str">
        <f t="shared" si="32"/>
        <v>"King William County School Board"</v>
      </c>
      <c r="M1062" t="s">
        <v>302</v>
      </c>
      <c r="N1062" t="s">
        <v>303</v>
      </c>
      <c r="O1062" s="4" t="s">
        <v>300</v>
      </c>
      <c r="P1062" t="str">
        <f t="shared" si="33"/>
        <v>"40150"</v>
      </c>
    </row>
    <row r="1063" spans="1:16" x14ac:dyDescent="0.2">
      <c r="A1063" t="s">
        <v>301</v>
      </c>
      <c r="B1063" s="5" t="s">
        <v>81</v>
      </c>
      <c r="C1063" t="s">
        <v>301</v>
      </c>
      <c r="E1063" s="4" t="s">
        <v>301</v>
      </c>
      <c r="F1063" t="s">
        <v>114</v>
      </c>
      <c r="G1063" t="s">
        <v>301</v>
      </c>
      <c r="I1063" t="s">
        <v>298</v>
      </c>
      <c r="J1063" t="s">
        <v>299</v>
      </c>
      <c r="K1063" s="4" t="s">
        <v>304</v>
      </c>
      <c r="L1063" t="str">
        <f t="shared" si="32"/>
        <v>"Lancaster County Public Schools"</v>
      </c>
      <c r="M1063" t="s">
        <v>302</v>
      </c>
      <c r="N1063" t="s">
        <v>303</v>
      </c>
      <c r="O1063" s="4" t="s">
        <v>300</v>
      </c>
      <c r="P1063" t="str">
        <f t="shared" si="33"/>
        <v>"40151"</v>
      </c>
    </row>
    <row r="1064" spans="1:16" x14ac:dyDescent="0.2">
      <c r="A1064" t="s">
        <v>301</v>
      </c>
      <c r="B1064" s="5" t="s">
        <v>82</v>
      </c>
      <c r="C1064" t="s">
        <v>301</v>
      </c>
      <c r="E1064" s="4" t="s">
        <v>301</v>
      </c>
      <c r="F1064" t="s">
        <v>115</v>
      </c>
      <c r="G1064" t="s">
        <v>301</v>
      </c>
      <c r="I1064" t="s">
        <v>298</v>
      </c>
      <c r="J1064" t="s">
        <v>299</v>
      </c>
      <c r="K1064" s="4" t="s">
        <v>304</v>
      </c>
      <c r="L1064" t="str">
        <f t="shared" si="32"/>
        <v>"Lee County School Board"</v>
      </c>
      <c r="M1064" t="s">
        <v>302</v>
      </c>
      <c r="N1064" t="s">
        <v>303</v>
      </c>
      <c r="O1064" s="4" t="s">
        <v>300</v>
      </c>
      <c r="P1064" t="str">
        <f t="shared" si="33"/>
        <v>"40152"</v>
      </c>
    </row>
    <row r="1065" spans="1:16" x14ac:dyDescent="0.2">
      <c r="A1065" t="s">
        <v>301</v>
      </c>
      <c r="B1065" s="5" t="s">
        <v>83</v>
      </c>
      <c r="C1065" t="s">
        <v>301</v>
      </c>
      <c r="E1065" s="4" t="s">
        <v>301</v>
      </c>
      <c r="F1065" t="s">
        <v>116</v>
      </c>
      <c r="G1065" t="s">
        <v>301</v>
      </c>
      <c r="I1065" t="s">
        <v>298</v>
      </c>
      <c r="J1065" t="s">
        <v>299</v>
      </c>
      <c r="K1065" s="4" t="s">
        <v>304</v>
      </c>
      <c r="L1065" t="str">
        <f t="shared" si="32"/>
        <v>"Loudoun County School Board"</v>
      </c>
      <c r="M1065" t="s">
        <v>302</v>
      </c>
      <c r="N1065" t="s">
        <v>303</v>
      </c>
      <c r="O1065" s="4" t="s">
        <v>300</v>
      </c>
      <c r="P1065" t="str">
        <f t="shared" si="33"/>
        <v>"40153"</v>
      </c>
    </row>
    <row r="1066" spans="1:16" x14ac:dyDescent="0.2">
      <c r="A1066" t="s">
        <v>301</v>
      </c>
      <c r="B1066" s="5" t="s">
        <v>84</v>
      </c>
      <c r="C1066" t="s">
        <v>301</v>
      </c>
      <c r="E1066" s="4" t="s">
        <v>301</v>
      </c>
      <c r="F1066" t="s">
        <v>117</v>
      </c>
      <c r="G1066" t="s">
        <v>301</v>
      </c>
      <c r="I1066" t="s">
        <v>298</v>
      </c>
      <c r="J1066" t="s">
        <v>299</v>
      </c>
      <c r="K1066" s="4" t="s">
        <v>304</v>
      </c>
      <c r="L1066" t="str">
        <f t="shared" si="32"/>
        <v>"Louisa County Public Schools"</v>
      </c>
      <c r="M1066" t="s">
        <v>302</v>
      </c>
      <c r="N1066" t="s">
        <v>303</v>
      </c>
      <c r="O1066" s="4" t="s">
        <v>300</v>
      </c>
      <c r="P1066" t="str">
        <f t="shared" si="33"/>
        <v>"40154"</v>
      </c>
    </row>
    <row r="1067" spans="1:16" x14ac:dyDescent="0.2">
      <c r="A1067" t="s">
        <v>301</v>
      </c>
      <c r="B1067" s="5" t="s">
        <v>85</v>
      </c>
      <c r="C1067" t="s">
        <v>301</v>
      </c>
      <c r="E1067" s="4" t="s">
        <v>301</v>
      </c>
      <c r="F1067" t="s">
        <v>118</v>
      </c>
      <c r="G1067" t="s">
        <v>301</v>
      </c>
      <c r="I1067" t="s">
        <v>298</v>
      </c>
      <c r="J1067" t="s">
        <v>299</v>
      </c>
      <c r="K1067" s="4" t="s">
        <v>304</v>
      </c>
      <c r="L1067" t="str">
        <f t="shared" si="32"/>
        <v>"Lunenburg County School Board"</v>
      </c>
      <c r="M1067" t="s">
        <v>302</v>
      </c>
      <c r="N1067" t="s">
        <v>303</v>
      </c>
      <c r="O1067" s="4" t="s">
        <v>300</v>
      </c>
      <c r="P1067" t="str">
        <f t="shared" si="33"/>
        <v>"40155"</v>
      </c>
    </row>
    <row r="1068" spans="1:16" x14ac:dyDescent="0.2">
      <c r="A1068" t="s">
        <v>301</v>
      </c>
      <c r="B1068" s="5" t="s">
        <v>86</v>
      </c>
      <c r="C1068" t="s">
        <v>301</v>
      </c>
      <c r="E1068" s="4" t="s">
        <v>301</v>
      </c>
      <c r="F1068" t="s">
        <v>119</v>
      </c>
      <c r="G1068" t="s">
        <v>301</v>
      </c>
      <c r="I1068" t="s">
        <v>298</v>
      </c>
      <c r="J1068" t="s">
        <v>299</v>
      </c>
      <c r="K1068" s="4" t="s">
        <v>304</v>
      </c>
      <c r="L1068" t="str">
        <f t="shared" si="32"/>
        <v>"Madison County School Board"</v>
      </c>
      <c r="M1068" t="s">
        <v>302</v>
      </c>
      <c r="N1068" t="s">
        <v>303</v>
      </c>
      <c r="O1068" s="4" t="s">
        <v>300</v>
      </c>
      <c r="P1068" t="str">
        <f t="shared" si="33"/>
        <v>"40156"</v>
      </c>
    </row>
    <row r="1069" spans="1:16" x14ac:dyDescent="0.2">
      <c r="A1069" t="s">
        <v>301</v>
      </c>
      <c r="B1069" s="5" t="s">
        <v>87</v>
      </c>
      <c r="C1069" t="s">
        <v>301</v>
      </c>
      <c r="E1069" s="4" t="s">
        <v>301</v>
      </c>
      <c r="F1069" t="s">
        <v>120</v>
      </c>
      <c r="G1069" t="s">
        <v>301</v>
      </c>
      <c r="I1069" t="s">
        <v>298</v>
      </c>
      <c r="J1069" t="s">
        <v>299</v>
      </c>
      <c r="K1069" s="4" t="s">
        <v>304</v>
      </c>
      <c r="L1069" t="str">
        <f t="shared" si="32"/>
        <v>"Mathews County School Board"</v>
      </c>
      <c r="M1069" t="s">
        <v>302</v>
      </c>
      <c r="N1069" t="s">
        <v>303</v>
      </c>
      <c r="O1069" s="4" t="s">
        <v>300</v>
      </c>
      <c r="P1069" t="str">
        <f t="shared" si="33"/>
        <v>"40157"</v>
      </c>
    </row>
    <row r="1070" spans="1:16" x14ac:dyDescent="0.2">
      <c r="A1070" t="s">
        <v>301</v>
      </c>
      <c r="B1070" s="5" t="s">
        <v>88</v>
      </c>
      <c r="C1070" t="s">
        <v>301</v>
      </c>
      <c r="E1070" s="4" t="s">
        <v>301</v>
      </c>
      <c r="F1070" t="s">
        <v>121</v>
      </c>
      <c r="G1070" t="s">
        <v>301</v>
      </c>
      <c r="I1070" t="s">
        <v>298</v>
      </c>
      <c r="J1070" t="s">
        <v>299</v>
      </c>
      <c r="K1070" s="4" t="s">
        <v>304</v>
      </c>
      <c r="L1070" t="str">
        <f t="shared" si="32"/>
        <v>"Mecklenburg County School Board"</v>
      </c>
      <c r="M1070" t="s">
        <v>302</v>
      </c>
      <c r="N1070" t="s">
        <v>303</v>
      </c>
      <c r="O1070" s="4" t="s">
        <v>300</v>
      </c>
      <c r="P1070" t="str">
        <f t="shared" si="33"/>
        <v>"40158"</v>
      </c>
    </row>
    <row r="1071" spans="1:16" x14ac:dyDescent="0.2">
      <c r="A1071" t="s">
        <v>301</v>
      </c>
      <c r="B1071" s="5" t="s">
        <v>89</v>
      </c>
      <c r="C1071" t="s">
        <v>301</v>
      </c>
      <c r="E1071" s="4" t="s">
        <v>301</v>
      </c>
      <c r="F1071" t="s">
        <v>122</v>
      </c>
      <c r="G1071" t="s">
        <v>301</v>
      </c>
      <c r="I1071" t="s">
        <v>298</v>
      </c>
      <c r="J1071" t="s">
        <v>299</v>
      </c>
      <c r="K1071" s="4" t="s">
        <v>304</v>
      </c>
      <c r="L1071" t="str">
        <f t="shared" si="32"/>
        <v>"Middlesex County School Board"</v>
      </c>
      <c r="M1071" t="s">
        <v>302</v>
      </c>
      <c r="N1071" t="s">
        <v>303</v>
      </c>
      <c r="O1071" s="4" t="s">
        <v>300</v>
      </c>
      <c r="P1071" t="str">
        <f t="shared" si="33"/>
        <v>"40159"</v>
      </c>
    </row>
    <row r="1072" spans="1:16" x14ac:dyDescent="0.2">
      <c r="A1072" t="s">
        <v>301</v>
      </c>
      <c r="B1072" s="5" t="s">
        <v>90</v>
      </c>
      <c r="C1072" t="s">
        <v>301</v>
      </c>
      <c r="E1072" s="4" t="s">
        <v>301</v>
      </c>
      <c r="F1072" t="s">
        <v>123</v>
      </c>
      <c r="G1072" t="s">
        <v>301</v>
      </c>
      <c r="I1072" t="s">
        <v>298</v>
      </c>
      <c r="J1072" t="s">
        <v>299</v>
      </c>
      <c r="K1072" s="4" t="s">
        <v>304</v>
      </c>
      <c r="L1072" t="str">
        <f t="shared" si="32"/>
        <v>"Montgomery County School Board"</v>
      </c>
      <c r="M1072" t="s">
        <v>302</v>
      </c>
      <c r="N1072" t="s">
        <v>303</v>
      </c>
      <c r="O1072" s="4" t="s">
        <v>300</v>
      </c>
      <c r="P1072" t="str">
        <f t="shared" si="33"/>
        <v>"40160"</v>
      </c>
    </row>
    <row r="1073" spans="1:16" x14ac:dyDescent="0.2">
      <c r="A1073" t="s">
        <v>301</v>
      </c>
      <c r="B1073" s="5" t="s">
        <v>91</v>
      </c>
      <c r="C1073" t="s">
        <v>301</v>
      </c>
      <c r="E1073" s="4" t="s">
        <v>301</v>
      </c>
      <c r="F1073" t="s">
        <v>124</v>
      </c>
      <c r="G1073" t="s">
        <v>301</v>
      </c>
      <c r="I1073" t="s">
        <v>298</v>
      </c>
      <c r="J1073" t="s">
        <v>299</v>
      </c>
      <c r="K1073" s="4" t="s">
        <v>304</v>
      </c>
      <c r="L1073" t="str">
        <f t="shared" si="32"/>
        <v>"Nelson County Public Schools"</v>
      </c>
      <c r="M1073" t="s">
        <v>302</v>
      </c>
      <c r="N1073" t="s">
        <v>303</v>
      </c>
      <c r="O1073" s="4" t="s">
        <v>300</v>
      </c>
      <c r="P1073" t="str">
        <f t="shared" si="33"/>
        <v>"40162"</v>
      </c>
    </row>
    <row r="1074" spans="1:16" x14ac:dyDescent="0.2">
      <c r="A1074" t="s">
        <v>301</v>
      </c>
      <c r="B1074" s="5" t="s">
        <v>92</v>
      </c>
      <c r="C1074" t="s">
        <v>301</v>
      </c>
      <c r="E1074" s="4" t="s">
        <v>301</v>
      </c>
      <c r="F1074" t="s">
        <v>125</v>
      </c>
      <c r="G1074" t="s">
        <v>301</v>
      </c>
      <c r="I1074" t="s">
        <v>298</v>
      </c>
      <c r="J1074" t="s">
        <v>299</v>
      </c>
      <c r="K1074" s="4" t="s">
        <v>304</v>
      </c>
      <c r="L1074" t="str">
        <f t="shared" si="32"/>
        <v>"New Kent County School Board"</v>
      </c>
      <c r="M1074" t="s">
        <v>302</v>
      </c>
      <c r="N1074" t="s">
        <v>303</v>
      </c>
      <c r="O1074" s="4" t="s">
        <v>300</v>
      </c>
      <c r="P1074" t="str">
        <f t="shared" si="33"/>
        <v>"40163"</v>
      </c>
    </row>
    <row r="1075" spans="1:16" x14ac:dyDescent="0.2">
      <c r="A1075" t="s">
        <v>301</v>
      </c>
      <c r="B1075" s="5" t="s">
        <v>93</v>
      </c>
      <c r="C1075" t="s">
        <v>301</v>
      </c>
      <c r="E1075" s="4" t="s">
        <v>301</v>
      </c>
      <c r="F1075" t="s">
        <v>126</v>
      </c>
      <c r="G1075" t="s">
        <v>301</v>
      </c>
      <c r="I1075" t="s">
        <v>298</v>
      </c>
      <c r="J1075" t="s">
        <v>299</v>
      </c>
      <c r="K1075" s="4" t="s">
        <v>304</v>
      </c>
      <c r="L1075" t="str">
        <f t="shared" si="32"/>
        <v>"Northampton County Schools"</v>
      </c>
      <c r="M1075" t="s">
        <v>302</v>
      </c>
      <c r="N1075" t="s">
        <v>303</v>
      </c>
      <c r="O1075" s="4" t="s">
        <v>300</v>
      </c>
      <c r="P1075" t="str">
        <f t="shared" si="33"/>
        <v>"40165"</v>
      </c>
    </row>
    <row r="1076" spans="1:16" x14ac:dyDescent="0.2">
      <c r="A1076" t="s">
        <v>301</v>
      </c>
      <c r="B1076" s="5" t="s">
        <v>94</v>
      </c>
      <c r="C1076" t="s">
        <v>301</v>
      </c>
      <c r="E1076" s="4" t="s">
        <v>301</v>
      </c>
      <c r="F1076" t="s">
        <v>127</v>
      </c>
      <c r="G1076" t="s">
        <v>301</v>
      </c>
      <c r="I1076" t="s">
        <v>298</v>
      </c>
      <c r="J1076" t="s">
        <v>299</v>
      </c>
      <c r="K1076" s="4" t="s">
        <v>304</v>
      </c>
      <c r="L1076" t="str">
        <f t="shared" si="32"/>
        <v>"Northumberland County School Board"</v>
      </c>
      <c r="M1076" t="s">
        <v>302</v>
      </c>
      <c r="N1076" t="s">
        <v>303</v>
      </c>
      <c r="O1076" s="4" t="s">
        <v>300</v>
      </c>
      <c r="P1076" t="str">
        <f t="shared" si="33"/>
        <v>"40166"</v>
      </c>
    </row>
    <row r="1077" spans="1:16" x14ac:dyDescent="0.2">
      <c r="A1077" t="s">
        <v>301</v>
      </c>
      <c r="B1077" s="5" t="s">
        <v>95</v>
      </c>
      <c r="C1077" t="s">
        <v>301</v>
      </c>
      <c r="E1077" s="4" t="s">
        <v>301</v>
      </c>
      <c r="F1077" t="s">
        <v>128</v>
      </c>
      <c r="G1077" t="s">
        <v>301</v>
      </c>
      <c r="I1077" t="s">
        <v>298</v>
      </c>
      <c r="J1077" t="s">
        <v>299</v>
      </c>
      <c r="K1077" s="4" t="s">
        <v>304</v>
      </c>
      <c r="L1077" t="str">
        <f t="shared" si="32"/>
        <v>"Nottoway County School Board"</v>
      </c>
      <c r="M1077" t="s">
        <v>302</v>
      </c>
      <c r="N1077" t="s">
        <v>303</v>
      </c>
      <c r="O1077" s="4" t="s">
        <v>300</v>
      </c>
      <c r="P1077" t="str">
        <f t="shared" si="33"/>
        <v>"40167"</v>
      </c>
    </row>
    <row r="1078" spans="1:16" x14ac:dyDescent="0.2">
      <c r="A1078" t="s">
        <v>301</v>
      </c>
      <c r="B1078" s="5" t="s">
        <v>96</v>
      </c>
      <c r="C1078" t="s">
        <v>301</v>
      </c>
      <c r="E1078" s="4" t="s">
        <v>301</v>
      </c>
      <c r="F1078" t="s">
        <v>129</v>
      </c>
      <c r="G1078" t="s">
        <v>301</v>
      </c>
      <c r="I1078" t="s">
        <v>298</v>
      </c>
      <c r="J1078" t="s">
        <v>299</v>
      </c>
      <c r="K1078" s="4" t="s">
        <v>304</v>
      </c>
      <c r="L1078" t="str">
        <f t="shared" si="32"/>
        <v>"Orange County Public Schools"</v>
      </c>
      <c r="M1078" t="s">
        <v>302</v>
      </c>
      <c r="N1078" t="s">
        <v>303</v>
      </c>
      <c r="O1078" s="4" t="s">
        <v>300</v>
      </c>
      <c r="P1078" t="str">
        <f t="shared" si="33"/>
        <v>"40168"</v>
      </c>
    </row>
    <row r="1079" spans="1:16" x14ac:dyDescent="0.2">
      <c r="A1079" t="s">
        <v>301</v>
      </c>
      <c r="B1079" s="5" t="s">
        <v>130</v>
      </c>
      <c r="C1079" t="s">
        <v>301</v>
      </c>
      <c r="E1079" s="4" t="s">
        <v>301</v>
      </c>
      <c r="F1079" t="s">
        <v>163</v>
      </c>
      <c r="G1079" t="s">
        <v>301</v>
      </c>
      <c r="I1079" t="s">
        <v>298</v>
      </c>
      <c r="J1079" t="s">
        <v>299</v>
      </c>
      <c r="K1079" s="4" t="s">
        <v>304</v>
      </c>
      <c r="L1079" t="str">
        <f t="shared" si="32"/>
        <v>"Page County Public Schools"</v>
      </c>
      <c r="M1079" t="s">
        <v>302</v>
      </c>
      <c r="N1079" t="s">
        <v>303</v>
      </c>
      <c r="O1079" s="4" t="s">
        <v>300</v>
      </c>
      <c r="P1079" t="str">
        <f t="shared" si="33"/>
        <v>"40169"</v>
      </c>
    </row>
    <row r="1080" spans="1:16" x14ac:dyDescent="0.2">
      <c r="A1080" t="s">
        <v>301</v>
      </c>
      <c r="B1080" s="5" t="s">
        <v>131</v>
      </c>
      <c r="C1080" t="s">
        <v>301</v>
      </c>
      <c r="E1080" s="4" t="s">
        <v>301</v>
      </c>
      <c r="F1080" t="s">
        <v>164</v>
      </c>
      <c r="G1080" t="s">
        <v>301</v>
      </c>
      <c r="I1080" t="s">
        <v>298</v>
      </c>
      <c r="J1080" t="s">
        <v>299</v>
      </c>
      <c r="K1080" s="4" t="s">
        <v>304</v>
      </c>
      <c r="L1080" t="str">
        <f t="shared" si="32"/>
        <v>"Patrick County School Board"</v>
      </c>
      <c r="M1080" t="s">
        <v>302</v>
      </c>
      <c r="N1080" t="s">
        <v>303</v>
      </c>
      <c r="O1080" s="4" t="s">
        <v>300</v>
      </c>
      <c r="P1080" t="str">
        <f t="shared" si="33"/>
        <v>"40170"</v>
      </c>
    </row>
    <row r="1081" spans="1:16" x14ac:dyDescent="0.2">
      <c r="A1081" t="s">
        <v>301</v>
      </c>
      <c r="B1081" s="5" t="s">
        <v>132</v>
      </c>
      <c r="C1081" t="s">
        <v>301</v>
      </c>
      <c r="E1081" s="4" t="s">
        <v>301</v>
      </c>
      <c r="F1081" t="s">
        <v>165</v>
      </c>
      <c r="G1081" t="s">
        <v>301</v>
      </c>
      <c r="I1081" t="s">
        <v>298</v>
      </c>
      <c r="J1081" t="s">
        <v>299</v>
      </c>
      <c r="K1081" s="4" t="s">
        <v>304</v>
      </c>
      <c r="L1081" t="str">
        <f t="shared" si="32"/>
        <v>"Pittsylvania County School Board"</v>
      </c>
      <c r="M1081" t="s">
        <v>302</v>
      </c>
      <c r="N1081" t="s">
        <v>303</v>
      </c>
      <c r="O1081" s="4" t="s">
        <v>300</v>
      </c>
      <c r="P1081" t="str">
        <f t="shared" si="33"/>
        <v>"40171"</v>
      </c>
    </row>
    <row r="1082" spans="1:16" x14ac:dyDescent="0.2">
      <c r="A1082" t="s">
        <v>301</v>
      </c>
      <c r="B1082" s="5" t="s">
        <v>133</v>
      </c>
      <c r="C1082" t="s">
        <v>301</v>
      </c>
      <c r="E1082" s="4" t="s">
        <v>301</v>
      </c>
      <c r="F1082" t="s">
        <v>166</v>
      </c>
      <c r="G1082" t="s">
        <v>301</v>
      </c>
      <c r="I1082" t="s">
        <v>298</v>
      </c>
      <c r="J1082" t="s">
        <v>299</v>
      </c>
      <c r="K1082" s="4" t="s">
        <v>304</v>
      </c>
      <c r="L1082" t="str">
        <f t="shared" si="32"/>
        <v>"Powhatan County School Board"</v>
      </c>
      <c r="M1082" t="s">
        <v>302</v>
      </c>
      <c r="N1082" t="s">
        <v>303</v>
      </c>
      <c r="O1082" s="4" t="s">
        <v>300</v>
      </c>
      <c r="P1082" t="str">
        <f t="shared" si="33"/>
        <v>"40172"</v>
      </c>
    </row>
    <row r="1083" spans="1:16" x14ac:dyDescent="0.2">
      <c r="A1083" t="s">
        <v>301</v>
      </c>
      <c r="B1083" s="5" t="s">
        <v>134</v>
      </c>
      <c r="C1083" t="s">
        <v>301</v>
      </c>
      <c r="E1083" s="4" t="s">
        <v>301</v>
      </c>
      <c r="F1083" t="s">
        <v>167</v>
      </c>
      <c r="G1083" t="s">
        <v>301</v>
      </c>
      <c r="I1083" t="s">
        <v>298</v>
      </c>
      <c r="J1083" t="s">
        <v>299</v>
      </c>
      <c r="K1083" s="4" t="s">
        <v>304</v>
      </c>
      <c r="L1083" t="str">
        <f t="shared" si="32"/>
        <v>"Prince Edward County School Board"</v>
      </c>
      <c r="M1083" t="s">
        <v>302</v>
      </c>
      <c r="N1083" t="s">
        <v>303</v>
      </c>
      <c r="O1083" s="4" t="s">
        <v>300</v>
      </c>
      <c r="P1083" t="str">
        <f t="shared" si="33"/>
        <v>"40173"</v>
      </c>
    </row>
    <row r="1084" spans="1:16" x14ac:dyDescent="0.2">
      <c r="A1084" t="s">
        <v>301</v>
      </c>
      <c r="B1084" s="5" t="s">
        <v>135</v>
      </c>
      <c r="C1084" t="s">
        <v>301</v>
      </c>
      <c r="E1084" s="4" t="s">
        <v>301</v>
      </c>
      <c r="F1084" t="s">
        <v>168</v>
      </c>
      <c r="G1084" t="s">
        <v>301</v>
      </c>
      <c r="I1084" t="s">
        <v>298</v>
      </c>
      <c r="J1084" t="s">
        <v>299</v>
      </c>
      <c r="K1084" s="4" t="s">
        <v>304</v>
      </c>
      <c r="L1084" t="str">
        <f t="shared" si="32"/>
        <v>"Prince George County School Board"</v>
      </c>
      <c r="M1084" t="s">
        <v>302</v>
      </c>
      <c r="N1084" t="s">
        <v>303</v>
      </c>
      <c r="O1084" s="4" t="s">
        <v>300</v>
      </c>
      <c r="P1084" t="str">
        <f t="shared" si="33"/>
        <v>"40174"</v>
      </c>
    </row>
    <row r="1085" spans="1:16" x14ac:dyDescent="0.2">
      <c r="A1085" t="s">
        <v>301</v>
      </c>
      <c r="B1085" s="5" t="s">
        <v>136</v>
      </c>
      <c r="C1085" t="s">
        <v>301</v>
      </c>
      <c r="E1085" s="4" t="s">
        <v>301</v>
      </c>
      <c r="F1085" t="s">
        <v>169</v>
      </c>
      <c r="G1085" t="s">
        <v>301</v>
      </c>
      <c r="I1085" t="s">
        <v>298</v>
      </c>
      <c r="J1085" t="s">
        <v>299</v>
      </c>
      <c r="K1085" s="4" t="s">
        <v>304</v>
      </c>
      <c r="L1085" t="str">
        <f t="shared" si="32"/>
        <v>"Prince William County School Board"</v>
      </c>
      <c r="M1085" t="s">
        <v>302</v>
      </c>
      <c r="N1085" t="s">
        <v>303</v>
      </c>
      <c r="O1085" s="4" t="s">
        <v>300</v>
      </c>
      <c r="P1085" t="str">
        <f t="shared" si="33"/>
        <v>"40176"</v>
      </c>
    </row>
    <row r="1086" spans="1:16" x14ac:dyDescent="0.2">
      <c r="A1086" t="s">
        <v>301</v>
      </c>
      <c r="B1086" s="5" t="s">
        <v>137</v>
      </c>
      <c r="C1086" t="s">
        <v>301</v>
      </c>
      <c r="E1086" s="4" t="s">
        <v>301</v>
      </c>
      <c r="F1086" t="s">
        <v>170</v>
      </c>
      <c r="G1086" t="s">
        <v>301</v>
      </c>
      <c r="I1086" t="s">
        <v>298</v>
      </c>
      <c r="J1086" t="s">
        <v>299</v>
      </c>
      <c r="K1086" s="4" t="s">
        <v>304</v>
      </c>
      <c r="L1086" t="str">
        <f t="shared" si="32"/>
        <v>"Pulaski County School Board"</v>
      </c>
      <c r="M1086" t="s">
        <v>302</v>
      </c>
      <c r="N1086" t="s">
        <v>303</v>
      </c>
      <c r="O1086" s="4" t="s">
        <v>300</v>
      </c>
      <c r="P1086" t="str">
        <f t="shared" si="33"/>
        <v>"40177"</v>
      </c>
    </row>
    <row r="1087" spans="1:16" x14ac:dyDescent="0.2">
      <c r="A1087" t="s">
        <v>301</v>
      </c>
      <c r="B1087" s="5" t="s">
        <v>138</v>
      </c>
      <c r="C1087" t="s">
        <v>301</v>
      </c>
      <c r="E1087" s="4" t="s">
        <v>301</v>
      </c>
      <c r="F1087" t="s">
        <v>171</v>
      </c>
      <c r="G1087" t="s">
        <v>301</v>
      </c>
      <c r="I1087" t="s">
        <v>298</v>
      </c>
      <c r="J1087" t="s">
        <v>299</v>
      </c>
      <c r="K1087" s="4" t="s">
        <v>304</v>
      </c>
      <c r="L1087" t="str">
        <f t="shared" si="32"/>
        <v>"Rappahannock County School Board"</v>
      </c>
      <c r="M1087" t="s">
        <v>302</v>
      </c>
      <c r="N1087" t="s">
        <v>303</v>
      </c>
      <c r="O1087" s="4" t="s">
        <v>300</v>
      </c>
      <c r="P1087" t="str">
        <f t="shared" si="33"/>
        <v>"40178"</v>
      </c>
    </row>
    <row r="1088" spans="1:16" x14ac:dyDescent="0.2">
      <c r="A1088" t="s">
        <v>301</v>
      </c>
      <c r="B1088" s="5" t="s">
        <v>139</v>
      </c>
      <c r="C1088" t="s">
        <v>301</v>
      </c>
      <c r="E1088" s="4" t="s">
        <v>301</v>
      </c>
      <c r="F1088" t="s">
        <v>172</v>
      </c>
      <c r="G1088" t="s">
        <v>301</v>
      </c>
      <c r="I1088" t="s">
        <v>298</v>
      </c>
      <c r="J1088" t="s">
        <v>299</v>
      </c>
      <c r="K1088" s="4" t="s">
        <v>304</v>
      </c>
      <c r="L1088" t="str">
        <f t="shared" si="32"/>
        <v>"Richmond County School Board"</v>
      </c>
      <c r="M1088" t="s">
        <v>302</v>
      </c>
      <c r="N1088" t="s">
        <v>303</v>
      </c>
      <c r="O1088" s="4" t="s">
        <v>300</v>
      </c>
      <c r="P1088" t="str">
        <f t="shared" si="33"/>
        <v>"40179"</v>
      </c>
    </row>
    <row r="1089" spans="1:16" x14ac:dyDescent="0.2">
      <c r="A1089" t="s">
        <v>301</v>
      </c>
      <c r="B1089" s="5" t="s">
        <v>140</v>
      </c>
      <c r="C1089" t="s">
        <v>301</v>
      </c>
      <c r="E1089" s="4" t="s">
        <v>301</v>
      </c>
      <c r="F1089" t="s">
        <v>173</v>
      </c>
      <c r="G1089" t="s">
        <v>301</v>
      </c>
      <c r="I1089" t="s">
        <v>298</v>
      </c>
      <c r="J1089" t="s">
        <v>299</v>
      </c>
      <c r="K1089" s="4" t="s">
        <v>304</v>
      </c>
      <c r="L1089" t="str">
        <f t="shared" si="32"/>
        <v>"Roanoke County School Board"</v>
      </c>
      <c r="M1089" t="s">
        <v>302</v>
      </c>
      <c r="N1089" t="s">
        <v>303</v>
      </c>
      <c r="O1089" s="4" t="s">
        <v>300</v>
      </c>
      <c r="P1089" t="str">
        <f t="shared" si="33"/>
        <v>"40180"</v>
      </c>
    </row>
    <row r="1090" spans="1:16" x14ac:dyDescent="0.2">
      <c r="A1090" t="s">
        <v>301</v>
      </c>
      <c r="B1090" s="5" t="s">
        <v>141</v>
      </c>
      <c r="C1090" t="s">
        <v>301</v>
      </c>
      <c r="E1090" s="4" t="s">
        <v>301</v>
      </c>
      <c r="F1090" t="s">
        <v>174</v>
      </c>
      <c r="G1090" t="s">
        <v>301</v>
      </c>
      <c r="I1090" t="s">
        <v>298</v>
      </c>
      <c r="J1090" t="s">
        <v>299</v>
      </c>
      <c r="K1090" s="4" t="s">
        <v>304</v>
      </c>
      <c r="L1090" t="str">
        <f t="shared" ref="L1090:L1153" si="34">_xlfn.TEXTJOIN("",TRUE,A1090:C1090)</f>
        <v>"Rockbridge County School Board"</v>
      </c>
      <c r="M1090" t="s">
        <v>302</v>
      </c>
      <c r="N1090" t="s">
        <v>303</v>
      </c>
      <c r="O1090" s="4" t="s">
        <v>300</v>
      </c>
      <c r="P1090" t="str">
        <f t="shared" ref="P1090:P1153" si="35">_xlfn.TEXTJOIN("",TRUE,E1090:G1090)</f>
        <v>"40181"</v>
      </c>
    </row>
    <row r="1091" spans="1:16" x14ac:dyDescent="0.2">
      <c r="A1091" t="s">
        <v>301</v>
      </c>
      <c r="B1091" s="5" t="s">
        <v>142</v>
      </c>
      <c r="C1091" t="s">
        <v>301</v>
      </c>
      <c r="E1091" s="4" t="s">
        <v>301</v>
      </c>
      <c r="F1091" t="s">
        <v>175</v>
      </c>
      <c r="G1091" t="s">
        <v>301</v>
      </c>
      <c r="I1091" t="s">
        <v>298</v>
      </c>
      <c r="J1091" t="s">
        <v>299</v>
      </c>
      <c r="K1091" s="4" t="s">
        <v>304</v>
      </c>
      <c r="L1091" t="str">
        <f t="shared" si="34"/>
        <v>"Rockingham County School Board"</v>
      </c>
      <c r="M1091" t="s">
        <v>302</v>
      </c>
      <c r="N1091" t="s">
        <v>303</v>
      </c>
      <c r="O1091" s="4" t="s">
        <v>300</v>
      </c>
      <c r="P1091" t="str">
        <f t="shared" si="35"/>
        <v>"40182"</v>
      </c>
    </row>
    <row r="1092" spans="1:16" x14ac:dyDescent="0.2">
      <c r="A1092" t="s">
        <v>301</v>
      </c>
      <c r="B1092" s="5" t="s">
        <v>143</v>
      </c>
      <c r="C1092" t="s">
        <v>301</v>
      </c>
      <c r="E1092" s="4" t="s">
        <v>301</v>
      </c>
      <c r="F1092" t="s">
        <v>176</v>
      </c>
      <c r="G1092" t="s">
        <v>301</v>
      </c>
      <c r="I1092" t="s">
        <v>298</v>
      </c>
      <c r="J1092" t="s">
        <v>299</v>
      </c>
      <c r="K1092" s="4" t="s">
        <v>304</v>
      </c>
      <c r="L1092" t="str">
        <f t="shared" si="34"/>
        <v>"Russell County School Board"</v>
      </c>
      <c r="M1092" t="s">
        <v>302</v>
      </c>
      <c r="N1092" t="s">
        <v>303</v>
      </c>
      <c r="O1092" s="4" t="s">
        <v>300</v>
      </c>
      <c r="P1092" t="str">
        <f t="shared" si="35"/>
        <v>"40183"</v>
      </c>
    </row>
    <row r="1093" spans="1:16" x14ac:dyDescent="0.2">
      <c r="A1093" t="s">
        <v>301</v>
      </c>
      <c r="B1093" s="5" t="s">
        <v>144</v>
      </c>
      <c r="C1093" t="s">
        <v>301</v>
      </c>
      <c r="E1093" s="4" t="s">
        <v>301</v>
      </c>
      <c r="F1093" t="s">
        <v>177</v>
      </c>
      <c r="G1093" t="s">
        <v>301</v>
      </c>
      <c r="I1093" t="s">
        <v>298</v>
      </c>
      <c r="J1093" t="s">
        <v>299</v>
      </c>
      <c r="K1093" s="4" t="s">
        <v>304</v>
      </c>
      <c r="L1093" t="str">
        <f t="shared" si="34"/>
        <v>"Scott County School Board"</v>
      </c>
      <c r="M1093" t="s">
        <v>302</v>
      </c>
      <c r="N1093" t="s">
        <v>303</v>
      </c>
      <c r="O1093" s="4" t="s">
        <v>300</v>
      </c>
      <c r="P1093" t="str">
        <f t="shared" si="35"/>
        <v>"40184"</v>
      </c>
    </row>
    <row r="1094" spans="1:16" x14ac:dyDescent="0.2">
      <c r="A1094" t="s">
        <v>301</v>
      </c>
      <c r="B1094" s="5" t="s">
        <v>145</v>
      </c>
      <c r="C1094" t="s">
        <v>301</v>
      </c>
      <c r="E1094" s="4" t="s">
        <v>301</v>
      </c>
      <c r="F1094" t="s">
        <v>178</v>
      </c>
      <c r="G1094" t="s">
        <v>301</v>
      </c>
      <c r="I1094" t="s">
        <v>298</v>
      </c>
      <c r="J1094" t="s">
        <v>299</v>
      </c>
      <c r="K1094" s="4" t="s">
        <v>304</v>
      </c>
      <c r="L1094" t="str">
        <f t="shared" si="34"/>
        <v>"Shenandoah County School Board"</v>
      </c>
      <c r="M1094" t="s">
        <v>302</v>
      </c>
      <c r="N1094" t="s">
        <v>303</v>
      </c>
      <c r="O1094" s="4" t="s">
        <v>300</v>
      </c>
      <c r="P1094" t="str">
        <f t="shared" si="35"/>
        <v>"40185"</v>
      </c>
    </row>
    <row r="1095" spans="1:16" x14ac:dyDescent="0.2">
      <c r="A1095" t="s">
        <v>301</v>
      </c>
      <c r="B1095" s="5" t="s">
        <v>146</v>
      </c>
      <c r="C1095" t="s">
        <v>301</v>
      </c>
      <c r="E1095" s="4" t="s">
        <v>301</v>
      </c>
      <c r="F1095" t="s">
        <v>179</v>
      </c>
      <c r="G1095" t="s">
        <v>301</v>
      </c>
      <c r="I1095" t="s">
        <v>298</v>
      </c>
      <c r="J1095" t="s">
        <v>299</v>
      </c>
      <c r="K1095" s="4" t="s">
        <v>304</v>
      </c>
      <c r="L1095" t="str">
        <f t="shared" si="34"/>
        <v>"Smyth County School Board"</v>
      </c>
      <c r="M1095" t="s">
        <v>302</v>
      </c>
      <c r="N1095" t="s">
        <v>303</v>
      </c>
      <c r="O1095" s="4" t="s">
        <v>300</v>
      </c>
      <c r="P1095" t="str">
        <f t="shared" si="35"/>
        <v>"40186"</v>
      </c>
    </row>
    <row r="1096" spans="1:16" x14ac:dyDescent="0.2">
      <c r="A1096" t="s">
        <v>301</v>
      </c>
      <c r="B1096" s="5" t="s">
        <v>147</v>
      </c>
      <c r="C1096" t="s">
        <v>301</v>
      </c>
      <c r="E1096" s="4" t="s">
        <v>301</v>
      </c>
      <c r="F1096" t="s">
        <v>180</v>
      </c>
      <c r="G1096" t="s">
        <v>301</v>
      </c>
      <c r="I1096" t="s">
        <v>298</v>
      </c>
      <c r="J1096" t="s">
        <v>299</v>
      </c>
      <c r="K1096" s="4" t="s">
        <v>304</v>
      </c>
      <c r="L1096" t="str">
        <f t="shared" si="34"/>
        <v>"Southampton County School Board"</v>
      </c>
      <c r="M1096" t="s">
        <v>302</v>
      </c>
      <c r="N1096" t="s">
        <v>303</v>
      </c>
      <c r="O1096" s="4" t="s">
        <v>300</v>
      </c>
      <c r="P1096" t="str">
        <f t="shared" si="35"/>
        <v>"40187"</v>
      </c>
    </row>
    <row r="1097" spans="1:16" x14ac:dyDescent="0.2">
      <c r="A1097" t="s">
        <v>301</v>
      </c>
      <c r="B1097" s="5" t="s">
        <v>148</v>
      </c>
      <c r="C1097" t="s">
        <v>301</v>
      </c>
      <c r="E1097" s="4" t="s">
        <v>301</v>
      </c>
      <c r="F1097" t="s">
        <v>181</v>
      </c>
      <c r="G1097" t="s">
        <v>301</v>
      </c>
      <c r="I1097" t="s">
        <v>298</v>
      </c>
      <c r="J1097" t="s">
        <v>299</v>
      </c>
      <c r="K1097" s="4" t="s">
        <v>304</v>
      </c>
      <c r="L1097" t="str">
        <f t="shared" si="34"/>
        <v>"Spotsylvania County School Board"</v>
      </c>
      <c r="M1097" t="s">
        <v>302</v>
      </c>
      <c r="N1097" t="s">
        <v>303</v>
      </c>
      <c r="O1097" s="4" t="s">
        <v>300</v>
      </c>
      <c r="P1097" t="str">
        <f t="shared" si="35"/>
        <v>"40188"</v>
      </c>
    </row>
    <row r="1098" spans="1:16" x14ac:dyDescent="0.2">
      <c r="A1098" t="s">
        <v>301</v>
      </c>
      <c r="B1098" s="5" t="s">
        <v>149</v>
      </c>
      <c r="C1098" t="s">
        <v>301</v>
      </c>
      <c r="E1098" s="4" t="s">
        <v>301</v>
      </c>
      <c r="F1098" t="s">
        <v>182</v>
      </c>
      <c r="G1098" t="s">
        <v>301</v>
      </c>
      <c r="I1098" t="s">
        <v>298</v>
      </c>
      <c r="J1098" t="s">
        <v>299</v>
      </c>
      <c r="K1098" s="4" t="s">
        <v>304</v>
      </c>
      <c r="L1098" t="str">
        <f t="shared" si="34"/>
        <v>"Stafford County School Board"</v>
      </c>
      <c r="M1098" t="s">
        <v>302</v>
      </c>
      <c r="N1098" t="s">
        <v>303</v>
      </c>
      <c r="O1098" s="4" t="s">
        <v>300</v>
      </c>
      <c r="P1098" t="str">
        <f t="shared" si="35"/>
        <v>"40189"</v>
      </c>
    </row>
    <row r="1099" spans="1:16" x14ac:dyDescent="0.2">
      <c r="A1099" t="s">
        <v>301</v>
      </c>
      <c r="B1099" s="5" t="s">
        <v>150</v>
      </c>
      <c r="C1099" t="s">
        <v>301</v>
      </c>
      <c r="E1099" s="4" t="s">
        <v>301</v>
      </c>
      <c r="F1099" t="s">
        <v>183</v>
      </c>
      <c r="G1099" t="s">
        <v>301</v>
      </c>
      <c r="I1099" t="s">
        <v>298</v>
      </c>
      <c r="J1099" t="s">
        <v>299</v>
      </c>
      <c r="K1099" s="4" t="s">
        <v>304</v>
      </c>
      <c r="L1099" t="str">
        <f t="shared" si="34"/>
        <v>"Surry County Schools"</v>
      </c>
      <c r="M1099" t="s">
        <v>302</v>
      </c>
      <c r="N1099" t="s">
        <v>303</v>
      </c>
      <c r="O1099" s="4" t="s">
        <v>300</v>
      </c>
      <c r="P1099" t="str">
        <f t="shared" si="35"/>
        <v>"40190"</v>
      </c>
    </row>
    <row r="1100" spans="1:16" x14ac:dyDescent="0.2">
      <c r="A1100" t="s">
        <v>301</v>
      </c>
      <c r="B1100" s="5" t="s">
        <v>151</v>
      </c>
      <c r="C1100" t="s">
        <v>301</v>
      </c>
      <c r="E1100" s="4" t="s">
        <v>301</v>
      </c>
      <c r="F1100" t="s">
        <v>184</v>
      </c>
      <c r="G1100" t="s">
        <v>301</v>
      </c>
      <c r="I1100" t="s">
        <v>298</v>
      </c>
      <c r="J1100" t="s">
        <v>299</v>
      </c>
      <c r="K1100" s="4" t="s">
        <v>304</v>
      </c>
      <c r="L1100" t="str">
        <f t="shared" si="34"/>
        <v>"Sussex County School Board"</v>
      </c>
      <c r="M1100" t="s">
        <v>302</v>
      </c>
      <c r="N1100" t="s">
        <v>303</v>
      </c>
      <c r="O1100" s="4" t="s">
        <v>300</v>
      </c>
      <c r="P1100" t="str">
        <f t="shared" si="35"/>
        <v>"40191"</v>
      </c>
    </row>
    <row r="1101" spans="1:16" x14ac:dyDescent="0.2">
      <c r="A1101" t="s">
        <v>301</v>
      </c>
      <c r="B1101" s="5" t="s">
        <v>152</v>
      </c>
      <c r="C1101" t="s">
        <v>301</v>
      </c>
      <c r="E1101" s="4" t="s">
        <v>301</v>
      </c>
      <c r="F1101" t="s">
        <v>185</v>
      </c>
      <c r="G1101" t="s">
        <v>301</v>
      </c>
      <c r="I1101" t="s">
        <v>298</v>
      </c>
      <c r="J1101" t="s">
        <v>299</v>
      </c>
      <c r="K1101" s="4" t="s">
        <v>304</v>
      </c>
      <c r="L1101" t="str">
        <f t="shared" si="34"/>
        <v>"Tazewell County Schools"</v>
      </c>
      <c r="M1101" t="s">
        <v>302</v>
      </c>
      <c r="N1101" t="s">
        <v>303</v>
      </c>
      <c r="O1101" s="4" t="s">
        <v>300</v>
      </c>
      <c r="P1101" t="str">
        <f t="shared" si="35"/>
        <v>"40192"</v>
      </c>
    </row>
    <row r="1102" spans="1:16" x14ac:dyDescent="0.2">
      <c r="A1102" t="s">
        <v>301</v>
      </c>
      <c r="B1102" s="5" t="s">
        <v>153</v>
      </c>
      <c r="C1102" t="s">
        <v>301</v>
      </c>
      <c r="E1102" s="4" t="s">
        <v>301</v>
      </c>
      <c r="F1102" t="s">
        <v>186</v>
      </c>
      <c r="G1102" t="s">
        <v>301</v>
      </c>
      <c r="I1102" t="s">
        <v>298</v>
      </c>
      <c r="J1102" t="s">
        <v>299</v>
      </c>
      <c r="K1102" s="4" t="s">
        <v>304</v>
      </c>
      <c r="L1102" t="str">
        <f t="shared" si="34"/>
        <v>"Warren County School Board"</v>
      </c>
      <c r="M1102" t="s">
        <v>302</v>
      </c>
      <c r="N1102" t="s">
        <v>303</v>
      </c>
      <c r="O1102" s="4" t="s">
        <v>300</v>
      </c>
      <c r="P1102" t="str">
        <f t="shared" si="35"/>
        <v>"40193"</v>
      </c>
    </row>
    <row r="1103" spans="1:16" x14ac:dyDescent="0.2">
      <c r="A1103" t="s">
        <v>301</v>
      </c>
      <c r="B1103" s="5" t="s">
        <v>154</v>
      </c>
      <c r="C1103" t="s">
        <v>301</v>
      </c>
      <c r="E1103" s="4" t="s">
        <v>301</v>
      </c>
      <c r="F1103" t="s">
        <v>187</v>
      </c>
      <c r="G1103" t="s">
        <v>301</v>
      </c>
      <c r="I1103" t="s">
        <v>298</v>
      </c>
      <c r="J1103" t="s">
        <v>299</v>
      </c>
      <c r="K1103" s="4" t="s">
        <v>304</v>
      </c>
      <c r="L1103" t="str">
        <f t="shared" si="34"/>
        <v>"Washington County School Board"</v>
      </c>
      <c r="M1103" t="s">
        <v>302</v>
      </c>
      <c r="N1103" t="s">
        <v>303</v>
      </c>
      <c r="O1103" s="4" t="s">
        <v>300</v>
      </c>
      <c r="P1103" t="str">
        <f t="shared" si="35"/>
        <v>"40195"</v>
      </c>
    </row>
    <row r="1104" spans="1:16" x14ac:dyDescent="0.2">
      <c r="A1104" t="s">
        <v>301</v>
      </c>
      <c r="B1104" s="5" t="s">
        <v>155</v>
      </c>
      <c r="C1104" t="s">
        <v>301</v>
      </c>
      <c r="E1104" s="4" t="s">
        <v>301</v>
      </c>
      <c r="F1104" t="s">
        <v>188</v>
      </c>
      <c r="G1104" t="s">
        <v>301</v>
      </c>
      <c r="I1104" t="s">
        <v>298</v>
      </c>
      <c r="J1104" t="s">
        <v>299</v>
      </c>
      <c r="K1104" s="4" t="s">
        <v>304</v>
      </c>
      <c r="L1104" t="str">
        <f t="shared" si="34"/>
        <v>"Westmoreland County School Board"</v>
      </c>
      <c r="M1104" t="s">
        <v>302</v>
      </c>
      <c r="N1104" t="s">
        <v>303</v>
      </c>
      <c r="O1104" s="4" t="s">
        <v>300</v>
      </c>
      <c r="P1104" t="str">
        <f t="shared" si="35"/>
        <v>"40196"</v>
      </c>
    </row>
    <row r="1105" spans="1:16" x14ac:dyDescent="0.2">
      <c r="A1105" t="s">
        <v>301</v>
      </c>
      <c r="B1105" s="5" t="s">
        <v>156</v>
      </c>
      <c r="C1105" t="s">
        <v>301</v>
      </c>
      <c r="E1105" s="4" t="s">
        <v>301</v>
      </c>
      <c r="F1105" t="s">
        <v>189</v>
      </c>
      <c r="G1105" t="s">
        <v>301</v>
      </c>
      <c r="I1105" t="s">
        <v>298</v>
      </c>
      <c r="J1105" t="s">
        <v>299</v>
      </c>
      <c r="K1105" s="4" t="s">
        <v>304</v>
      </c>
      <c r="L1105" t="str">
        <f t="shared" si="34"/>
        <v>"Wise County School Board"</v>
      </c>
      <c r="M1105" t="s">
        <v>302</v>
      </c>
      <c r="N1105" t="s">
        <v>303</v>
      </c>
      <c r="O1105" s="4" t="s">
        <v>300</v>
      </c>
      <c r="P1105" t="str">
        <f t="shared" si="35"/>
        <v>"40197"</v>
      </c>
    </row>
    <row r="1106" spans="1:16" x14ac:dyDescent="0.2">
      <c r="A1106" t="s">
        <v>301</v>
      </c>
      <c r="B1106" s="5" t="s">
        <v>157</v>
      </c>
      <c r="C1106" t="s">
        <v>301</v>
      </c>
      <c r="E1106" s="4" t="s">
        <v>301</v>
      </c>
      <c r="F1106" t="s">
        <v>190</v>
      </c>
      <c r="G1106" t="s">
        <v>301</v>
      </c>
      <c r="I1106" t="s">
        <v>298</v>
      </c>
      <c r="J1106" t="s">
        <v>299</v>
      </c>
      <c r="K1106" s="4" t="s">
        <v>304</v>
      </c>
      <c r="L1106" t="str">
        <f t="shared" si="34"/>
        <v>"Wythe County School Board"</v>
      </c>
      <c r="M1106" t="s">
        <v>302</v>
      </c>
      <c r="N1106" t="s">
        <v>303</v>
      </c>
      <c r="O1106" s="4" t="s">
        <v>300</v>
      </c>
      <c r="P1106" t="str">
        <f t="shared" si="35"/>
        <v>"40198"</v>
      </c>
    </row>
    <row r="1107" spans="1:16" x14ac:dyDescent="0.2">
      <c r="A1107" t="s">
        <v>301</v>
      </c>
      <c r="B1107" s="5" t="s">
        <v>158</v>
      </c>
      <c r="C1107" t="s">
        <v>301</v>
      </c>
      <c r="E1107" s="4" t="s">
        <v>301</v>
      </c>
      <c r="F1107" t="s">
        <v>191</v>
      </c>
      <c r="G1107" t="s">
        <v>301</v>
      </c>
      <c r="I1107" t="s">
        <v>298</v>
      </c>
      <c r="J1107" t="s">
        <v>299</v>
      </c>
      <c r="K1107" s="4" t="s">
        <v>304</v>
      </c>
      <c r="L1107" t="str">
        <f t="shared" si="34"/>
        <v>"York County School Board"</v>
      </c>
      <c r="M1107" t="s">
        <v>302</v>
      </c>
      <c r="N1107" t="s">
        <v>303</v>
      </c>
      <c r="O1107" s="4" t="s">
        <v>300</v>
      </c>
      <c r="P1107" t="str">
        <f t="shared" si="35"/>
        <v>"40199"</v>
      </c>
    </row>
    <row r="1108" spans="1:16" x14ac:dyDescent="0.2">
      <c r="A1108" t="s">
        <v>301</v>
      </c>
      <c r="B1108" s="5" t="s">
        <v>159</v>
      </c>
      <c r="C1108" t="s">
        <v>301</v>
      </c>
      <c r="E1108" s="4" t="s">
        <v>301</v>
      </c>
      <c r="F1108" t="s">
        <v>192</v>
      </c>
      <c r="G1108" t="s">
        <v>301</v>
      </c>
      <c r="I1108" t="s">
        <v>298</v>
      </c>
      <c r="J1108" t="s">
        <v>299</v>
      </c>
      <c r="K1108" s="4" t="s">
        <v>304</v>
      </c>
      <c r="L1108" t="str">
        <f t="shared" si="34"/>
        <v>"Alexandria City School Board"</v>
      </c>
      <c r="M1108" t="s">
        <v>302</v>
      </c>
      <c r="N1108" t="s">
        <v>303</v>
      </c>
      <c r="O1108" s="4" t="s">
        <v>300</v>
      </c>
      <c r="P1108" t="str">
        <f t="shared" si="35"/>
        <v>"40200"</v>
      </c>
    </row>
    <row r="1109" spans="1:16" x14ac:dyDescent="0.2">
      <c r="A1109" t="s">
        <v>301</v>
      </c>
      <c r="B1109" s="5" t="s">
        <v>160</v>
      </c>
      <c r="C1109" t="s">
        <v>301</v>
      </c>
      <c r="E1109" s="4" t="s">
        <v>301</v>
      </c>
      <c r="F1109" t="s">
        <v>193</v>
      </c>
      <c r="G1109" t="s">
        <v>301</v>
      </c>
      <c r="I1109" t="s">
        <v>298</v>
      </c>
      <c r="J1109" t="s">
        <v>299</v>
      </c>
      <c r="K1109" s="4" t="s">
        <v>304</v>
      </c>
      <c r="L1109" t="str">
        <f t="shared" si="34"/>
        <v>"Bristol City School Board"</v>
      </c>
      <c r="M1109" t="s">
        <v>302</v>
      </c>
      <c r="N1109" t="s">
        <v>303</v>
      </c>
      <c r="O1109" s="4" t="s">
        <v>300</v>
      </c>
      <c r="P1109" t="str">
        <f t="shared" si="35"/>
        <v>"40201"</v>
      </c>
    </row>
    <row r="1110" spans="1:16" x14ac:dyDescent="0.2">
      <c r="A1110" t="s">
        <v>301</v>
      </c>
      <c r="B1110" s="5" t="s">
        <v>161</v>
      </c>
      <c r="C1110" t="s">
        <v>301</v>
      </c>
      <c r="E1110" s="4" t="s">
        <v>301</v>
      </c>
      <c r="F1110" t="s">
        <v>194</v>
      </c>
      <c r="G1110" t="s">
        <v>301</v>
      </c>
      <c r="I1110" t="s">
        <v>298</v>
      </c>
      <c r="J1110" t="s">
        <v>299</v>
      </c>
      <c r="K1110" s="4" t="s">
        <v>304</v>
      </c>
      <c r="L1110" t="str">
        <f t="shared" si="34"/>
        <v>"Buena Vista City Schools"</v>
      </c>
      <c r="M1110" t="s">
        <v>302</v>
      </c>
      <c r="N1110" t="s">
        <v>303</v>
      </c>
      <c r="O1110" s="4" t="s">
        <v>300</v>
      </c>
      <c r="P1110" t="str">
        <f t="shared" si="35"/>
        <v>"40202"</v>
      </c>
    </row>
    <row r="1111" spans="1:16" x14ac:dyDescent="0.2">
      <c r="A1111" t="s">
        <v>301</v>
      </c>
      <c r="B1111" s="5" t="s">
        <v>162</v>
      </c>
      <c r="C1111" t="s">
        <v>301</v>
      </c>
      <c r="E1111" s="4" t="s">
        <v>301</v>
      </c>
      <c r="F1111" t="s">
        <v>195</v>
      </c>
      <c r="G1111" t="s">
        <v>301</v>
      </c>
      <c r="I1111" t="s">
        <v>298</v>
      </c>
      <c r="J1111" t="s">
        <v>299</v>
      </c>
      <c r="K1111" s="4" t="s">
        <v>304</v>
      </c>
      <c r="L1111" t="str">
        <f t="shared" si="34"/>
        <v>"Charlottesville Public Schools"</v>
      </c>
      <c r="M1111" t="s">
        <v>302</v>
      </c>
      <c r="N1111" t="s">
        <v>303</v>
      </c>
      <c r="O1111" s="4" t="s">
        <v>300</v>
      </c>
      <c r="P1111" t="str">
        <f t="shared" si="35"/>
        <v>"40203"</v>
      </c>
    </row>
    <row r="1112" spans="1:16" x14ac:dyDescent="0.2">
      <c r="A1112" t="s">
        <v>301</v>
      </c>
      <c r="B1112" s="5" t="s">
        <v>196</v>
      </c>
      <c r="C1112" t="s">
        <v>301</v>
      </c>
      <c r="E1112" s="4" t="s">
        <v>301</v>
      </c>
      <c r="F1112" t="s">
        <v>229</v>
      </c>
      <c r="G1112" t="s">
        <v>301</v>
      </c>
      <c r="I1112" t="s">
        <v>298</v>
      </c>
      <c r="J1112" t="s">
        <v>299</v>
      </c>
      <c r="K1112" s="4" t="s">
        <v>304</v>
      </c>
      <c r="L1112" t="str">
        <f t="shared" si="34"/>
        <v>"Danville City Schools"</v>
      </c>
      <c r="M1112" t="s">
        <v>302</v>
      </c>
      <c r="N1112" t="s">
        <v>303</v>
      </c>
      <c r="O1112" s="4" t="s">
        <v>300</v>
      </c>
      <c r="P1112" t="str">
        <f t="shared" si="35"/>
        <v>"40205"</v>
      </c>
    </row>
    <row r="1113" spans="1:16" x14ac:dyDescent="0.2">
      <c r="A1113" t="s">
        <v>301</v>
      </c>
      <c r="B1113" s="5" t="s">
        <v>197</v>
      </c>
      <c r="C1113" t="s">
        <v>301</v>
      </c>
      <c r="E1113" s="4" t="s">
        <v>301</v>
      </c>
      <c r="F1113" t="s">
        <v>230</v>
      </c>
      <c r="G1113" t="s">
        <v>301</v>
      </c>
      <c r="I1113" t="s">
        <v>298</v>
      </c>
      <c r="J1113" t="s">
        <v>299</v>
      </c>
      <c r="K1113" s="4" t="s">
        <v>304</v>
      </c>
      <c r="L1113" t="str">
        <f t="shared" si="34"/>
        <v>"Fredericksburg City Schools"</v>
      </c>
      <c r="M1113" t="s">
        <v>302</v>
      </c>
      <c r="N1113" t="s">
        <v>303</v>
      </c>
      <c r="O1113" s="4" t="s">
        <v>300</v>
      </c>
      <c r="P1113" t="str">
        <f t="shared" si="35"/>
        <v>"40206"</v>
      </c>
    </row>
    <row r="1114" spans="1:16" x14ac:dyDescent="0.2">
      <c r="A1114" t="s">
        <v>301</v>
      </c>
      <c r="B1114" s="5" t="s">
        <v>198</v>
      </c>
      <c r="C1114" t="s">
        <v>301</v>
      </c>
      <c r="E1114" s="4" t="s">
        <v>301</v>
      </c>
      <c r="F1114" t="s">
        <v>231</v>
      </c>
      <c r="G1114" t="s">
        <v>301</v>
      </c>
      <c r="I1114" t="s">
        <v>298</v>
      </c>
      <c r="J1114" t="s">
        <v>299</v>
      </c>
      <c r="K1114" s="4" t="s">
        <v>304</v>
      </c>
      <c r="L1114" t="str">
        <f t="shared" si="34"/>
        <v>"Hampton City Schools"</v>
      </c>
      <c r="M1114" t="s">
        <v>302</v>
      </c>
      <c r="N1114" t="s">
        <v>303</v>
      </c>
      <c r="O1114" s="4" t="s">
        <v>300</v>
      </c>
      <c r="P1114" t="str">
        <f t="shared" si="35"/>
        <v>"40207"</v>
      </c>
    </row>
    <row r="1115" spans="1:16" x14ac:dyDescent="0.2">
      <c r="A1115" t="s">
        <v>301</v>
      </c>
      <c r="B1115" s="5" t="s">
        <v>199</v>
      </c>
      <c r="C1115" t="s">
        <v>301</v>
      </c>
      <c r="E1115" s="4" t="s">
        <v>301</v>
      </c>
      <c r="F1115" t="s">
        <v>232</v>
      </c>
      <c r="G1115" t="s">
        <v>301</v>
      </c>
      <c r="I1115" t="s">
        <v>298</v>
      </c>
      <c r="J1115" t="s">
        <v>299</v>
      </c>
      <c r="K1115" s="4" t="s">
        <v>304</v>
      </c>
      <c r="L1115" t="str">
        <f t="shared" si="34"/>
        <v>"Harrisonburg City School Board"</v>
      </c>
      <c r="M1115" t="s">
        <v>302</v>
      </c>
      <c r="N1115" t="s">
        <v>303</v>
      </c>
      <c r="O1115" s="4" t="s">
        <v>300</v>
      </c>
      <c r="P1115" t="str">
        <f t="shared" si="35"/>
        <v>"40208"</v>
      </c>
    </row>
    <row r="1116" spans="1:16" x14ac:dyDescent="0.2">
      <c r="A1116" t="s">
        <v>301</v>
      </c>
      <c r="B1116" s="5" t="s">
        <v>200</v>
      </c>
      <c r="C1116" t="s">
        <v>301</v>
      </c>
      <c r="E1116" s="4" t="s">
        <v>301</v>
      </c>
      <c r="F1116" t="s">
        <v>233</v>
      </c>
      <c r="G1116" t="s">
        <v>301</v>
      </c>
      <c r="I1116" t="s">
        <v>298</v>
      </c>
      <c r="J1116" t="s">
        <v>299</v>
      </c>
      <c r="K1116" s="4" t="s">
        <v>304</v>
      </c>
      <c r="L1116" t="str">
        <f t="shared" si="34"/>
        <v>"Hopewell City School Board"</v>
      </c>
      <c r="M1116" t="s">
        <v>302</v>
      </c>
      <c r="N1116" t="s">
        <v>303</v>
      </c>
      <c r="O1116" s="4" t="s">
        <v>300</v>
      </c>
      <c r="P1116" t="str">
        <f t="shared" si="35"/>
        <v>"40209"</v>
      </c>
    </row>
    <row r="1117" spans="1:16" x14ac:dyDescent="0.2">
      <c r="A1117" t="s">
        <v>301</v>
      </c>
      <c r="B1117" s="5" t="s">
        <v>201</v>
      </c>
      <c r="C1117" t="s">
        <v>301</v>
      </c>
      <c r="E1117" s="4" t="s">
        <v>301</v>
      </c>
      <c r="F1117" t="s">
        <v>234</v>
      </c>
      <c r="G1117" t="s">
        <v>301</v>
      </c>
      <c r="I1117" t="s">
        <v>298</v>
      </c>
      <c r="J1117" t="s">
        <v>299</v>
      </c>
      <c r="K1117" s="4" t="s">
        <v>304</v>
      </c>
      <c r="L1117" t="str">
        <f t="shared" si="34"/>
        <v>"Lynchburg Public Schools"</v>
      </c>
      <c r="M1117" t="s">
        <v>302</v>
      </c>
      <c r="N1117" t="s">
        <v>303</v>
      </c>
      <c r="O1117" s="4" t="s">
        <v>300</v>
      </c>
      <c r="P1117" t="str">
        <f t="shared" si="35"/>
        <v>"40210"</v>
      </c>
    </row>
    <row r="1118" spans="1:16" x14ac:dyDescent="0.2">
      <c r="A1118" t="s">
        <v>301</v>
      </c>
      <c r="B1118" s="5" t="s">
        <v>202</v>
      </c>
      <c r="C1118" t="s">
        <v>301</v>
      </c>
      <c r="E1118" s="4" t="s">
        <v>301</v>
      </c>
      <c r="F1118" t="s">
        <v>235</v>
      </c>
      <c r="G1118" t="s">
        <v>301</v>
      </c>
      <c r="I1118" t="s">
        <v>298</v>
      </c>
      <c r="J1118" t="s">
        <v>299</v>
      </c>
      <c r="K1118" s="4" t="s">
        <v>304</v>
      </c>
      <c r="L1118" t="str">
        <f t="shared" si="34"/>
        <v>"Newport News Public Schools"</v>
      </c>
      <c r="M1118" t="s">
        <v>302</v>
      </c>
      <c r="N1118" t="s">
        <v>303</v>
      </c>
      <c r="O1118" s="4" t="s">
        <v>300</v>
      </c>
      <c r="P1118" t="str">
        <f t="shared" si="35"/>
        <v>"40211"</v>
      </c>
    </row>
    <row r="1119" spans="1:16" x14ac:dyDescent="0.2">
      <c r="A1119" t="s">
        <v>301</v>
      </c>
      <c r="B1119" s="5" t="s">
        <v>203</v>
      </c>
      <c r="C1119" t="s">
        <v>301</v>
      </c>
      <c r="E1119" s="4" t="s">
        <v>301</v>
      </c>
      <c r="F1119" t="s">
        <v>236</v>
      </c>
      <c r="G1119" t="s">
        <v>301</v>
      </c>
      <c r="I1119" t="s">
        <v>298</v>
      </c>
      <c r="J1119" t="s">
        <v>299</v>
      </c>
      <c r="K1119" s="4" t="s">
        <v>304</v>
      </c>
      <c r="L1119" t="str">
        <f t="shared" si="34"/>
        <v>"Norfolk Public Schools"</v>
      </c>
      <c r="M1119" t="s">
        <v>302</v>
      </c>
      <c r="N1119" t="s">
        <v>303</v>
      </c>
      <c r="O1119" s="4" t="s">
        <v>300</v>
      </c>
      <c r="P1119" t="str">
        <f t="shared" si="35"/>
        <v>"40212"</v>
      </c>
    </row>
    <row r="1120" spans="1:16" x14ac:dyDescent="0.2">
      <c r="A1120" t="s">
        <v>301</v>
      </c>
      <c r="B1120" s="5" t="s">
        <v>204</v>
      </c>
      <c r="C1120" t="s">
        <v>301</v>
      </c>
      <c r="E1120" s="4" t="s">
        <v>301</v>
      </c>
      <c r="F1120" t="s">
        <v>237</v>
      </c>
      <c r="G1120" t="s">
        <v>301</v>
      </c>
      <c r="I1120" t="s">
        <v>298</v>
      </c>
      <c r="J1120" t="s">
        <v>299</v>
      </c>
      <c r="K1120" s="4" t="s">
        <v>304</v>
      </c>
      <c r="L1120" t="str">
        <f t="shared" si="34"/>
        <v>"Petersburg City Schools"</v>
      </c>
      <c r="M1120" t="s">
        <v>302</v>
      </c>
      <c r="N1120" t="s">
        <v>303</v>
      </c>
      <c r="O1120" s="4" t="s">
        <v>300</v>
      </c>
      <c r="P1120" t="str">
        <f t="shared" si="35"/>
        <v>"40213"</v>
      </c>
    </row>
    <row r="1121" spans="1:16" x14ac:dyDescent="0.2">
      <c r="A1121" t="s">
        <v>301</v>
      </c>
      <c r="B1121" s="5" t="s">
        <v>205</v>
      </c>
      <c r="C1121" t="s">
        <v>301</v>
      </c>
      <c r="E1121" s="4" t="s">
        <v>301</v>
      </c>
      <c r="F1121" t="s">
        <v>238</v>
      </c>
      <c r="G1121" t="s">
        <v>301</v>
      </c>
      <c r="I1121" t="s">
        <v>298</v>
      </c>
      <c r="J1121" t="s">
        <v>299</v>
      </c>
      <c r="K1121" s="4" t="s">
        <v>304</v>
      </c>
      <c r="L1121" t="str">
        <f t="shared" si="34"/>
        <v>"Portsmouth School Board"</v>
      </c>
      <c r="M1121" t="s">
        <v>302</v>
      </c>
      <c r="N1121" t="s">
        <v>303</v>
      </c>
      <c r="O1121" s="4" t="s">
        <v>300</v>
      </c>
      <c r="P1121" t="str">
        <f t="shared" si="35"/>
        <v>"40214"</v>
      </c>
    </row>
    <row r="1122" spans="1:16" x14ac:dyDescent="0.2">
      <c r="A1122" t="s">
        <v>301</v>
      </c>
      <c r="B1122" s="5" t="s">
        <v>206</v>
      </c>
      <c r="C1122" t="s">
        <v>301</v>
      </c>
      <c r="E1122" s="4" t="s">
        <v>301</v>
      </c>
      <c r="F1122" t="s">
        <v>239</v>
      </c>
      <c r="G1122" t="s">
        <v>301</v>
      </c>
      <c r="I1122" t="s">
        <v>298</v>
      </c>
      <c r="J1122" t="s">
        <v>299</v>
      </c>
      <c r="K1122" s="4" t="s">
        <v>304</v>
      </c>
      <c r="L1122" t="str">
        <f t="shared" si="34"/>
        <v>"Radford City School Board"</v>
      </c>
      <c r="M1122" t="s">
        <v>302</v>
      </c>
      <c r="N1122" t="s">
        <v>303</v>
      </c>
      <c r="O1122" s="4" t="s">
        <v>300</v>
      </c>
      <c r="P1122" t="str">
        <f t="shared" si="35"/>
        <v>"40215"</v>
      </c>
    </row>
    <row r="1123" spans="1:16" x14ac:dyDescent="0.2">
      <c r="A1123" t="s">
        <v>301</v>
      </c>
      <c r="B1123" s="5" t="s">
        <v>207</v>
      </c>
      <c r="C1123" t="s">
        <v>301</v>
      </c>
      <c r="E1123" s="4" t="s">
        <v>301</v>
      </c>
      <c r="F1123" t="s">
        <v>240</v>
      </c>
      <c r="G1123" t="s">
        <v>301</v>
      </c>
      <c r="I1123" t="s">
        <v>298</v>
      </c>
      <c r="J1123" t="s">
        <v>299</v>
      </c>
      <c r="K1123" s="4" t="s">
        <v>304</v>
      </c>
      <c r="L1123" t="str">
        <f t="shared" si="34"/>
        <v>"Richmond Public Schools"</v>
      </c>
      <c r="M1123" t="s">
        <v>302</v>
      </c>
      <c r="N1123" t="s">
        <v>303</v>
      </c>
      <c r="O1123" s="4" t="s">
        <v>300</v>
      </c>
      <c r="P1123" t="str">
        <f t="shared" si="35"/>
        <v>"40216"</v>
      </c>
    </row>
    <row r="1124" spans="1:16" x14ac:dyDescent="0.2">
      <c r="A1124" t="s">
        <v>301</v>
      </c>
      <c r="B1124" s="5" t="s">
        <v>208</v>
      </c>
      <c r="C1124" t="s">
        <v>301</v>
      </c>
      <c r="E1124" s="4" t="s">
        <v>301</v>
      </c>
      <c r="F1124" t="s">
        <v>241</v>
      </c>
      <c r="G1124" t="s">
        <v>301</v>
      </c>
      <c r="I1124" t="s">
        <v>298</v>
      </c>
      <c r="J1124" t="s">
        <v>299</v>
      </c>
      <c r="K1124" s="4" t="s">
        <v>304</v>
      </c>
      <c r="L1124" t="str">
        <f t="shared" si="34"/>
        <v>"Roanoke City School Board"</v>
      </c>
      <c r="M1124" t="s">
        <v>302</v>
      </c>
      <c r="N1124" t="s">
        <v>303</v>
      </c>
      <c r="O1124" s="4" t="s">
        <v>300</v>
      </c>
      <c r="P1124" t="str">
        <f t="shared" si="35"/>
        <v>"40217"</v>
      </c>
    </row>
    <row r="1125" spans="1:16" x14ac:dyDescent="0.2">
      <c r="A1125" t="s">
        <v>301</v>
      </c>
      <c r="B1125" s="5" t="s">
        <v>209</v>
      </c>
      <c r="C1125" t="s">
        <v>301</v>
      </c>
      <c r="E1125" s="4" t="s">
        <v>301</v>
      </c>
      <c r="F1125" t="s">
        <v>242</v>
      </c>
      <c r="G1125" t="s">
        <v>301</v>
      </c>
      <c r="I1125" t="s">
        <v>298</v>
      </c>
      <c r="J1125" t="s">
        <v>299</v>
      </c>
      <c r="K1125" s="4" t="s">
        <v>304</v>
      </c>
      <c r="L1125" t="str">
        <f t="shared" si="34"/>
        <v>"Staunton City Schools"</v>
      </c>
      <c r="M1125" t="s">
        <v>302</v>
      </c>
      <c r="N1125" t="s">
        <v>303</v>
      </c>
      <c r="O1125" s="4" t="s">
        <v>300</v>
      </c>
      <c r="P1125" t="str">
        <f t="shared" si="35"/>
        <v>"40219"</v>
      </c>
    </row>
    <row r="1126" spans="1:16" x14ac:dyDescent="0.2">
      <c r="A1126" t="s">
        <v>301</v>
      </c>
      <c r="B1126" s="5" t="s">
        <v>210</v>
      </c>
      <c r="C1126" t="s">
        <v>301</v>
      </c>
      <c r="E1126" s="4" t="s">
        <v>301</v>
      </c>
      <c r="F1126" t="s">
        <v>243</v>
      </c>
      <c r="G1126" t="s">
        <v>301</v>
      </c>
      <c r="I1126" t="s">
        <v>298</v>
      </c>
      <c r="J1126" t="s">
        <v>299</v>
      </c>
      <c r="K1126" s="4" t="s">
        <v>304</v>
      </c>
      <c r="L1126" t="str">
        <f t="shared" si="34"/>
        <v>"Suffolk City School Board"</v>
      </c>
      <c r="M1126" t="s">
        <v>302</v>
      </c>
      <c r="N1126" t="s">
        <v>303</v>
      </c>
      <c r="O1126" s="4" t="s">
        <v>300</v>
      </c>
      <c r="P1126" t="str">
        <f t="shared" si="35"/>
        <v>"40220"</v>
      </c>
    </row>
    <row r="1127" spans="1:16" x14ac:dyDescent="0.2">
      <c r="A1127" t="s">
        <v>301</v>
      </c>
      <c r="B1127" s="5" t="s">
        <v>211</v>
      </c>
      <c r="C1127" t="s">
        <v>301</v>
      </c>
      <c r="E1127" s="4" t="s">
        <v>301</v>
      </c>
      <c r="F1127" t="s">
        <v>244</v>
      </c>
      <c r="G1127" t="s">
        <v>301</v>
      </c>
      <c r="I1127" t="s">
        <v>298</v>
      </c>
      <c r="J1127" t="s">
        <v>299</v>
      </c>
      <c r="K1127" s="4" t="s">
        <v>304</v>
      </c>
      <c r="L1127" t="str">
        <f t="shared" si="34"/>
        <v>"Winchester Public Schools"</v>
      </c>
      <c r="M1127" t="s">
        <v>302</v>
      </c>
      <c r="N1127" t="s">
        <v>303</v>
      </c>
      <c r="O1127" s="4" t="s">
        <v>300</v>
      </c>
      <c r="P1127" t="str">
        <f t="shared" si="35"/>
        <v>"40222"</v>
      </c>
    </row>
    <row r="1128" spans="1:16" x14ac:dyDescent="0.2">
      <c r="A1128" t="s">
        <v>301</v>
      </c>
      <c r="B1128" s="5" t="s">
        <v>212</v>
      </c>
      <c r="C1128" t="s">
        <v>301</v>
      </c>
      <c r="E1128" s="4" t="s">
        <v>301</v>
      </c>
      <c r="F1128" t="s">
        <v>245</v>
      </c>
      <c r="G1128" t="s">
        <v>301</v>
      </c>
      <c r="I1128" t="s">
        <v>298</v>
      </c>
      <c r="J1128" t="s">
        <v>299</v>
      </c>
      <c r="K1128" s="4" t="s">
        <v>304</v>
      </c>
      <c r="L1128" t="str">
        <f t="shared" si="34"/>
        <v>"Martinsville City Schools"</v>
      </c>
      <c r="M1128" t="s">
        <v>302</v>
      </c>
      <c r="N1128" t="s">
        <v>303</v>
      </c>
      <c r="O1128" s="4" t="s">
        <v>300</v>
      </c>
      <c r="P1128" t="str">
        <f t="shared" si="35"/>
        <v>"40223"</v>
      </c>
    </row>
    <row r="1129" spans="1:16" x14ac:dyDescent="0.2">
      <c r="A1129" t="s">
        <v>301</v>
      </c>
      <c r="B1129" s="5" t="s">
        <v>213</v>
      </c>
      <c r="C1129" t="s">
        <v>301</v>
      </c>
      <c r="E1129" s="4" t="s">
        <v>301</v>
      </c>
      <c r="F1129" t="s">
        <v>246</v>
      </c>
      <c r="G1129" t="s">
        <v>301</v>
      </c>
      <c r="I1129" t="s">
        <v>298</v>
      </c>
      <c r="J1129" t="s">
        <v>299</v>
      </c>
      <c r="K1129" s="4" t="s">
        <v>304</v>
      </c>
      <c r="L1129" t="str">
        <f t="shared" si="34"/>
        <v>"Falls Church Public Schools"</v>
      </c>
      <c r="M1129" t="s">
        <v>302</v>
      </c>
      <c r="N1129" t="s">
        <v>303</v>
      </c>
      <c r="O1129" s="4" t="s">
        <v>300</v>
      </c>
      <c r="P1129" t="str">
        <f t="shared" si="35"/>
        <v>"40224"</v>
      </c>
    </row>
    <row r="1130" spans="1:16" x14ac:dyDescent="0.2">
      <c r="A1130" t="s">
        <v>301</v>
      </c>
      <c r="B1130" s="5" t="s">
        <v>214</v>
      </c>
      <c r="C1130" t="s">
        <v>301</v>
      </c>
      <c r="E1130" s="4" t="s">
        <v>301</v>
      </c>
      <c r="F1130" t="s">
        <v>247</v>
      </c>
      <c r="G1130" t="s">
        <v>301</v>
      </c>
      <c r="I1130" t="s">
        <v>298</v>
      </c>
      <c r="J1130" t="s">
        <v>299</v>
      </c>
      <c r="K1130" s="4" t="s">
        <v>304</v>
      </c>
      <c r="L1130" t="str">
        <f t="shared" si="34"/>
        <v>"Colonial Heights City Schools"</v>
      </c>
      <c r="M1130" t="s">
        <v>302</v>
      </c>
      <c r="N1130" t="s">
        <v>303</v>
      </c>
      <c r="O1130" s="4" t="s">
        <v>300</v>
      </c>
      <c r="P1130" t="str">
        <f t="shared" si="35"/>
        <v>"40225"</v>
      </c>
    </row>
    <row r="1131" spans="1:16" x14ac:dyDescent="0.2">
      <c r="A1131" t="s">
        <v>301</v>
      </c>
      <c r="B1131" s="5" t="s">
        <v>215</v>
      </c>
      <c r="C1131" t="s">
        <v>301</v>
      </c>
      <c r="E1131" s="4" t="s">
        <v>301</v>
      </c>
      <c r="F1131" t="s">
        <v>248</v>
      </c>
      <c r="G1131" t="s">
        <v>301</v>
      </c>
      <c r="I1131" t="s">
        <v>298</v>
      </c>
      <c r="J1131" t="s">
        <v>299</v>
      </c>
      <c r="K1131" s="4" t="s">
        <v>304</v>
      </c>
      <c r="L1131" t="str">
        <f t="shared" si="34"/>
        <v>"Covington City School Board"</v>
      </c>
      <c r="M1131" t="s">
        <v>302</v>
      </c>
      <c r="N1131" t="s">
        <v>303</v>
      </c>
      <c r="O1131" s="4" t="s">
        <v>300</v>
      </c>
      <c r="P1131" t="str">
        <f t="shared" si="35"/>
        <v>"40230"</v>
      </c>
    </row>
    <row r="1132" spans="1:16" x14ac:dyDescent="0.2">
      <c r="A1132" t="s">
        <v>301</v>
      </c>
      <c r="B1132" s="5" t="s">
        <v>216</v>
      </c>
      <c r="C1132" t="s">
        <v>301</v>
      </c>
      <c r="E1132" s="4" t="s">
        <v>301</v>
      </c>
      <c r="F1132" t="s">
        <v>249</v>
      </c>
      <c r="G1132" t="s">
        <v>301</v>
      </c>
      <c r="I1132" t="s">
        <v>298</v>
      </c>
      <c r="J1132" t="s">
        <v>299</v>
      </c>
      <c r="K1132" s="4" t="s">
        <v>304</v>
      </c>
      <c r="L1132" t="str">
        <f t="shared" si="34"/>
        <v>"Fairfax City School Board"</v>
      </c>
      <c r="M1132" t="s">
        <v>302</v>
      </c>
      <c r="N1132" t="s">
        <v>303</v>
      </c>
      <c r="O1132" s="4" t="s">
        <v>300</v>
      </c>
      <c r="P1132" t="str">
        <f t="shared" si="35"/>
        <v>"40231"</v>
      </c>
    </row>
    <row r="1133" spans="1:16" x14ac:dyDescent="0.2">
      <c r="A1133" t="s">
        <v>301</v>
      </c>
      <c r="B1133" s="5" t="s">
        <v>217</v>
      </c>
      <c r="C1133" t="s">
        <v>301</v>
      </c>
      <c r="E1133" s="4" t="s">
        <v>301</v>
      </c>
      <c r="F1133" t="s">
        <v>250</v>
      </c>
      <c r="G1133" t="s">
        <v>301</v>
      </c>
      <c r="I1133" t="s">
        <v>298</v>
      </c>
      <c r="J1133" t="s">
        <v>299</v>
      </c>
      <c r="K1133" s="4" t="s">
        <v>304</v>
      </c>
      <c r="L1133" t="str">
        <f t="shared" si="34"/>
        <v>"Franklin City Public Schools"</v>
      </c>
      <c r="M1133" t="s">
        <v>302</v>
      </c>
      <c r="N1133" t="s">
        <v>303</v>
      </c>
      <c r="O1133" s="4" t="s">
        <v>300</v>
      </c>
      <c r="P1133" t="str">
        <f t="shared" si="35"/>
        <v>"40232"</v>
      </c>
    </row>
    <row r="1134" spans="1:16" x14ac:dyDescent="0.2">
      <c r="A1134" t="s">
        <v>301</v>
      </c>
      <c r="B1134" s="5" t="s">
        <v>218</v>
      </c>
      <c r="C1134" t="s">
        <v>301</v>
      </c>
      <c r="E1134" s="4" t="s">
        <v>301</v>
      </c>
      <c r="F1134" t="s">
        <v>251</v>
      </c>
      <c r="G1134" t="s">
        <v>301</v>
      </c>
      <c r="I1134" t="s">
        <v>298</v>
      </c>
      <c r="J1134" t="s">
        <v>299</v>
      </c>
      <c r="K1134" s="4" t="s">
        <v>304</v>
      </c>
      <c r="L1134" t="str">
        <f t="shared" si="34"/>
        <v>"Chesapeake Public Schools"</v>
      </c>
      <c r="M1134" t="s">
        <v>302</v>
      </c>
      <c r="N1134" t="s">
        <v>303</v>
      </c>
      <c r="O1134" s="4" t="s">
        <v>300</v>
      </c>
      <c r="P1134" t="str">
        <f t="shared" si="35"/>
        <v>"40233"</v>
      </c>
    </row>
    <row r="1135" spans="1:16" x14ac:dyDescent="0.2">
      <c r="A1135" t="s">
        <v>301</v>
      </c>
      <c r="B1135" s="5" t="s">
        <v>219</v>
      </c>
      <c r="C1135" t="s">
        <v>301</v>
      </c>
      <c r="E1135" s="4" t="s">
        <v>301</v>
      </c>
      <c r="F1135" t="s">
        <v>252</v>
      </c>
      <c r="G1135" t="s">
        <v>301</v>
      </c>
      <c r="I1135" t="s">
        <v>298</v>
      </c>
      <c r="J1135" t="s">
        <v>299</v>
      </c>
      <c r="K1135" s="4" t="s">
        <v>304</v>
      </c>
      <c r="L1135" t="str">
        <f t="shared" si="34"/>
        <v>"Virginia Beach City School Board"</v>
      </c>
      <c r="M1135" t="s">
        <v>302</v>
      </c>
      <c r="N1135" t="s">
        <v>303</v>
      </c>
      <c r="O1135" s="4" t="s">
        <v>300</v>
      </c>
      <c r="P1135" t="str">
        <f t="shared" si="35"/>
        <v>"40234"</v>
      </c>
    </row>
    <row r="1136" spans="1:16" x14ac:dyDescent="0.2">
      <c r="A1136" t="s">
        <v>301</v>
      </c>
      <c r="B1136" s="5" t="s">
        <v>220</v>
      </c>
      <c r="C1136" t="s">
        <v>301</v>
      </c>
      <c r="E1136" s="4" t="s">
        <v>301</v>
      </c>
      <c r="F1136" t="s">
        <v>253</v>
      </c>
      <c r="G1136" t="s">
        <v>301</v>
      </c>
      <c r="I1136" t="s">
        <v>298</v>
      </c>
      <c r="J1136" t="s">
        <v>299</v>
      </c>
      <c r="K1136" s="4" t="s">
        <v>304</v>
      </c>
      <c r="L1136" t="str">
        <f t="shared" si="34"/>
        <v>"Manassas Park City Schools"</v>
      </c>
      <c r="M1136" t="s">
        <v>302</v>
      </c>
      <c r="N1136" t="s">
        <v>303</v>
      </c>
      <c r="O1136" s="4" t="s">
        <v>300</v>
      </c>
      <c r="P1136" t="str">
        <f t="shared" si="35"/>
        <v>"40236"</v>
      </c>
    </row>
    <row r="1137" spans="1:16" x14ac:dyDescent="0.2">
      <c r="A1137" t="s">
        <v>301</v>
      </c>
      <c r="B1137" s="5" t="s">
        <v>221</v>
      </c>
      <c r="C1137" t="s">
        <v>301</v>
      </c>
      <c r="E1137" s="4" t="s">
        <v>301</v>
      </c>
      <c r="F1137" t="s">
        <v>254</v>
      </c>
      <c r="G1137" t="s">
        <v>301</v>
      </c>
      <c r="I1137" t="s">
        <v>298</v>
      </c>
      <c r="J1137" t="s">
        <v>299</v>
      </c>
      <c r="K1137" s="4" t="s">
        <v>304</v>
      </c>
      <c r="L1137" t="str">
        <f t="shared" si="34"/>
        <v>"Town of West Point School Board"</v>
      </c>
      <c r="M1137" t="s">
        <v>302</v>
      </c>
      <c r="N1137" t="s">
        <v>303</v>
      </c>
      <c r="O1137" s="4" t="s">
        <v>300</v>
      </c>
      <c r="P1137" t="str">
        <f t="shared" si="35"/>
        <v>"40306"</v>
      </c>
    </row>
    <row r="1138" spans="1:16" x14ac:dyDescent="0.2">
      <c r="A1138" t="s">
        <v>301</v>
      </c>
      <c r="B1138" s="5" t="s">
        <v>222</v>
      </c>
      <c r="C1138" t="s">
        <v>301</v>
      </c>
      <c r="E1138" s="4" t="s">
        <v>301</v>
      </c>
      <c r="F1138" t="s">
        <v>255</v>
      </c>
      <c r="G1138" t="s">
        <v>301</v>
      </c>
      <c r="I1138" t="s">
        <v>298</v>
      </c>
      <c r="J1138" t="s">
        <v>299</v>
      </c>
      <c r="K1138" s="4" t="s">
        <v>304</v>
      </c>
      <c r="L1138" t="str">
        <f t="shared" si="34"/>
        <v>"Lexington City School Board"</v>
      </c>
      <c r="M1138" t="s">
        <v>302</v>
      </c>
      <c r="N1138" t="s">
        <v>303</v>
      </c>
      <c r="O1138" s="4" t="s">
        <v>300</v>
      </c>
      <c r="P1138" t="str">
        <f t="shared" si="35"/>
        <v>"40307"</v>
      </c>
    </row>
    <row r="1139" spans="1:16" x14ac:dyDescent="0.2">
      <c r="A1139" t="s">
        <v>301</v>
      </c>
      <c r="B1139" s="5" t="s">
        <v>223</v>
      </c>
      <c r="C1139" t="s">
        <v>301</v>
      </c>
      <c r="E1139" s="4" t="s">
        <v>301</v>
      </c>
      <c r="F1139" t="s">
        <v>256</v>
      </c>
      <c r="G1139" t="s">
        <v>301</v>
      </c>
      <c r="I1139" t="s">
        <v>298</v>
      </c>
      <c r="J1139" t="s">
        <v>299</v>
      </c>
      <c r="K1139" s="4" t="s">
        <v>304</v>
      </c>
      <c r="L1139" t="str">
        <f t="shared" si="34"/>
        <v>"Waynesboro Public Schools"</v>
      </c>
      <c r="M1139" t="s">
        <v>302</v>
      </c>
      <c r="N1139" t="s">
        <v>303</v>
      </c>
      <c r="O1139" s="4" t="s">
        <v>300</v>
      </c>
      <c r="P1139" t="str">
        <f t="shared" si="35"/>
        <v>"40308"</v>
      </c>
    </row>
    <row r="1140" spans="1:16" x14ac:dyDescent="0.2">
      <c r="A1140" t="s">
        <v>301</v>
      </c>
      <c r="B1140" s="5" t="s">
        <v>224</v>
      </c>
      <c r="C1140" t="s">
        <v>301</v>
      </c>
      <c r="E1140" s="4" t="s">
        <v>301</v>
      </c>
      <c r="F1140" t="s">
        <v>257</v>
      </c>
      <c r="G1140" t="s">
        <v>301</v>
      </c>
      <c r="I1140" t="s">
        <v>298</v>
      </c>
      <c r="J1140" t="s">
        <v>299</v>
      </c>
      <c r="K1140" s="4" t="s">
        <v>304</v>
      </c>
      <c r="L1140" t="str">
        <f t="shared" si="34"/>
        <v>"Town of Colonial Beach Schools"</v>
      </c>
      <c r="M1140" t="s">
        <v>302</v>
      </c>
      <c r="N1140" t="s">
        <v>303</v>
      </c>
      <c r="O1140" s="4" t="s">
        <v>300</v>
      </c>
      <c r="P1140" t="str">
        <f t="shared" si="35"/>
        <v>"40309"</v>
      </c>
    </row>
    <row r="1141" spans="1:16" x14ac:dyDescent="0.2">
      <c r="A1141" t="s">
        <v>301</v>
      </c>
      <c r="B1141" s="5" t="s">
        <v>225</v>
      </c>
      <c r="C1141" t="s">
        <v>301</v>
      </c>
      <c r="E1141" s="4" t="s">
        <v>301</v>
      </c>
      <c r="F1141" t="s">
        <v>258</v>
      </c>
      <c r="G1141" t="s">
        <v>301</v>
      </c>
      <c r="I1141" t="s">
        <v>298</v>
      </c>
      <c r="J1141" t="s">
        <v>299</v>
      </c>
      <c r="K1141" s="4" t="s">
        <v>304</v>
      </c>
      <c r="L1141" t="str">
        <f t="shared" si="34"/>
        <v>"Galax City Schools"</v>
      </c>
      <c r="M1141" t="s">
        <v>302</v>
      </c>
      <c r="N1141" t="s">
        <v>303</v>
      </c>
      <c r="O1141" s="4" t="s">
        <v>300</v>
      </c>
      <c r="P1141" t="str">
        <f t="shared" si="35"/>
        <v>"40313"</v>
      </c>
    </row>
    <row r="1142" spans="1:16" x14ac:dyDescent="0.2">
      <c r="A1142" t="s">
        <v>301</v>
      </c>
      <c r="B1142" s="5" t="s">
        <v>226</v>
      </c>
      <c r="C1142" t="s">
        <v>301</v>
      </c>
      <c r="E1142" s="4" t="s">
        <v>301</v>
      </c>
      <c r="F1142" t="s">
        <v>259</v>
      </c>
      <c r="G1142" t="s">
        <v>301</v>
      </c>
      <c r="I1142" t="s">
        <v>298</v>
      </c>
      <c r="J1142" t="s">
        <v>299</v>
      </c>
      <c r="K1142" s="4" t="s">
        <v>304</v>
      </c>
      <c r="L1142" t="str">
        <f t="shared" si="34"/>
        <v>"Norton City Schools"</v>
      </c>
      <c r="M1142" t="s">
        <v>302</v>
      </c>
      <c r="N1142" t="s">
        <v>303</v>
      </c>
      <c r="O1142" s="4" t="s">
        <v>300</v>
      </c>
      <c r="P1142" t="str">
        <f t="shared" si="35"/>
        <v>"40314"</v>
      </c>
    </row>
    <row r="1143" spans="1:16" x14ac:dyDescent="0.2">
      <c r="A1143" t="s">
        <v>301</v>
      </c>
      <c r="B1143" s="5" t="s">
        <v>227</v>
      </c>
      <c r="C1143" t="s">
        <v>301</v>
      </c>
      <c r="E1143" s="4" t="s">
        <v>301</v>
      </c>
      <c r="F1143" t="s">
        <v>260</v>
      </c>
      <c r="G1143" t="s">
        <v>301</v>
      </c>
      <c r="I1143" t="s">
        <v>298</v>
      </c>
      <c r="J1143" t="s">
        <v>299</v>
      </c>
      <c r="K1143" s="4" t="s">
        <v>304</v>
      </c>
      <c r="L1143" t="str">
        <f t="shared" si="34"/>
        <v>"Manassas City Schools"</v>
      </c>
      <c r="M1143" t="s">
        <v>302</v>
      </c>
      <c r="N1143" t="s">
        <v>303</v>
      </c>
      <c r="O1143" s="4" t="s">
        <v>300</v>
      </c>
      <c r="P1143" t="str">
        <f t="shared" si="35"/>
        <v>"40332"</v>
      </c>
    </row>
    <row r="1144" spans="1:16" x14ac:dyDescent="0.2">
      <c r="A1144" t="s">
        <v>301</v>
      </c>
      <c r="B1144" s="5" t="s">
        <v>228</v>
      </c>
      <c r="C1144" t="s">
        <v>301</v>
      </c>
      <c r="E1144" s="4" t="s">
        <v>301</v>
      </c>
      <c r="F1144" t="s">
        <v>261</v>
      </c>
      <c r="G1144" t="s">
        <v>301</v>
      </c>
      <c r="I1144" t="s">
        <v>298</v>
      </c>
      <c r="J1144" t="s">
        <v>299</v>
      </c>
      <c r="K1144" s="4" t="s">
        <v>304</v>
      </c>
      <c r="L1144" t="str">
        <f t="shared" si="34"/>
        <v>"City of Salem Schools"</v>
      </c>
      <c r="M1144" t="s">
        <v>302</v>
      </c>
      <c r="N1144" t="s">
        <v>303</v>
      </c>
      <c r="O1144" s="4" t="s">
        <v>300</v>
      </c>
      <c r="P1144" t="str">
        <f t="shared" si="35"/>
        <v>"40335"</v>
      </c>
    </row>
    <row r="1145" spans="1:16" x14ac:dyDescent="0.2">
      <c r="A1145" t="s">
        <v>301</v>
      </c>
      <c r="B1145" s="5" t="s">
        <v>294</v>
      </c>
      <c r="C1145" t="s">
        <v>301</v>
      </c>
      <c r="E1145" s="4" t="s">
        <v>301</v>
      </c>
      <c r="F1145" t="s">
        <v>276</v>
      </c>
      <c r="G1145" t="s">
        <v>301</v>
      </c>
      <c r="I1145" t="s">
        <v>298</v>
      </c>
      <c r="J1145" t="s">
        <v>299</v>
      </c>
      <c r="K1145" s="4" t="s">
        <v>304</v>
      </c>
      <c r="L1145" t="str">
        <f t="shared" si="34"/>
        <v>"Williamsburg-James City County School Board"</v>
      </c>
      <c r="M1145" t="s">
        <v>302</v>
      </c>
      <c r="N1145" t="s">
        <v>303</v>
      </c>
      <c r="O1145" s="4" t="s">
        <v>300</v>
      </c>
      <c r="P1145" t="str">
        <f t="shared" si="35"/>
        <v>"40402"</v>
      </c>
    </row>
    <row r="1146" spans="1:16" x14ac:dyDescent="0.2">
      <c r="A1146" t="s">
        <v>301</v>
      </c>
      <c r="B1146" s="5" t="s">
        <v>263</v>
      </c>
      <c r="C1146" t="s">
        <v>301</v>
      </c>
      <c r="E1146" s="4" t="s">
        <v>301</v>
      </c>
      <c r="F1146" t="s">
        <v>277</v>
      </c>
      <c r="G1146" t="s">
        <v>301</v>
      </c>
      <c r="I1146" t="s">
        <v>298</v>
      </c>
      <c r="J1146" t="s">
        <v>299</v>
      </c>
      <c r="K1146" s="4" t="s">
        <v>304</v>
      </c>
      <c r="L1146" t="str">
        <f t="shared" si="34"/>
        <v>"Poquoson City Public Schools"</v>
      </c>
      <c r="M1146" t="s">
        <v>302</v>
      </c>
      <c r="N1146" t="s">
        <v>303</v>
      </c>
      <c r="O1146" s="4" t="s">
        <v>300</v>
      </c>
      <c r="P1146" t="str">
        <f t="shared" si="35"/>
        <v>"40403"</v>
      </c>
    </row>
    <row r="1147" spans="1:16" x14ac:dyDescent="0.2">
      <c r="A1147" t="s">
        <v>301</v>
      </c>
      <c r="B1147" s="5" t="s">
        <v>264</v>
      </c>
      <c r="C1147" t="s">
        <v>301</v>
      </c>
      <c r="E1147" s="4" t="s">
        <v>301</v>
      </c>
      <c r="F1147" t="s">
        <v>278</v>
      </c>
      <c r="G1147" t="s">
        <v>301</v>
      </c>
      <c r="I1147" t="s">
        <v>298</v>
      </c>
      <c r="J1147" t="s">
        <v>299</v>
      </c>
      <c r="K1147" s="4" t="s">
        <v>304</v>
      </c>
      <c r="L1147" t="str">
        <f t="shared" si="34"/>
        <v>"Valley Vocational Technical Center"</v>
      </c>
      <c r="M1147" t="s">
        <v>302</v>
      </c>
      <c r="N1147" t="s">
        <v>303</v>
      </c>
      <c r="O1147" s="4" t="s">
        <v>300</v>
      </c>
      <c r="P1147" t="str">
        <f t="shared" si="35"/>
        <v>"40410"</v>
      </c>
    </row>
    <row r="1148" spans="1:16" x14ac:dyDescent="0.2">
      <c r="A1148" t="s">
        <v>301</v>
      </c>
      <c r="B1148" s="5" t="s">
        <v>295</v>
      </c>
      <c r="C1148" t="s">
        <v>301</v>
      </c>
      <c r="E1148" s="4" t="s">
        <v>301</v>
      </c>
      <c r="F1148" t="s">
        <v>279</v>
      </c>
      <c r="G1148" t="s">
        <v>301</v>
      </c>
      <c r="I1148" t="s">
        <v>298</v>
      </c>
      <c r="J1148" t="s">
        <v>299</v>
      </c>
      <c r="K1148" s="4" t="s">
        <v>304</v>
      </c>
      <c r="L1148" t="str">
        <f t="shared" si="34"/>
        <v>"Charlottesville/Albemarle Vo-Tech Center"</v>
      </c>
      <c r="M1148" t="s">
        <v>302</v>
      </c>
      <c r="N1148" t="s">
        <v>303</v>
      </c>
      <c r="O1148" s="4" t="s">
        <v>300</v>
      </c>
      <c r="P1148" t="str">
        <f t="shared" si="35"/>
        <v>"40412"</v>
      </c>
    </row>
    <row r="1149" spans="1:16" x14ac:dyDescent="0.2">
      <c r="A1149" t="s">
        <v>301</v>
      </c>
      <c r="B1149" s="5" t="s">
        <v>267</v>
      </c>
      <c r="C1149" t="s">
        <v>301</v>
      </c>
      <c r="E1149" s="4" t="s">
        <v>301</v>
      </c>
      <c r="F1149" t="s">
        <v>281</v>
      </c>
      <c r="G1149" t="s">
        <v>301</v>
      </c>
      <c r="I1149" t="s">
        <v>298</v>
      </c>
      <c r="J1149" t="s">
        <v>299</v>
      </c>
      <c r="K1149" s="4" t="s">
        <v>304</v>
      </c>
      <c r="L1149" t="str">
        <f t="shared" si="34"/>
        <v>"Jackson River Technical Center"</v>
      </c>
      <c r="M1149" t="s">
        <v>302</v>
      </c>
      <c r="N1149" t="s">
        <v>303</v>
      </c>
      <c r="O1149" s="4" t="s">
        <v>300</v>
      </c>
      <c r="P1149" t="str">
        <f t="shared" si="35"/>
        <v>"40414"</v>
      </c>
    </row>
    <row r="1150" spans="1:16" x14ac:dyDescent="0.2">
      <c r="A1150" t="s">
        <v>301</v>
      </c>
      <c r="B1150" s="5" t="s">
        <v>268</v>
      </c>
      <c r="C1150" t="s">
        <v>301</v>
      </c>
      <c r="E1150" s="4" t="s">
        <v>301</v>
      </c>
      <c r="F1150" t="s">
        <v>282</v>
      </c>
      <c r="G1150" t="s">
        <v>301</v>
      </c>
      <c r="I1150" t="s">
        <v>298</v>
      </c>
      <c r="J1150" t="s">
        <v>299</v>
      </c>
      <c r="K1150" s="4" t="s">
        <v>304</v>
      </c>
      <c r="L1150" t="str">
        <f t="shared" si="34"/>
        <v>"New Horizons Technical Center"</v>
      </c>
      <c r="M1150" t="s">
        <v>302</v>
      </c>
      <c r="N1150" t="s">
        <v>303</v>
      </c>
      <c r="O1150" s="4" t="s">
        <v>300</v>
      </c>
      <c r="P1150" t="str">
        <f t="shared" si="35"/>
        <v>"40415"</v>
      </c>
    </row>
    <row r="1151" spans="1:16" x14ac:dyDescent="0.2">
      <c r="A1151" t="s">
        <v>301</v>
      </c>
      <c r="B1151" s="5" t="s">
        <v>269</v>
      </c>
      <c r="C1151" t="s">
        <v>301</v>
      </c>
      <c r="E1151" s="4" t="s">
        <v>301</v>
      </c>
      <c r="F1151" t="s">
        <v>283</v>
      </c>
      <c r="G1151" t="s">
        <v>301</v>
      </c>
      <c r="I1151" t="s">
        <v>298</v>
      </c>
      <c r="J1151" t="s">
        <v>299</v>
      </c>
      <c r="K1151" s="4" t="s">
        <v>304</v>
      </c>
      <c r="L1151" t="str">
        <f t="shared" si="34"/>
        <v>"Northern Neck Regional Vocational Center"</v>
      </c>
      <c r="M1151" t="s">
        <v>302</v>
      </c>
      <c r="N1151" t="s">
        <v>303</v>
      </c>
      <c r="O1151" s="4" t="s">
        <v>300</v>
      </c>
      <c r="P1151" t="str">
        <f t="shared" si="35"/>
        <v>"40416"</v>
      </c>
    </row>
    <row r="1152" spans="1:16" x14ac:dyDescent="0.2">
      <c r="A1152" t="s">
        <v>301</v>
      </c>
      <c r="B1152" s="5" t="s">
        <v>270</v>
      </c>
      <c r="C1152" t="s">
        <v>301</v>
      </c>
      <c r="E1152" s="4" t="s">
        <v>301</v>
      </c>
      <c r="F1152" t="s">
        <v>284</v>
      </c>
      <c r="G1152" t="s">
        <v>301</v>
      </c>
      <c r="I1152" t="s">
        <v>298</v>
      </c>
      <c r="J1152" t="s">
        <v>299</v>
      </c>
      <c r="K1152" s="4" t="s">
        <v>304</v>
      </c>
      <c r="L1152" t="str">
        <f t="shared" si="34"/>
        <v>"Rowanty Vocational Technical Center"</v>
      </c>
      <c r="M1152" t="s">
        <v>302</v>
      </c>
      <c r="N1152" t="s">
        <v>303</v>
      </c>
      <c r="O1152" s="4" t="s">
        <v>300</v>
      </c>
      <c r="P1152" t="str">
        <f t="shared" si="35"/>
        <v>"40417"</v>
      </c>
    </row>
    <row r="1153" spans="1:16" x14ac:dyDescent="0.2">
      <c r="A1153" t="s">
        <v>301</v>
      </c>
      <c r="B1153" s="5" t="s">
        <v>296</v>
      </c>
      <c r="C1153" t="s">
        <v>301</v>
      </c>
      <c r="E1153" s="4" t="s">
        <v>301</v>
      </c>
      <c r="F1153" t="s">
        <v>285</v>
      </c>
      <c r="G1153" t="s">
        <v>301</v>
      </c>
      <c r="I1153" t="s">
        <v>298</v>
      </c>
      <c r="J1153" t="s">
        <v>299</v>
      </c>
      <c r="K1153" s="4" t="s">
        <v>304</v>
      </c>
      <c r="L1153" t="str">
        <f t="shared" si="34"/>
        <v>"Amelia-Nottoway Vocational Center"</v>
      </c>
      <c r="M1153" t="s">
        <v>302</v>
      </c>
      <c r="N1153" t="s">
        <v>303</v>
      </c>
      <c r="O1153" s="4" t="s">
        <v>300</v>
      </c>
      <c r="P1153" t="str">
        <f t="shared" si="35"/>
        <v>"40418"</v>
      </c>
    </row>
    <row r="1154" spans="1:16" x14ac:dyDescent="0.2">
      <c r="A1154" t="s">
        <v>301</v>
      </c>
      <c r="B1154" s="5" t="s">
        <v>272</v>
      </c>
      <c r="C1154" t="s">
        <v>301</v>
      </c>
      <c r="E1154" s="4" t="s">
        <v>301</v>
      </c>
      <c r="F1154" t="s">
        <v>286</v>
      </c>
      <c r="G1154" t="s">
        <v>301</v>
      </c>
      <c r="I1154" t="s">
        <v>298</v>
      </c>
      <c r="J1154" t="s">
        <v>299</v>
      </c>
      <c r="K1154" s="4" t="s">
        <v>304</v>
      </c>
      <c r="L1154" t="str">
        <f t="shared" ref="L1154:L1217" si="36">_xlfn.TEXTJOIN("",TRUE,A1154:C1154)</f>
        <v>"Northern Neck Regional Special Education Program"</v>
      </c>
      <c r="M1154" t="s">
        <v>302</v>
      </c>
      <c r="N1154" t="s">
        <v>303</v>
      </c>
      <c r="O1154" s="4" t="s">
        <v>300</v>
      </c>
      <c r="P1154" t="str">
        <f t="shared" ref="P1154:P1217" si="37">_xlfn.TEXTJOIN("",TRUE,E1154:G1154)</f>
        <v>"40421"</v>
      </c>
    </row>
    <row r="1155" spans="1:16" x14ac:dyDescent="0.2">
      <c r="A1155" t="s">
        <v>301</v>
      </c>
      <c r="B1155" s="5" t="s">
        <v>273</v>
      </c>
      <c r="C1155" t="s">
        <v>301</v>
      </c>
      <c r="E1155" s="4" t="s">
        <v>301</v>
      </c>
      <c r="F1155" t="s">
        <v>287</v>
      </c>
      <c r="G1155" t="s">
        <v>301</v>
      </c>
      <c r="I1155" t="s">
        <v>298</v>
      </c>
      <c r="J1155" t="s">
        <v>299</v>
      </c>
      <c r="K1155" s="4" t="s">
        <v>304</v>
      </c>
      <c r="L1155" t="str">
        <f t="shared" si="36"/>
        <v>"Maggie Walker Governor's School for Govt &amp; Intl Studies"</v>
      </c>
      <c r="M1155" t="s">
        <v>302</v>
      </c>
      <c r="N1155" t="s">
        <v>303</v>
      </c>
      <c r="O1155" s="4" t="s">
        <v>300</v>
      </c>
      <c r="P1155" t="str">
        <f t="shared" si="37"/>
        <v>"40423"</v>
      </c>
    </row>
    <row r="1156" spans="1:16" x14ac:dyDescent="0.2">
      <c r="A1156" t="s">
        <v>301</v>
      </c>
      <c r="B1156" s="5" t="s">
        <v>274</v>
      </c>
      <c r="C1156" t="s">
        <v>301</v>
      </c>
      <c r="E1156" s="4" t="s">
        <v>301</v>
      </c>
      <c r="F1156" t="s">
        <v>288</v>
      </c>
      <c r="G1156" t="s">
        <v>301</v>
      </c>
      <c r="I1156" t="s">
        <v>298</v>
      </c>
      <c r="J1156" t="s">
        <v>299</v>
      </c>
      <c r="K1156" s="4" t="s">
        <v>304</v>
      </c>
      <c r="L1156" t="str">
        <f t="shared" si="36"/>
        <v>"Appomattox Region Governor's School"</v>
      </c>
      <c r="M1156" t="s">
        <v>302</v>
      </c>
      <c r="N1156" t="s">
        <v>303</v>
      </c>
      <c r="O1156" s="4" t="s">
        <v>300</v>
      </c>
      <c r="P1156" t="str">
        <f t="shared" si="37"/>
        <v>"40424"</v>
      </c>
    </row>
    <row r="1157" spans="1:16" x14ac:dyDescent="0.2">
      <c r="A1157" t="s">
        <v>301</v>
      </c>
      <c r="B1157" s="5" t="s">
        <v>275</v>
      </c>
      <c r="C1157" t="s">
        <v>301</v>
      </c>
      <c r="E1157" s="4" t="s">
        <v>301</v>
      </c>
      <c r="F1157" t="s">
        <v>289</v>
      </c>
      <c r="G1157" t="s">
        <v>301</v>
      </c>
      <c r="I1157" t="s">
        <v>298</v>
      </c>
      <c r="J1157" t="s">
        <v>299</v>
      </c>
      <c r="K1157" s="4" t="s">
        <v>304</v>
      </c>
      <c r="L1157" t="str">
        <f t="shared" si="36"/>
        <v>"Bridging Communities Regional Career and Tech Center"</v>
      </c>
      <c r="M1157" t="s">
        <v>302</v>
      </c>
      <c r="N1157" t="s">
        <v>303</v>
      </c>
      <c r="O1157" s="4" t="s">
        <v>300</v>
      </c>
      <c r="P1157" t="str">
        <f t="shared" si="37"/>
        <v>"40425"</v>
      </c>
    </row>
    <row r="1158" spans="1:16" x14ac:dyDescent="0.2">
      <c r="A1158" t="s">
        <v>301</v>
      </c>
      <c r="B1158" s="5" t="s">
        <v>0</v>
      </c>
      <c r="C1158" t="s">
        <v>301</v>
      </c>
      <c r="E1158" s="4" t="s">
        <v>301</v>
      </c>
      <c r="F1158">
        <v>40100</v>
      </c>
      <c r="G1158" t="s">
        <v>301</v>
      </c>
      <c r="I1158" t="s">
        <v>298</v>
      </c>
      <c r="J1158" t="s">
        <v>299</v>
      </c>
      <c r="K1158" s="4" t="s">
        <v>304</v>
      </c>
      <c r="L1158" t="str">
        <f t="shared" si="36"/>
        <v>"Accomack County School Board"</v>
      </c>
      <c r="M1158" t="s">
        <v>302</v>
      </c>
      <c r="N1158" t="s">
        <v>303</v>
      </c>
      <c r="O1158" s="4" t="s">
        <v>300</v>
      </c>
      <c r="P1158" t="str">
        <f t="shared" si="37"/>
        <v>"40100"</v>
      </c>
    </row>
    <row r="1159" spans="1:16" x14ac:dyDescent="0.2">
      <c r="A1159" t="s">
        <v>301</v>
      </c>
      <c r="B1159" s="5" t="s">
        <v>1</v>
      </c>
      <c r="C1159" t="s">
        <v>301</v>
      </c>
      <c r="E1159" s="4" t="s">
        <v>301</v>
      </c>
      <c r="F1159">
        <v>40101</v>
      </c>
      <c r="G1159" t="s">
        <v>301</v>
      </c>
      <c r="I1159" t="s">
        <v>298</v>
      </c>
      <c r="J1159" t="s">
        <v>299</v>
      </c>
      <c r="K1159" s="4" t="s">
        <v>304</v>
      </c>
      <c r="L1159" t="str">
        <f t="shared" si="36"/>
        <v>"Albemarle County Schools"</v>
      </c>
      <c r="M1159" t="s">
        <v>302</v>
      </c>
      <c r="N1159" t="s">
        <v>303</v>
      </c>
      <c r="O1159" s="4" t="s">
        <v>300</v>
      </c>
      <c r="P1159" t="str">
        <f t="shared" si="37"/>
        <v>"40101"</v>
      </c>
    </row>
    <row r="1160" spans="1:16" x14ac:dyDescent="0.2">
      <c r="A1160" t="s">
        <v>301</v>
      </c>
      <c r="B1160" s="5" t="s">
        <v>2</v>
      </c>
      <c r="C1160" t="s">
        <v>301</v>
      </c>
      <c r="E1160" s="4" t="s">
        <v>301</v>
      </c>
      <c r="F1160">
        <v>40102</v>
      </c>
      <c r="G1160" t="s">
        <v>301</v>
      </c>
      <c r="I1160" t="s">
        <v>298</v>
      </c>
      <c r="J1160" t="s">
        <v>299</v>
      </c>
      <c r="K1160" s="4" t="s">
        <v>304</v>
      </c>
      <c r="L1160" t="str">
        <f t="shared" si="36"/>
        <v>"Alleghany County School Board"</v>
      </c>
      <c r="M1160" t="s">
        <v>302</v>
      </c>
      <c r="N1160" t="s">
        <v>303</v>
      </c>
      <c r="O1160" s="4" t="s">
        <v>300</v>
      </c>
      <c r="P1160" t="str">
        <f t="shared" si="37"/>
        <v>"40102"</v>
      </c>
    </row>
    <row r="1161" spans="1:16" x14ac:dyDescent="0.2">
      <c r="A1161" t="s">
        <v>301</v>
      </c>
      <c r="B1161" s="5" t="s">
        <v>3</v>
      </c>
      <c r="C1161" t="s">
        <v>301</v>
      </c>
      <c r="E1161" s="4" t="s">
        <v>301</v>
      </c>
      <c r="F1161">
        <v>40103</v>
      </c>
      <c r="G1161" t="s">
        <v>301</v>
      </c>
      <c r="I1161" t="s">
        <v>298</v>
      </c>
      <c r="J1161" t="s">
        <v>299</v>
      </c>
      <c r="K1161" s="4" t="s">
        <v>304</v>
      </c>
      <c r="L1161" t="str">
        <f t="shared" si="36"/>
        <v>"Amelia County School Board"</v>
      </c>
      <c r="M1161" t="s">
        <v>302</v>
      </c>
      <c r="N1161" t="s">
        <v>303</v>
      </c>
      <c r="O1161" s="4" t="s">
        <v>300</v>
      </c>
      <c r="P1161" t="str">
        <f t="shared" si="37"/>
        <v>"40103"</v>
      </c>
    </row>
    <row r="1162" spans="1:16" x14ac:dyDescent="0.2">
      <c r="A1162" t="s">
        <v>301</v>
      </c>
      <c r="B1162" s="5" t="s">
        <v>4</v>
      </c>
      <c r="C1162" t="s">
        <v>301</v>
      </c>
      <c r="E1162" s="4" t="s">
        <v>301</v>
      </c>
      <c r="F1162">
        <v>40104</v>
      </c>
      <c r="G1162" t="s">
        <v>301</v>
      </c>
      <c r="I1162" t="s">
        <v>298</v>
      </c>
      <c r="J1162" t="s">
        <v>299</v>
      </c>
      <c r="K1162" s="4" t="s">
        <v>304</v>
      </c>
      <c r="L1162" t="str">
        <f t="shared" si="36"/>
        <v>"Amherst County School Board"</v>
      </c>
      <c r="M1162" t="s">
        <v>302</v>
      </c>
      <c r="N1162" t="s">
        <v>303</v>
      </c>
      <c r="O1162" s="4" t="s">
        <v>300</v>
      </c>
      <c r="P1162" t="str">
        <f t="shared" si="37"/>
        <v>"40104"</v>
      </c>
    </row>
    <row r="1163" spans="1:16" x14ac:dyDescent="0.2">
      <c r="A1163" t="s">
        <v>301</v>
      </c>
      <c r="B1163" s="5" t="s">
        <v>5</v>
      </c>
      <c r="C1163" t="s">
        <v>301</v>
      </c>
      <c r="E1163" s="4" t="s">
        <v>301</v>
      </c>
      <c r="F1163">
        <v>40105</v>
      </c>
      <c r="G1163" t="s">
        <v>301</v>
      </c>
      <c r="I1163" t="s">
        <v>298</v>
      </c>
      <c r="J1163" t="s">
        <v>299</v>
      </c>
      <c r="K1163" s="4" t="s">
        <v>304</v>
      </c>
      <c r="L1163" t="str">
        <f t="shared" si="36"/>
        <v>"Appomattox County School Board"</v>
      </c>
      <c r="M1163" t="s">
        <v>302</v>
      </c>
      <c r="N1163" t="s">
        <v>303</v>
      </c>
      <c r="O1163" s="4" t="s">
        <v>300</v>
      </c>
      <c r="P1163" t="str">
        <f t="shared" si="37"/>
        <v>"40105"</v>
      </c>
    </row>
    <row r="1164" spans="1:16" x14ac:dyDescent="0.2">
      <c r="A1164" t="s">
        <v>301</v>
      </c>
      <c r="B1164" s="5" t="s">
        <v>6</v>
      </c>
      <c r="C1164" t="s">
        <v>301</v>
      </c>
      <c r="E1164" s="4" t="s">
        <v>301</v>
      </c>
      <c r="F1164">
        <v>40106</v>
      </c>
      <c r="G1164" t="s">
        <v>301</v>
      </c>
      <c r="I1164" t="s">
        <v>298</v>
      </c>
      <c r="J1164" t="s">
        <v>299</v>
      </c>
      <c r="K1164" s="4" t="s">
        <v>304</v>
      </c>
      <c r="L1164" t="str">
        <f t="shared" si="36"/>
        <v>"Arlington Public Schools"</v>
      </c>
      <c r="M1164" t="s">
        <v>302</v>
      </c>
      <c r="N1164" t="s">
        <v>303</v>
      </c>
      <c r="O1164" s="4" t="s">
        <v>300</v>
      </c>
      <c r="P1164" t="str">
        <f t="shared" si="37"/>
        <v>"40106"</v>
      </c>
    </row>
    <row r="1165" spans="1:16" x14ac:dyDescent="0.2">
      <c r="A1165" t="s">
        <v>301</v>
      </c>
      <c r="B1165" s="5" t="s">
        <v>7</v>
      </c>
      <c r="C1165" t="s">
        <v>301</v>
      </c>
      <c r="E1165" s="4" t="s">
        <v>301</v>
      </c>
      <c r="F1165">
        <v>40107</v>
      </c>
      <c r="G1165" t="s">
        <v>301</v>
      </c>
      <c r="I1165" t="s">
        <v>298</v>
      </c>
      <c r="J1165" t="s">
        <v>299</v>
      </c>
      <c r="K1165" s="4" t="s">
        <v>304</v>
      </c>
      <c r="L1165" t="str">
        <f t="shared" si="36"/>
        <v>"Augusta County School Board"</v>
      </c>
      <c r="M1165" t="s">
        <v>302</v>
      </c>
      <c r="N1165" t="s">
        <v>303</v>
      </c>
      <c r="O1165" s="4" t="s">
        <v>300</v>
      </c>
      <c r="P1165" t="str">
        <f t="shared" si="37"/>
        <v>"40107"</v>
      </c>
    </row>
    <row r="1166" spans="1:16" x14ac:dyDescent="0.2">
      <c r="A1166" t="s">
        <v>301</v>
      </c>
      <c r="B1166" s="5" t="s">
        <v>8</v>
      </c>
      <c r="C1166" t="s">
        <v>301</v>
      </c>
      <c r="E1166" s="4" t="s">
        <v>301</v>
      </c>
      <c r="F1166">
        <v>40108</v>
      </c>
      <c r="G1166" t="s">
        <v>301</v>
      </c>
      <c r="I1166" t="s">
        <v>298</v>
      </c>
      <c r="J1166" t="s">
        <v>299</v>
      </c>
      <c r="K1166" s="4" t="s">
        <v>304</v>
      </c>
      <c r="L1166" t="str">
        <f t="shared" si="36"/>
        <v>"Bath County School Board"</v>
      </c>
      <c r="M1166" t="s">
        <v>302</v>
      </c>
      <c r="N1166" t="s">
        <v>303</v>
      </c>
      <c r="O1166" s="4" t="s">
        <v>300</v>
      </c>
      <c r="P1166" t="str">
        <f t="shared" si="37"/>
        <v>"40108"</v>
      </c>
    </row>
    <row r="1167" spans="1:16" x14ac:dyDescent="0.2">
      <c r="A1167" t="s">
        <v>301</v>
      </c>
      <c r="B1167" s="5" t="s">
        <v>9</v>
      </c>
      <c r="C1167" t="s">
        <v>301</v>
      </c>
      <c r="E1167" s="4" t="s">
        <v>301</v>
      </c>
      <c r="F1167">
        <v>40109</v>
      </c>
      <c r="G1167" t="s">
        <v>301</v>
      </c>
      <c r="I1167" t="s">
        <v>298</v>
      </c>
      <c r="J1167" t="s">
        <v>299</v>
      </c>
      <c r="K1167" s="4" t="s">
        <v>304</v>
      </c>
      <c r="L1167" t="str">
        <f t="shared" si="36"/>
        <v>"Bedford County School Board"</v>
      </c>
      <c r="M1167" t="s">
        <v>302</v>
      </c>
      <c r="N1167" t="s">
        <v>303</v>
      </c>
      <c r="O1167" s="4" t="s">
        <v>300</v>
      </c>
      <c r="P1167" t="str">
        <f t="shared" si="37"/>
        <v>"40109"</v>
      </c>
    </row>
    <row r="1168" spans="1:16" x14ac:dyDescent="0.2">
      <c r="A1168" t="s">
        <v>301</v>
      </c>
      <c r="B1168" s="5" t="s">
        <v>10</v>
      </c>
      <c r="C1168" t="s">
        <v>301</v>
      </c>
      <c r="E1168" s="4" t="s">
        <v>301</v>
      </c>
      <c r="F1168">
        <v>40110</v>
      </c>
      <c r="G1168" t="s">
        <v>301</v>
      </c>
      <c r="I1168" t="s">
        <v>298</v>
      </c>
      <c r="J1168" t="s">
        <v>299</v>
      </c>
      <c r="K1168" s="4" t="s">
        <v>304</v>
      </c>
      <c r="L1168" t="str">
        <f t="shared" si="36"/>
        <v>"Bland County School Board"</v>
      </c>
      <c r="M1168" t="s">
        <v>302</v>
      </c>
      <c r="N1168" t="s">
        <v>303</v>
      </c>
      <c r="O1168" s="4" t="s">
        <v>300</v>
      </c>
      <c r="P1168" t="str">
        <f t="shared" si="37"/>
        <v>"40110"</v>
      </c>
    </row>
    <row r="1169" spans="1:16" x14ac:dyDescent="0.2">
      <c r="A1169" t="s">
        <v>301</v>
      </c>
      <c r="B1169" s="5" t="s">
        <v>11</v>
      </c>
      <c r="C1169" t="s">
        <v>301</v>
      </c>
      <c r="E1169" s="4" t="s">
        <v>301</v>
      </c>
      <c r="F1169">
        <v>40111</v>
      </c>
      <c r="G1169" t="s">
        <v>301</v>
      </c>
      <c r="I1169" t="s">
        <v>298</v>
      </c>
      <c r="J1169" t="s">
        <v>299</v>
      </c>
      <c r="K1169" s="4" t="s">
        <v>304</v>
      </c>
      <c r="L1169" t="str">
        <f t="shared" si="36"/>
        <v>"Botetourt County Schools"</v>
      </c>
      <c r="M1169" t="s">
        <v>302</v>
      </c>
      <c r="N1169" t="s">
        <v>303</v>
      </c>
      <c r="O1169" s="4" t="s">
        <v>300</v>
      </c>
      <c r="P1169" t="str">
        <f t="shared" si="37"/>
        <v>"40111"</v>
      </c>
    </row>
    <row r="1170" spans="1:16" x14ac:dyDescent="0.2">
      <c r="A1170" t="s">
        <v>301</v>
      </c>
      <c r="B1170" s="5" t="s">
        <v>12</v>
      </c>
      <c r="C1170" t="s">
        <v>301</v>
      </c>
      <c r="E1170" s="4" t="s">
        <v>301</v>
      </c>
      <c r="F1170">
        <v>40112</v>
      </c>
      <c r="G1170" t="s">
        <v>301</v>
      </c>
      <c r="I1170" t="s">
        <v>298</v>
      </c>
      <c r="J1170" t="s">
        <v>299</v>
      </c>
      <c r="K1170" s="4" t="s">
        <v>304</v>
      </c>
      <c r="L1170" t="str">
        <f t="shared" si="36"/>
        <v>"Brunswick County Public Schools"</v>
      </c>
      <c r="M1170" t="s">
        <v>302</v>
      </c>
      <c r="N1170" t="s">
        <v>303</v>
      </c>
      <c r="O1170" s="4" t="s">
        <v>300</v>
      </c>
      <c r="P1170" t="str">
        <f t="shared" si="37"/>
        <v>"40112"</v>
      </c>
    </row>
    <row r="1171" spans="1:16" x14ac:dyDescent="0.2">
      <c r="A1171" t="s">
        <v>301</v>
      </c>
      <c r="B1171" s="5" t="s">
        <v>13</v>
      </c>
      <c r="C1171" t="s">
        <v>301</v>
      </c>
      <c r="E1171" s="4" t="s">
        <v>301</v>
      </c>
      <c r="F1171">
        <v>40113</v>
      </c>
      <c r="G1171" t="s">
        <v>301</v>
      </c>
      <c r="I1171" t="s">
        <v>298</v>
      </c>
      <c r="J1171" t="s">
        <v>299</v>
      </c>
      <c r="K1171" s="4" t="s">
        <v>304</v>
      </c>
      <c r="L1171" t="str">
        <f t="shared" si="36"/>
        <v>"Buchanan County School Board"</v>
      </c>
      <c r="M1171" t="s">
        <v>302</v>
      </c>
      <c r="N1171" t="s">
        <v>303</v>
      </c>
      <c r="O1171" s="4" t="s">
        <v>300</v>
      </c>
      <c r="P1171" t="str">
        <f t="shared" si="37"/>
        <v>"40113"</v>
      </c>
    </row>
    <row r="1172" spans="1:16" x14ac:dyDescent="0.2">
      <c r="A1172" t="s">
        <v>301</v>
      </c>
      <c r="B1172" s="5" t="s">
        <v>14</v>
      </c>
      <c r="C1172" t="s">
        <v>301</v>
      </c>
      <c r="E1172" s="4" t="s">
        <v>301</v>
      </c>
      <c r="F1172">
        <v>40114</v>
      </c>
      <c r="G1172" t="s">
        <v>301</v>
      </c>
      <c r="I1172" t="s">
        <v>298</v>
      </c>
      <c r="J1172" t="s">
        <v>299</v>
      </c>
      <c r="K1172" s="4" t="s">
        <v>304</v>
      </c>
      <c r="L1172" t="str">
        <f t="shared" si="36"/>
        <v>"Buckingham County School Board"</v>
      </c>
      <c r="M1172" t="s">
        <v>302</v>
      </c>
      <c r="N1172" t="s">
        <v>303</v>
      </c>
      <c r="O1172" s="4" t="s">
        <v>300</v>
      </c>
      <c r="P1172" t="str">
        <f t="shared" si="37"/>
        <v>"40114"</v>
      </c>
    </row>
    <row r="1173" spans="1:16" x14ac:dyDescent="0.2">
      <c r="A1173" t="s">
        <v>301</v>
      </c>
      <c r="B1173" s="5" t="s">
        <v>15</v>
      </c>
      <c r="C1173" t="s">
        <v>301</v>
      </c>
      <c r="E1173" s="4" t="s">
        <v>301</v>
      </c>
      <c r="F1173">
        <v>40115</v>
      </c>
      <c r="G1173" t="s">
        <v>301</v>
      </c>
      <c r="I1173" t="s">
        <v>298</v>
      </c>
      <c r="J1173" t="s">
        <v>299</v>
      </c>
      <c r="K1173" s="4" t="s">
        <v>304</v>
      </c>
      <c r="L1173" t="str">
        <f t="shared" si="36"/>
        <v>"Campbell County School Board"</v>
      </c>
      <c r="M1173" t="s">
        <v>302</v>
      </c>
      <c r="N1173" t="s">
        <v>303</v>
      </c>
      <c r="O1173" s="4" t="s">
        <v>300</v>
      </c>
      <c r="P1173" t="str">
        <f t="shared" si="37"/>
        <v>"40115"</v>
      </c>
    </row>
    <row r="1174" spans="1:16" x14ac:dyDescent="0.2">
      <c r="A1174" t="s">
        <v>301</v>
      </c>
      <c r="B1174" s="5" t="s">
        <v>16</v>
      </c>
      <c r="C1174" t="s">
        <v>301</v>
      </c>
      <c r="E1174" s="4" t="s">
        <v>301</v>
      </c>
      <c r="F1174">
        <v>40116</v>
      </c>
      <c r="G1174" t="s">
        <v>301</v>
      </c>
      <c r="I1174" t="s">
        <v>298</v>
      </c>
      <c r="J1174" t="s">
        <v>299</v>
      </c>
      <c r="K1174" s="4" t="s">
        <v>304</v>
      </c>
      <c r="L1174" t="str">
        <f t="shared" si="36"/>
        <v>"Caroline County School Board"</v>
      </c>
      <c r="M1174" t="s">
        <v>302</v>
      </c>
      <c r="N1174" t="s">
        <v>303</v>
      </c>
      <c r="O1174" s="4" t="s">
        <v>300</v>
      </c>
      <c r="P1174" t="str">
        <f t="shared" si="37"/>
        <v>"40116"</v>
      </c>
    </row>
    <row r="1175" spans="1:16" x14ac:dyDescent="0.2">
      <c r="A1175" t="s">
        <v>301</v>
      </c>
      <c r="B1175" s="5" t="s">
        <v>17</v>
      </c>
      <c r="C1175" t="s">
        <v>301</v>
      </c>
      <c r="E1175" s="4" t="s">
        <v>301</v>
      </c>
      <c r="F1175">
        <v>40117</v>
      </c>
      <c r="G1175" t="s">
        <v>301</v>
      </c>
      <c r="I1175" t="s">
        <v>298</v>
      </c>
      <c r="J1175" t="s">
        <v>299</v>
      </c>
      <c r="K1175" s="4" t="s">
        <v>304</v>
      </c>
      <c r="L1175" t="str">
        <f t="shared" si="36"/>
        <v>"Carroll County School Board"</v>
      </c>
      <c r="M1175" t="s">
        <v>302</v>
      </c>
      <c r="N1175" t="s">
        <v>303</v>
      </c>
      <c r="O1175" s="4" t="s">
        <v>300</v>
      </c>
      <c r="P1175" t="str">
        <f t="shared" si="37"/>
        <v>"40117"</v>
      </c>
    </row>
    <row r="1176" spans="1:16" x14ac:dyDescent="0.2">
      <c r="A1176" t="s">
        <v>301</v>
      </c>
      <c r="B1176" s="5" t="s">
        <v>18</v>
      </c>
      <c r="C1176" t="s">
        <v>301</v>
      </c>
      <c r="E1176" s="4" t="s">
        <v>301</v>
      </c>
      <c r="F1176">
        <v>40118</v>
      </c>
      <c r="G1176" t="s">
        <v>301</v>
      </c>
      <c r="I1176" t="s">
        <v>298</v>
      </c>
      <c r="J1176" t="s">
        <v>299</v>
      </c>
      <c r="K1176" s="4" t="s">
        <v>304</v>
      </c>
      <c r="L1176" t="str">
        <f t="shared" si="36"/>
        <v>"Charles City County School Board"</v>
      </c>
      <c r="M1176" t="s">
        <v>302</v>
      </c>
      <c r="N1176" t="s">
        <v>303</v>
      </c>
      <c r="O1176" s="4" t="s">
        <v>300</v>
      </c>
      <c r="P1176" t="str">
        <f t="shared" si="37"/>
        <v>"40118"</v>
      </c>
    </row>
    <row r="1177" spans="1:16" x14ac:dyDescent="0.2">
      <c r="A1177" t="s">
        <v>301</v>
      </c>
      <c r="B1177" s="5" t="s">
        <v>19</v>
      </c>
      <c r="C1177" t="s">
        <v>301</v>
      </c>
      <c r="E1177" s="4" t="s">
        <v>301</v>
      </c>
      <c r="F1177">
        <v>40119</v>
      </c>
      <c r="G1177" t="s">
        <v>301</v>
      </c>
      <c r="I1177" t="s">
        <v>298</v>
      </c>
      <c r="J1177" t="s">
        <v>299</v>
      </c>
      <c r="K1177" s="4" t="s">
        <v>304</v>
      </c>
      <c r="L1177" t="str">
        <f t="shared" si="36"/>
        <v>"Charlotte County School Board"</v>
      </c>
      <c r="M1177" t="s">
        <v>302</v>
      </c>
      <c r="N1177" t="s">
        <v>303</v>
      </c>
      <c r="O1177" s="4" t="s">
        <v>300</v>
      </c>
      <c r="P1177" t="str">
        <f t="shared" si="37"/>
        <v>"40119"</v>
      </c>
    </row>
    <row r="1178" spans="1:16" x14ac:dyDescent="0.2">
      <c r="A1178" t="s">
        <v>301</v>
      </c>
      <c r="B1178" s="5" t="s">
        <v>20</v>
      </c>
      <c r="C1178" t="s">
        <v>301</v>
      </c>
      <c r="E1178" s="4" t="s">
        <v>301</v>
      </c>
      <c r="F1178">
        <v>40120</v>
      </c>
      <c r="G1178" t="s">
        <v>301</v>
      </c>
      <c r="I1178" t="s">
        <v>298</v>
      </c>
      <c r="J1178" t="s">
        <v>299</v>
      </c>
      <c r="K1178" s="4" t="s">
        <v>304</v>
      </c>
      <c r="L1178" t="str">
        <f t="shared" si="36"/>
        <v>"Chesterfield County School Board"</v>
      </c>
      <c r="M1178" t="s">
        <v>302</v>
      </c>
      <c r="N1178" t="s">
        <v>303</v>
      </c>
      <c r="O1178" s="4" t="s">
        <v>300</v>
      </c>
      <c r="P1178" t="str">
        <f t="shared" si="37"/>
        <v>"40120"</v>
      </c>
    </row>
    <row r="1179" spans="1:16" x14ac:dyDescent="0.2">
      <c r="A1179" t="s">
        <v>301</v>
      </c>
      <c r="B1179" s="5" t="s">
        <v>21</v>
      </c>
      <c r="C1179" t="s">
        <v>301</v>
      </c>
      <c r="E1179" s="4" t="s">
        <v>301</v>
      </c>
      <c r="F1179">
        <v>40121</v>
      </c>
      <c r="G1179" t="s">
        <v>301</v>
      </c>
      <c r="I1179" t="s">
        <v>298</v>
      </c>
      <c r="J1179" t="s">
        <v>299</v>
      </c>
      <c r="K1179" s="4" t="s">
        <v>304</v>
      </c>
      <c r="L1179" t="str">
        <f t="shared" si="36"/>
        <v>"Clarke County School Board"</v>
      </c>
      <c r="M1179" t="s">
        <v>302</v>
      </c>
      <c r="N1179" t="s">
        <v>303</v>
      </c>
      <c r="O1179" s="4" t="s">
        <v>300</v>
      </c>
      <c r="P1179" t="str">
        <f t="shared" si="37"/>
        <v>"40121"</v>
      </c>
    </row>
    <row r="1180" spans="1:16" x14ac:dyDescent="0.2">
      <c r="A1180" t="s">
        <v>301</v>
      </c>
      <c r="B1180" s="5" t="s">
        <v>22</v>
      </c>
      <c r="C1180" t="s">
        <v>301</v>
      </c>
      <c r="E1180" s="4" t="s">
        <v>301</v>
      </c>
      <c r="F1180">
        <v>40122</v>
      </c>
      <c r="G1180" t="s">
        <v>301</v>
      </c>
      <c r="I1180" t="s">
        <v>298</v>
      </c>
      <c r="J1180" t="s">
        <v>299</v>
      </c>
      <c r="K1180" s="4" t="s">
        <v>304</v>
      </c>
      <c r="L1180" t="str">
        <f t="shared" si="36"/>
        <v>"Craig County School Board"</v>
      </c>
      <c r="M1180" t="s">
        <v>302</v>
      </c>
      <c r="N1180" t="s">
        <v>303</v>
      </c>
      <c r="O1180" s="4" t="s">
        <v>300</v>
      </c>
      <c r="P1180" t="str">
        <f t="shared" si="37"/>
        <v>"40122"</v>
      </c>
    </row>
    <row r="1181" spans="1:16" x14ac:dyDescent="0.2">
      <c r="A1181" t="s">
        <v>301</v>
      </c>
      <c r="B1181" s="5" t="s">
        <v>23</v>
      </c>
      <c r="C1181" t="s">
        <v>301</v>
      </c>
      <c r="E1181" s="4" t="s">
        <v>301</v>
      </c>
      <c r="F1181">
        <v>40123</v>
      </c>
      <c r="G1181" t="s">
        <v>301</v>
      </c>
      <c r="I1181" t="s">
        <v>298</v>
      </c>
      <c r="J1181" t="s">
        <v>299</v>
      </c>
      <c r="K1181" s="4" t="s">
        <v>304</v>
      </c>
      <c r="L1181" t="str">
        <f t="shared" si="36"/>
        <v>"Culpeper County School Board"</v>
      </c>
      <c r="M1181" t="s">
        <v>302</v>
      </c>
      <c r="N1181" t="s">
        <v>303</v>
      </c>
      <c r="O1181" s="4" t="s">
        <v>300</v>
      </c>
      <c r="P1181" t="str">
        <f t="shared" si="37"/>
        <v>"40123"</v>
      </c>
    </row>
    <row r="1182" spans="1:16" x14ac:dyDescent="0.2">
      <c r="A1182" t="s">
        <v>301</v>
      </c>
      <c r="B1182" s="5" t="s">
        <v>24</v>
      </c>
      <c r="C1182" t="s">
        <v>301</v>
      </c>
      <c r="E1182" s="4" t="s">
        <v>301</v>
      </c>
      <c r="F1182">
        <v>40124</v>
      </c>
      <c r="G1182" t="s">
        <v>301</v>
      </c>
      <c r="I1182" t="s">
        <v>298</v>
      </c>
      <c r="J1182" t="s">
        <v>299</v>
      </c>
      <c r="K1182" s="4" t="s">
        <v>304</v>
      </c>
      <c r="L1182" t="str">
        <f t="shared" si="36"/>
        <v>"Cumberland County School Board"</v>
      </c>
      <c r="M1182" t="s">
        <v>302</v>
      </c>
      <c r="N1182" t="s">
        <v>303</v>
      </c>
      <c r="O1182" s="4" t="s">
        <v>300</v>
      </c>
      <c r="P1182" t="str">
        <f t="shared" si="37"/>
        <v>"40124"</v>
      </c>
    </row>
    <row r="1183" spans="1:16" x14ac:dyDescent="0.2">
      <c r="A1183" t="s">
        <v>301</v>
      </c>
      <c r="B1183" s="5" t="s">
        <v>25</v>
      </c>
      <c r="C1183" t="s">
        <v>301</v>
      </c>
      <c r="E1183" s="4" t="s">
        <v>301</v>
      </c>
      <c r="F1183">
        <v>40125</v>
      </c>
      <c r="G1183" t="s">
        <v>301</v>
      </c>
      <c r="I1183" t="s">
        <v>298</v>
      </c>
      <c r="J1183" t="s">
        <v>299</v>
      </c>
      <c r="K1183" s="4" t="s">
        <v>304</v>
      </c>
      <c r="L1183" t="str">
        <f t="shared" si="36"/>
        <v>"Dickenson County School Board"</v>
      </c>
      <c r="M1183" t="s">
        <v>302</v>
      </c>
      <c r="N1183" t="s">
        <v>303</v>
      </c>
      <c r="O1183" s="4" t="s">
        <v>300</v>
      </c>
      <c r="P1183" t="str">
        <f t="shared" si="37"/>
        <v>"40125"</v>
      </c>
    </row>
    <row r="1184" spans="1:16" x14ac:dyDescent="0.2">
      <c r="A1184" t="s">
        <v>301</v>
      </c>
      <c r="B1184" s="5" t="s">
        <v>26</v>
      </c>
      <c r="C1184" t="s">
        <v>301</v>
      </c>
      <c r="E1184" s="4" t="s">
        <v>301</v>
      </c>
      <c r="F1184">
        <v>40126</v>
      </c>
      <c r="G1184" t="s">
        <v>301</v>
      </c>
      <c r="I1184" t="s">
        <v>298</v>
      </c>
      <c r="J1184" t="s">
        <v>299</v>
      </c>
      <c r="K1184" s="4" t="s">
        <v>304</v>
      </c>
      <c r="L1184" t="str">
        <f t="shared" si="36"/>
        <v>"Dinwiddie County School Board"</v>
      </c>
      <c r="M1184" t="s">
        <v>302</v>
      </c>
      <c r="N1184" t="s">
        <v>303</v>
      </c>
      <c r="O1184" s="4" t="s">
        <v>300</v>
      </c>
      <c r="P1184" t="str">
        <f t="shared" si="37"/>
        <v>"40126"</v>
      </c>
    </row>
    <row r="1185" spans="1:16" x14ac:dyDescent="0.2">
      <c r="A1185" t="s">
        <v>301</v>
      </c>
      <c r="B1185" s="5" t="s">
        <v>27</v>
      </c>
      <c r="C1185" t="s">
        <v>301</v>
      </c>
      <c r="E1185" s="4" t="s">
        <v>301</v>
      </c>
      <c r="F1185">
        <v>40128</v>
      </c>
      <c r="G1185" t="s">
        <v>301</v>
      </c>
      <c r="I1185" t="s">
        <v>298</v>
      </c>
      <c r="J1185" t="s">
        <v>299</v>
      </c>
      <c r="K1185" s="4" t="s">
        <v>304</v>
      </c>
      <c r="L1185" t="str">
        <f t="shared" si="36"/>
        <v>"Essex County Public Schools"</v>
      </c>
      <c r="M1185" t="s">
        <v>302</v>
      </c>
      <c r="N1185" t="s">
        <v>303</v>
      </c>
      <c r="O1185" s="4" t="s">
        <v>300</v>
      </c>
      <c r="P1185" t="str">
        <f t="shared" si="37"/>
        <v>"40128"</v>
      </c>
    </row>
    <row r="1186" spans="1:16" x14ac:dyDescent="0.2">
      <c r="A1186" t="s">
        <v>301</v>
      </c>
      <c r="B1186" s="5" t="s">
        <v>28</v>
      </c>
      <c r="C1186" t="s">
        <v>301</v>
      </c>
      <c r="E1186" s="4" t="s">
        <v>301</v>
      </c>
      <c r="F1186">
        <v>40129</v>
      </c>
      <c r="G1186" t="s">
        <v>301</v>
      </c>
      <c r="I1186" t="s">
        <v>298</v>
      </c>
      <c r="J1186" t="s">
        <v>299</v>
      </c>
      <c r="K1186" s="4" t="s">
        <v>304</v>
      </c>
      <c r="L1186" t="str">
        <f t="shared" si="36"/>
        <v>"Fairfax County School Board"</v>
      </c>
      <c r="M1186" t="s">
        <v>302</v>
      </c>
      <c r="N1186" t="s">
        <v>303</v>
      </c>
      <c r="O1186" s="4" t="s">
        <v>300</v>
      </c>
      <c r="P1186" t="str">
        <f t="shared" si="37"/>
        <v>"40129"</v>
      </c>
    </row>
    <row r="1187" spans="1:16" x14ac:dyDescent="0.2">
      <c r="A1187" t="s">
        <v>301</v>
      </c>
      <c r="B1187" s="5" t="s">
        <v>29</v>
      </c>
      <c r="C1187" t="s">
        <v>301</v>
      </c>
      <c r="E1187" s="4" t="s">
        <v>301</v>
      </c>
      <c r="F1187">
        <v>40130</v>
      </c>
      <c r="G1187" t="s">
        <v>301</v>
      </c>
      <c r="I1187" t="s">
        <v>298</v>
      </c>
      <c r="J1187" t="s">
        <v>299</v>
      </c>
      <c r="K1187" s="4" t="s">
        <v>304</v>
      </c>
      <c r="L1187" t="str">
        <f t="shared" si="36"/>
        <v>"Fauquier County School Board"</v>
      </c>
      <c r="M1187" t="s">
        <v>302</v>
      </c>
      <c r="N1187" t="s">
        <v>303</v>
      </c>
      <c r="O1187" s="4" t="s">
        <v>300</v>
      </c>
      <c r="P1187" t="str">
        <f t="shared" si="37"/>
        <v>"40130"</v>
      </c>
    </row>
    <row r="1188" spans="1:16" x14ac:dyDescent="0.2">
      <c r="A1188" t="s">
        <v>301</v>
      </c>
      <c r="B1188" s="5" t="s">
        <v>30</v>
      </c>
      <c r="C1188" t="s">
        <v>301</v>
      </c>
      <c r="E1188" s="4" t="s">
        <v>301</v>
      </c>
      <c r="F1188">
        <v>40131</v>
      </c>
      <c r="G1188" t="s">
        <v>301</v>
      </c>
      <c r="I1188" t="s">
        <v>298</v>
      </c>
      <c r="J1188" t="s">
        <v>299</v>
      </c>
      <c r="K1188" s="4" t="s">
        <v>304</v>
      </c>
      <c r="L1188" t="str">
        <f t="shared" si="36"/>
        <v>"Floyd County School Board"</v>
      </c>
      <c r="M1188" t="s">
        <v>302</v>
      </c>
      <c r="N1188" t="s">
        <v>303</v>
      </c>
      <c r="O1188" s="4" t="s">
        <v>300</v>
      </c>
      <c r="P1188" t="str">
        <f t="shared" si="37"/>
        <v>"40131"</v>
      </c>
    </row>
    <row r="1189" spans="1:16" x14ac:dyDescent="0.2">
      <c r="A1189" t="s">
        <v>301</v>
      </c>
      <c r="B1189" s="5" t="s">
        <v>31</v>
      </c>
      <c r="C1189" t="s">
        <v>301</v>
      </c>
      <c r="E1189" s="4" t="s">
        <v>301</v>
      </c>
      <c r="F1189">
        <v>40132</v>
      </c>
      <c r="G1189" t="s">
        <v>301</v>
      </c>
      <c r="I1189" t="s">
        <v>298</v>
      </c>
      <c r="J1189" t="s">
        <v>299</v>
      </c>
      <c r="K1189" s="4" t="s">
        <v>304</v>
      </c>
      <c r="L1189" t="str">
        <f t="shared" si="36"/>
        <v>"Fluvanna County Public Schools"</v>
      </c>
      <c r="M1189" t="s">
        <v>302</v>
      </c>
      <c r="N1189" t="s">
        <v>303</v>
      </c>
      <c r="O1189" s="4" t="s">
        <v>300</v>
      </c>
      <c r="P1189" t="str">
        <f t="shared" si="37"/>
        <v>"40132"</v>
      </c>
    </row>
    <row r="1190" spans="1:16" x14ac:dyDescent="0.2">
      <c r="A1190" t="s">
        <v>301</v>
      </c>
      <c r="B1190" s="5" t="s">
        <v>64</v>
      </c>
      <c r="C1190" t="s">
        <v>301</v>
      </c>
      <c r="E1190" s="4" t="s">
        <v>301</v>
      </c>
      <c r="F1190">
        <v>40133</v>
      </c>
      <c r="G1190" t="s">
        <v>301</v>
      </c>
      <c r="I1190" t="s">
        <v>298</v>
      </c>
      <c r="J1190" t="s">
        <v>299</v>
      </c>
      <c r="K1190" s="4" t="s">
        <v>304</v>
      </c>
      <c r="L1190" t="str">
        <f t="shared" si="36"/>
        <v>"Franklin County Public Schools"</v>
      </c>
      <c r="M1190" t="s">
        <v>302</v>
      </c>
      <c r="N1190" t="s">
        <v>303</v>
      </c>
      <c r="O1190" s="4" t="s">
        <v>300</v>
      </c>
      <c r="P1190" t="str">
        <f t="shared" si="37"/>
        <v>"40133"</v>
      </c>
    </row>
    <row r="1191" spans="1:16" x14ac:dyDescent="0.2">
      <c r="A1191" t="s">
        <v>301</v>
      </c>
      <c r="B1191" s="5" t="s">
        <v>65</v>
      </c>
      <c r="C1191" t="s">
        <v>301</v>
      </c>
      <c r="E1191" s="4" t="s">
        <v>301</v>
      </c>
      <c r="F1191">
        <v>40134</v>
      </c>
      <c r="G1191" t="s">
        <v>301</v>
      </c>
      <c r="I1191" t="s">
        <v>298</v>
      </c>
      <c r="J1191" t="s">
        <v>299</v>
      </c>
      <c r="K1191" s="4" t="s">
        <v>304</v>
      </c>
      <c r="L1191" t="str">
        <f t="shared" si="36"/>
        <v>"Frederick County School Board"</v>
      </c>
      <c r="M1191" t="s">
        <v>302</v>
      </c>
      <c r="N1191" t="s">
        <v>303</v>
      </c>
      <c r="O1191" s="4" t="s">
        <v>300</v>
      </c>
      <c r="P1191" t="str">
        <f t="shared" si="37"/>
        <v>"40134"</v>
      </c>
    </row>
    <row r="1192" spans="1:16" x14ac:dyDescent="0.2">
      <c r="A1192" t="s">
        <v>301</v>
      </c>
      <c r="B1192" s="5" t="s">
        <v>66</v>
      </c>
      <c r="C1192" t="s">
        <v>301</v>
      </c>
      <c r="E1192" s="4" t="s">
        <v>301</v>
      </c>
      <c r="F1192">
        <v>40135</v>
      </c>
      <c r="G1192" t="s">
        <v>301</v>
      </c>
      <c r="I1192" t="s">
        <v>298</v>
      </c>
      <c r="J1192" t="s">
        <v>299</v>
      </c>
      <c r="K1192" s="4" t="s">
        <v>304</v>
      </c>
      <c r="L1192" t="str">
        <f t="shared" si="36"/>
        <v>"Giles County Schools"</v>
      </c>
      <c r="M1192" t="s">
        <v>302</v>
      </c>
      <c r="N1192" t="s">
        <v>303</v>
      </c>
      <c r="O1192" s="4" t="s">
        <v>300</v>
      </c>
      <c r="P1192" t="str">
        <f t="shared" si="37"/>
        <v>"40135"</v>
      </c>
    </row>
    <row r="1193" spans="1:16" x14ac:dyDescent="0.2">
      <c r="A1193" t="s">
        <v>301</v>
      </c>
      <c r="B1193" s="5" t="s">
        <v>67</v>
      </c>
      <c r="C1193" t="s">
        <v>301</v>
      </c>
      <c r="E1193" s="4" t="s">
        <v>301</v>
      </c>
      <c r="F1193">
        <v>40136</v>
      </c>
      <c r="G1193" t="s">
        <v>301</v>
      </c>
      <c r="I1193" t="s">
        <v>298</v>
      </c>
      <c r="J1193" t="s">
        <v>299</v>
      </c>
      <c r="K1193" s="4" t="s">
        <v>304</v>
      </c>
      <c r="L1193" t="str">
        <f t="shared" si="36"/>
        <v>"Gloucester County School Board"</v>
      </c>
      <c r="M1193" t="s">
        <v>302</v>
      </c>
      <c r="N1193" t="s">
        <v>303</v>
      </c>
      <c r="O1193" s="4" t="s">
        <v>300</v>
      </c>
      <c r="P1193" t="str">
        <f t="shared" si="37"/>
        <v>"40136"</v>
      </c>
    </row>
    <row r="1194" spans="1:16" x14ac:dyDescent="0.2">
      <c r="A1194" t="s">
        <v>301</v>
      </c>
      <c r="B1194" s="5" t="s">
        <v>68</v>
      </c>
      <c r="C1194" t="s">
        <v>301</v>
      </c>
      <c r="E1194" s="4" t="s">
        <v>301</v>
      </c>
      <c r="F1194">
        <v>40137</v>
      </c>
      <c r="G1194" t="s">
        <v>301</v>
      </c>
      <c r="I1194" t="s">
        <v>298</v>
      </c>
      <c r="J1194" t="s">
        <v>299</v>
      </c>
      <c r="K1194" s="4" t="s">
        <v>304</v>
      </c>
      <c r="L1194" t="str">
        <f t="shared" si="36"/>
        <v>"Goochland County School Board"</v>
      </c>
      <c r="M1194" t="s">
        <v>302</v>
      </c>
      <c r="N1194" t="s">
        <v>303</v>
      </c>
      <c r="O1194" s="4" t="s">
        <v>300</v>
      </c>
      <c r="P1194" t="str">
        <f t="shared" si="37"/>
        <v>"40137"</v>
      </c>
    </row>
    <row r="1195" spans="1:16" x14ac:dyDescent="0.2">
      <c r="A1195" t="s">
        <v>301</v>
      </c>
      <c r="B1195" s="5" t="s">
        <v>69</v>
      </c>
      <c r="C1195" t="s">
        <v>301</v>
      </c>
      <c r="E1195" s="4" t="s">
        <v>301</v>
      </c>
      <c r="F1195">
        <v>40138</v>
      </c>
      <c r="G1195" t="s">
        <v>301</v>
      </c>
      <c r="I1195" t="s">
        <v>298</v>
      </c>
      <c r="J1195" t="s">
        <v>299</v>
      </c>
      <c r="K1195" s="4" t="s">
        <v>304</v>
      </c>
      <c r="L1195" t="str">
        <f t="shared" si="36"/>
        <v>"Grayson County School Board"</v>
      </c>
      <c r="M1195" t="s">
        <v>302</v>
      </c>
      <c r="N1195" t="s">
        <v>303</v>
      </c>
      <c r="O1195" s="4" t="s">
        <v>300</v>
      </c>
      <c r="P1195" t="str">
        <f t="shared" si="37"/>
        <v>"40138"</v>
      </c>
    </row>
    <row r="1196" spans="1:16" x14ac:dyDescent="0.2">
      <c r="A1196" t="s">
        <v>301</v>
      </c>
      <c r="B1196" s="5" t="s">
        <v>70</v>
      </c>
      <c r="C1196" t="s">
        <v>301</v>
      </c>
      <c r="E1196" s="4" t="s">
        <v>301</v>
      </c>
      <c r="F1196">
        <v>40139</v>
      </c>
      <c r="G1196" t="s">
        <v>301</v>
      </c>
      <c r="I1196" t="s">
        <v>298</v>
      </c>
      <c r="J1196" t="s">
        <v>299</v>
      </c>
      <c r="K1196" s="4" t="s">
        <v>304</v>
      </c>
      <c r="L1196" t="str">
        <f t="shared" si="36"/>
        <v>"Greene County Public Schools"</v>
      </c>
      <c r="M1196" t="s">
        <v>302</v>
      </c>
      <c r="N1196" t="s">
        <v>303</v>
      </c>
      <c r="O1196" s="4" t="s">
        <v>300</v>
      </c>
      <c r="P1196" t="str">
        <f t="shared" si="37"/>
        <v>"40139"</v>
      </c>
    </row>
    <row r="1197" spans="1:16" x14ac:dyDescent="0.2">
      <c r="A1197" t="s">
        <v>301</v>
      </c>
      <c r="B1197" s="5" t="s">
        <v>71</v>
      </c>
      <c r="C1197" t="s">
        <v>301</v>
      </c>
      <c r="E1197" s="4" t="s">
        <v>301</v>
      </c>
      <c r="F1197">
        <v>40140</v>
      </c>
      <c r="G1197" t="s">
        <v>301</v>
      </c>
      <c r="I1197" t="s">
        <v>298</v>
      </c>
      <c r="J1197" t="s">
        <v>299</v>
      </c>
      <c r="K1197" s="4" t="s">
        <v>304</v>
      </c>
      <c r="L1197" t="str">
        <f t="shared" si="36"/>
        <v>"Greensville County School Board"</v>
      </c>
      <c r="M1197" t="s">
        <v>302</v>
      </c>
      <c r="N1197" t="s">
        <v>303</v>
      </c>
      <c r="O1197" s="4" t="s">
        <v>300</v>
      </c>
      <c r="P1197" t="str">
        <f t="shared" si="37"/>
        <v>"40140"</v>
      </c>
    </row>
    <row r="1198" spans="1:16" x14ac:dyDescent="0.2">
      <c r="A1198" t="s">
        <v>301</v>
      </c>
      <c r="B1198" s="5" t="s">
        <v>72</v>
      </c>
      <c r="C1198" t="s">
        <v>301</v>
      </c>
      <c r="E1198" s="4" t="s">
        <v>301</v>
      </c>
      <c r="F1198">
        <v>40141</v>
      </c>
      <c r="G1198" t="s">
        <v>301</v>
      </c>
      <c r="I1198" t="s">
        <v>298</v>
      </c>
      <c r="J1198" t="s">
        <v>299</v>
      </c>
      <c r="K1198" s="4" t="s">
        <v>304</v>
      </c>
      <c r="L1198" t="str">
        <f t="shared" si="36"/>
        <v>"Halifax County School Board"</v>
      </c>
      <c r="M1198" t="s">
        <v>302</v>
      </c>
      <c r="N1198" t="s">
        <v>303</v>
      </c>
      <c r="O1198" s="4" t="s">
        <v>300</v>
      </c>
      <c r="P1198" t="str">
        <f t="shared" si="37"/>
        <v>"40141"</v>
      </c>
    </row>
    <row r="1199" spans="1:16" x14ac:dyDescent="0.2">
      <c r="A1199" t="s">
        <v>301</v>
      </c>
      <c r="B1199" s="5" t="s">
        <v>73</v>
      </c>
      <c r="C1199" t="s">
        <v>301</v>
      </c>
      <c r="E1199" s="4" t="s">
        <v>301</v>
      </c>
      <c r="F1199">
        <v>40142</v>
      </c>
      <c r="G1199" t="s">
        <v>301</v>
      </c>
      <c r="I1199" t="s">
        <v>298</v>
      </c>
      <c r="J1199" t="s">
        <v>299</v>
      </c>
      <c r="K1199" s="4" t="s">
        <v>304</v>
      </c>
      <c r="L1199" t="str">
        <f t="shared" si="36"/>
        <v>"Hanover County School Board"</v>
      </c>
      <c r="M1199" t="s">
        <v>302</v>
      </c>
      <c r="N1199" t="s">
        <v>303</v>
      </c>
      <c r="O1199" s="4" t="s">
        <v>300</v>
      </c>
      <c r="P1199" t="str">
        <f t="shared" si="37"/>
        <v>"40142"</v>
      </c>
    </row>
    <row r="1200" spans="1:16" x14ac:dyDescent="0.2">
      <c r="A1200" t="s">
        <v>301</v>
      </c>
      <c r="B1200" s="5" t="s">
        <v>74</v>
      </c>
      <c r="C1200" t="s">
        <v>301</v>
      </c>
      <c r="E1200" s="4" t="s">
        <v>301</v>
      </c>
      <c r="F1200">
        <v>40143</v>
      </c>
      <c r="G1200" t="s">
        <v>301</v>
      </c>
      <c r="I1200" t="s">
        <v>298</v>
      </c>
      <c r="J1200" t="s">
        <v>299</v>
      </c>
      <c r="K1200" s="4" t="s">
        <v>304</v>
      </c>
      <c r="L1200" t="str">
        <f t="shared" si="36"/>
        <v>"Henrico County School Board"</v>
      </c>
      <c r="M1200" t="s">
        <v>302</v>
      </c>
      <c r="N1200" t="s">
        <v>303</v>
      </c>
      <c r="O1200" s="4" t="s">
        <v>300</v>
      </c>
      <c r="P1200" t="str">
        <f t="shared" si="37"/>
        <v>"40143"</v>
      </c>
    </row>
    <row r="1201" spans="1:16" x14ac:dyDescent="0.2">
      <c r="A1201" t="s">
        <v>301</v>
      </c>
      <c r="B1201" s="5" t="s">
        <v>75</v>
      </c>
      <c r="C1201" t="s">
        <v>301</v>
      </c>
      <c r="E1201" s="4" t="s">
        <v>301</v>
      </c>
      <c r="F1201">
        <v>40144</v>
      </c>
      <c r="G1201" t="s">
        <v>301</v>
      </c>
      <c r="I1201" t="s">
        <v>298</v>
      </c>
      <c r="J1201" t="s">
        <v>299</v>
      </c>
      <c r="K1201" s="4" t="s">
        <v>304</v>
      </c>
      <c r="L1201" t="str">
        <f t="shared" si="36"/>
        <v>"Henry County Public Schools"</v>
      </c>
      <c r="M1201" t="s">
        <v>302</v>
      </c>
      <c r="N1201" t="s">
        <v>303</v>
      </c>
      <c r="O1201" s="4" t="s">
        <v>300</v>
      </c>
      <c r="P1201" t="str">
        <f t="shared" si="37"/>
        <v>"40144"</v>
      </c>
    </row>
    <row r="1202" spans="1:16" x14ac:dyDescent="0.2">
      <c r="A1202" t="s">
        <v>301</v>
      </c>
      <c r="B1202" s="5" t="s">
        <v>76</v>
      </c>
      <c r="C1202" t="s">
        <v>301</v>
      </c>
      <c r="E1202" s="4" t="s">
        <v>301</v>
      </c>
      <c r="F1202">
        <v>40145</v>
      </c>
      <c r="G1202" t="s">
        <v>301</v>
      </c>
      <c r="I1202" t="s">
        <v>298</v>
      </c>
      <c r="J1202" t="s">
        <v>299</v>
      </c>
      <c r="K1202" s="4" t="s">
        <v>304</v>
      </c>
      <c r="L1202" t="str">
        <f t="shared" si="36"/>
        <v>"Highland County Public Schools"</v>
      </c>
      <c r="M1202" t="s">
        <v>302</v>
      </c>
      <c r="N1202" t="s">
        <v>303</v>
      </c>
      <c r="O1202" s="4" t="s">
        <v>300</v>
      </c>
      <c r="P1202" t="str">
        <f t="shared" si="37"/>
        <v>"40145"</v>
      </c>
    </row>
    <row r="1203" spans="1:16" x14ac:dyDescent="0.2">
      <c r="A1203" t="s">
        <v>301</v>
      </c>
      <c r="B1203" s="5" t="s">
        <v>77</v>
      </c>
      <c r="C1203" t="s">
        <v>301</v>
      </c>
      <c r="E1203" s="4" t="s">
        <v>301</v>
      </c>
      <c r="F1203">
        <v>40146</v>
      </c>
      <c r="G1203" t="s">
        <v>301</v>
      </c>
      <c r="I1203" t="s">
        <v>298</v>
      </c>
      <c r="J1203" t="s">
        <v>299</v>
      </c>
      <c r="K1203" s="4" t="s">
        <v>304</v>
      </c>
      <c r="L1203" t="str">
        <f t="shared" si="36"/>
        <v>"Isle of Wight County Schools"</v>
      </c>
      <c r="M1203" t="s">
        <v>302</v>
      </c>
      <c r="N1203" t="s">
        <v>303</v>
      </c>
      <c r="O1203" s="4" t="s">
        <v>300</v>
      </c>
      <c r="P1203" t="str">
        <f t="shared" si="37"/>
        <v>"40146"</v>
      </c>
    </row>
    <row r="1204" spans="1:16" x14ac:dyDescent="0.2">
      <c r="A1204" t="s">
        <v>301</v>
      </c>
      <c r="B1204" s="5" t="s">
        <v>78</v>
      </c>
      <c r="C1204" t="s">
        <v>301</v>
      </c>
      <c r="E1204" s="4" t="s">
        <v>301</v>
      </c>
      <c r="F1204">
        <v>40148</v>
      </c>
      <c r="G1204" t="s">
        <v>301</v>
      </c>
      <c r="I1204" t="s">
        <v>298</v>
      </c>
      <c r="J1204" t="s">
        <v>299</v>
      </c>
      <c r="K1204" s="4" t="s">
        <v>304</v>
      </c>
      <c r="L1204" t="str">
        <f t="shared" si="36"/>
        <v>"King George County School Board"</v>
      </c>
      <c r="M1204" t="s">
        <v>302</v>
      </c>
      <c r="N1204" t="s">
        <v>303</v>
      </c>
      <c r="O1204" s="4" t="s">
        <v>300</v>
      </c>
      <c r="P1204" t="str">
        <f t="shared" si="37"/>
        <v>"40148"</v>
      </c>
    </row>
    <row r="1205" spans="1:16" x14ac:dyDescent="0.2">
      <c r="A1205" t="s">
        <v>301</v>
      </c>
      <c r="B1205" s="5" t="s">
        <v>79</v>
      </c>
      <c r="C1205" t="s">
        <v>301</v>
      </c>
      <c r="E1205" s="4" t="s">
        <v>301</v>
      </c>
      <c r="F1205">
        <v>40149</v>
      </c>
      <c r="G1205" t="s">
        <v>301</v>
      </c>
      <c r="I1205" t="s">
        <v>298</v>
      </c>
      <c r="J1205" t="s">
        <v>299</v>
      </c>
      <c r="K1205" s="4" t="s">
        <v>304</v>
      </c>
      <c r="L1205" t="str">
        <f t="shared" si="36"/>
        <v>"King &amp; Queen County School Board"</v>
      </c>
      <c r="M1205" t="s">
        <v>302</v>
      </c>
      <c r="N1205" t="s">
        <v>303</v>
      </c>
      <c r="O1205" s="4" t="s">
        <v>300</v>
      </c>
      <c r="P1205" t="str">
        <f t="shared" si="37"/>
        <v>"40149"</v>
      </c>
    </row>
    <row r="1206" spans="1:16" x14ac:dyDescent="0.2">
      <c r="A1206" t="s">
        <v>301</v>
      </c>
      <c r="B1206" s="5" t="s">
        <v>80</v>
      </c>
      <c r="C1206" t="s">
        <v>301</v>
      </c>
      <c r="E1206" s="4" t="s">
        <v>301</v>
      </c>
      <c r="F1206">
        <v>40150</v>
      </c>
      <c r="G1206" t="s">
        <v>301</v>
      </c>
      <c r="I1206" t="s">
        <v>298</v>
      </c>
      <c r="J1206" t="s">
        <v>299</v>
      </c>
      <c r="K1206" s="4" t="s">
        <v>304</v>
      </c>
      <c r="L1206" t="str">
        <f t="shared" si="36"/>
        <v>"King William County School Board"</v>
      </c>
      <c r="M1206" t="s">
        <v>302</v>
      </c>
      <c r="N1206" t="s">
        <v>303</v>
      </c>
      <c r="O1206" s="4" t="s">
        <v>300</v>
      </c>
      <c r="P1206" t="str">
        <f t="shared" si="37"/>
        <v>"40150"</v>
      </c>
    </row>
    <row r="1207" spans="1:16" x14ac:dyDescent="0.2">
      <c r="A1207" t="s">
        <v>301</v>
      </c>
      <c r="B1207" s="5" t="s">
        <v>81</v>
      </c>
      <c r="C1207" t="s">
        <v>301</v>
      </c>
      <c r="E1207" s="4" t="s">
        <v>301</v>
      </c>
      <c r="F1207">
        <v>40151</v>
      </c>
      <c r="G1207" t="s">
        <v>301</v>
      </c>
      <c r="I1207" t="s">
        <v>298</v>
      </c>
      <c r="J1207" t="s">
        <v>299</v>
      </c>
      <c r="K1207" s="4" t="s">
        <v>304</v>
      </c>
      <c r="L1207" t="str">
        <f t="shared" si="36"/>
        <v>"Lancaster County Public Schools"</v>
      </c>
      <c r="M1207" t="s">
        <v>302</v>
      </c>
      <c r="N1207" t="s">
        <v>303</v>
      </c>
      <c r="O1207" s="4" t="s">
        <v>300</v>
      </c>
      <c r="P1207" t="str">
        <f t="shared" si="37"/>
        <v>"40151"</v>
      </c>
    </row>
    <row r="1208" spans="1:16" x14ac:dyDescent="0.2">
      <c r="A1208" t="s">
        <v>301</v>
      </c>
      <c r="B1208" s="5" t="s">
        <v>82</v>
      </c>
      <c r="C1208" t="s">
        <v>301</v>
      </c>
      <c r="E1208" s="4" t="s">
        <v>301</v>
      </c>
      <c r="F1208">
        <v>40152</v>
      </c>
      <c r="G1208" t="s">
        <v>301</v>
      </c>
      <c r="I1208" t="s">
        <v>298</v>
      </c>
      <c r="J1208" t="s">
        <v>299</v>
      </c>
      <c r="K1208" s="4" t="s">
        <v>304</v>
      </c>
      <c r="L1208" t="str">
        <f t="shared" si="36"/>
        <v>"Lee County School Board"</v>
      </c>
      <c r="M1208" t="s">
        <v>302</v>
      </c>
      <c r="N1208" t="s">
        <v>303</v>
      </c>
      <c r="O1208" s="4" t="s">
        <v>300</v>
      </c>
      <c r="P1208" t="str">
        <f t="shared" si="37"/>
        <v>"40152"</v>
      </c>
    </row>
    <row r="1209" spans="1:16" x14ac:dyDescent="0.2">
      <c r="A1209" t="s">
        <v>301</v>
      </c>
      <c r="B1209" s="5" t="s">
        <v>83</v>
      </c>
      <c r="C1209" t="s">
        <v>301</v>
      </c>
      <c r="E1209" s="4" t="s">
        <v>301</v>
      </c>
      <c r="F1209">
        <v>40153</v>
      </c>
      <c r="G1209" t="s">
        <v>301</v>
      </c>
      <c r="I1209" t="s">
        <v>298</v>
      </c>
      <c r="J1209" t="s">
        <v>299</v>
      </c>
      <c r="K1209" s="4" t="s">
        <v>304</v>
      </c>
      <c r="L1209" t="str">
        <f t="shared" si="36"/>
        <v>"Loudoun County School Board"</v>
      </c>
      <c r="M1209" t="s">
        <v>302</v>
      </c>
      <c r="N1209" t="s">
        <v>303</v>
      </c>
      <c r="O1209" s="4" t="s">
        <v>300</v>
      </c>
      <c r="P1209" t="str">
        <f t="shared" si="37"/>
        <v>"40153"</v>
      </c>
    </row>
    <row r="1210" spans="1:16" x14ac:dyDescent="0.2">
      <c r="A1210" t="s">
        <v>301</v>
      </c>
      <c r="B1210" s="5" t="s">
        <v>84</v>
      </c>
      <c r="C1210" t="s">
        <v>301</v>
      </c>
      <c r="E1210" s="4" t="s">
        <v>301</v>
      </c>
      <c r="F1210">
        <v>40154</v>
      </c>
      <c r="G1210" t="s">
        <v>301</v>
      </c>
      <c r="I1210" t="s">
        <v>298</v>
      </c>
      <c r="J1210" t="s">
        <v>299</v>
      </c>
      <c r="K1210" s="4" t="s">
        <v>304</v>
      </c>
      <c r="L1210" t="str">
        <f t="shared" si="36"/>
        <v>"Louisa County Public Schools"</v>
      </c>
      <c r="M1210" t="s">
        <v>302</v>
      </c>
      <c r="N1210" t="s">
        <v>303</v>
      </c>
      <c r="O1210" s="4" t="s">
        <v>300</v>
      </c>
      <c r="P1210" t="str">
        <f t="shared" si="37"/>
        <v>"40154"</v>
      </c>
    </row>
    <row r="1211" spans="1:16" x14ac:dyDescent="0.2">
      <c r="A1211" t="s">
        <v>301</v>
      </c>
      <c r="B1211" s="5" t="s">
        <v>85</v>
      </c>
      <c r="C1211" t="s">
        <v>301</v>
      </c>
      <c r="E1211" s="4" t="s">
        <v>301</v>
      </c>
      <c r="F1211">
        <v>40155</v>
      </c>
      <c r="G1211" t="s">
        <v>301</v>
      </c>
      <c r="I1211" t="s">
        <v>298</v>
      </c>
      <c r="J1211" t="s">
        <v>299</v>
      </c>
      <c r="K1211" s="4" t="s">
        <v>304</v>
      </c>
      <c r="L1211" t="str">
        <f t="shared" si="36"/>
        <v>"Lunenburg County School Board"</v>
      </c>
      <c r="M1211" t="s">
        <v>302</v>
      </c>
      <c r="N1211" t="s">
        <v>303</v>
      </c>
      <c r="O1211" s="4" t="s">
        <v>300</v>
      </c>
      <c r="P1211" t="str">
        <f t="shared" si="37"/>
        <v>"40155"</v>
      </c>
    </row>
    <row r="1212" spans="1:16" x14ac:dyDescent="0.2">
      <c r="A1212" t="s">
        <v>301</v>
      </c>
      <c r="B1212" s="5" t="s">
        <v>86</v>
      </c>
      <c r="C1212" t="s">
        <v>301</v>
      </c>
      <c r="E1212" s="4" t="s">
        <v>301</v>
      </c>
      <c r="F1212">
        <v>40156</v>
      </c>
      <c r="G1212" t="s">
        <v>301</v>
      </c>
      <c r="I1212" t="s">
        <v>298</v>
      </c>
      <c r="J1212" t="s">
        <v>299</v>
      </c>
      <c r="K1212" s="4" t="s">
        <v>304</v>
      </c>
      <c r="L1212" t="str">
        <f t="shared" si="36"/>
        <v>"Madison County School Board"</v>
      </c>
      <c r="M1212" t="s">
        <v>302</v>
      </c>
      <c r="N1212" t="s">
        <v>303</v>
      </c>
      <c r="O1212" s="4" t="s">
        <v>300</v>
      </c>
      <c r="P1212" t="str">
        <f t="shared" si="37"/>
        <v>"40156"</v>
      </c>
    </row>
    <row r="1213" spans="1:16" x14ac:dyDescent="0.2">
      <c r="A1213" t="s">
        <v>301</v>
      </c>
      <c r="B1213" s="5" t="s">
        <v>87</v>
      </c>
      <c r="C1213" t="s">
        <v>301</v>
      </c>
      <c r="E1213" s="4" t="s">
        <v>301</v>
      </c>
      <c r="F1213">
        <v>40157</v>
      </c>
      <c r="G1213" t="s">
        <v>301</v>
      </c>
      <c r="I1213" t="s">
        <v>298</v>
      </c>
      <c r="J1213" t="s">
        <v>299</v>
      </c>
      <c r="K1213" s="4" t="s">
        <v>304</v>
      </c>
      <c r="L1213" t="str">
        <f t="shared" si="36"/>
        <v>"Mathews County School Board"</v>
      </c>
      <c r="M1213" t="s">
        <v>302</v>
      </c>
      <c r="N1213" t="s">
        <v>303</v>
      </c>
      <c r="O1213" s="4" t="s">
        <v>300</v>
      </c>
      <c r="P1213" t="str">
        <f t="shared" si="37"/>
        <v>"40157"</v>
      </c>
    </row>
    <row r="1214" spans="1:16" x14ac:dyDescent="0.2">
      <c r="A1214" t="s">
        <v>301</v>
      </c>
      <c r="B1214" s="5" t="s">
        <v>88</v>
      </c>
      <c r="C1214" t="s">
        <v>301</v>
      </c>
      <c r="E1214" s="4" t="s">
        <v>301</v>
      </c>
      <c r="F1214">
        <v>40158</v>
      </c>
      <c r="G1214" t="s">
        <v>301</v>
      </c>
      <c r="I1214" t="s">
        <v>298</v>
      </c>
      <c r="J1214" t="s">
        <v>299</v>
      </c>
      <c r="K1214" s="4" t="s">
        <v>304</v>
      </c>
      <c r="L1214" t="str">
        <f t="shared" si="36"/>
        <v>"Mecklenburg County School Board"</v>
      </c>
      <c r="M1214" t="s">
        <v>302</v>
      </c>
      <c r="N1214" t="s">
        <v>303</v>
      </c>
      <c r="O1214" s="4" t="s">
        <v>300</v>
      </c>
      <c r="P1214" t="str">
        <f t="shared" si="37"/>
        <v>"40158"</v>
      </c>
    </row>
    <row r="1215" spans="1:16" x14ac:dyDescent="0.2">
      <c r="A1215" t="s">
        <v>301</v>
      </c>
      <c r="B1215" s="5" t="s">
        <v>89</v>
      </c>
      <c r="C1215" t="s">
        <v>301</v>
      </c>
      <c r="E1215" s="4" t="s">
        <v>301</v>
      </c>
      <c r="F1215">
        <v>40159</v>
      </c>
      <c r="G1215" t="s">
        <v>301</v>
      </c>
      <c r="I1215" t="s">
        <v>298</v>
      </c>
      <c r="J1215" t="s">
        <v>299</v>
      </c>
      <c r="K1215" s="4" t="s">
        <v>304</v>
      </c>
      <c r="L1215" t="str">
        <f t="shared" si="36"/>
        <v>"Middlesex County School Board"</v>
      </c>
      <c r="M1215" t="s">
        <v>302</v>
      </c>
      <c r="N1215" t="s">
        <v>303</v>
      </c>
      <c r="O1215" s="4" t="s">
        <v>300</v>
      </c>
      <c r="P1215" t="str">
        <f t="shared" si="37"/>
        <v>"40159"</v>
      </c>
    </row>
    <row r="1216" spans="1:16" x14ac:dyDescent="0.2">
      <c r="A1216" t="s">
        <v>301</v>
      </c>
      <c r="B1216" s="5" t="s">
        <v>90</v>
      </c>
      <c r="C1216" t="s">
        <v>301</v>
      </c>
      <c r="E1216" s="4" t="s">
        <v>301</v>
      </c>
      <c r="F1216">
        <v>40160</v>
      </c>
      <c r="G1216" t="s">
        <v>301</v>
      </c>
      <c r="I1216" t="s">
        <v>298</v>
      </c>
      <c r="J1216" t="s">
        <v>299</v>
      </c>
      <c r="K1216" s="4" t="s">
        <v>304</v>
      </c>
      <c r="L1216" t="str">
        <f t="shared" si="36"/>
        <v>"Montgomery County School Board"</v>
      </c>
      <c r="M1216" t="s">
        <v>302</v>
      </c>
      <c r="N1216" t="s">
        <v>303</v>
      </c>
      <c r="O1216" s="4" t="s">
        <v>300</v>
      </c>
      <c r="P1216" t="str">
        <f t="shared" si="37"/>
        <v>"40160"</v>
      </c>
    </row>
    <row r="1217" spans="1:16" x14ac:dyDescent="0.2">
      <c r="A1217" t="s">
        <v>301</v>
      </c>
      <c r="B1217" s="5" t="s">
        <v>91</v>
      </c>
      <c r="C1217" t="s">
        <v>301</v>
      </c>
      <c r="E1217" s="4" t="s">
        <v>301</v>
      </c>
      <c r="F1217">
        <v>40162</v>
      </c>
      <c r="G1217" t="s">
        <v>301</v>
      </c>
      <c r="I1217" t="s">
        <v>298</v>
      </c>
      <c r="J1217" t="s">
        <v>299</v>
      </c>
      <c r="K1217" s="4" t="s">
        <v>304</v>
      </c>
      <c r="L1217" t="str">
        <f t="shared" si="36"/>
        <v>"Nelson County Public Schools"</v>
      </c>
      <c r="M1217" t="s">
        <v>302</v>
      </c>
      <c r="N1217" t="s">
        <v>303</v>
      </c>
      <c r="O1217" s="4" t="s">
        <v>300</v>
      </c>
      <c r="P1217" t="str">
        <f t="shared" si="37"/>
        <v>"40162"</v>
      </c>
    </row>
    <row r="1218" spans="1:16" x14ac:dyDescent="0.2">
      <c r="A1218" t="s">
        <v>301</v>
      </c>
      <c r="B1218" s="5" t="s">
        <v>92</v>
      </c>
      <c r="C1218" t="s">
        <v>301</v>
      </c>
      <c r="E1218" s="4" t="s">
        <v>301</v>
      </c>
      <c r="F1218">
        <v>40163</v>
      </c>
      <c r="G1218" t="s">
        <v>301</v>
      </c>
      <c r="I1218" t="s">
        <v>298</v>
      </c>
      <c r="J1218" t="s">
        <v>299</v>
      </c>
      <c r="K1218" s="4" t="s">
        <v>304</v>
      </c>
      <c r="L1218" t="str">
        <f t="shared" ref="L1218:L1281" si="38">_xlfn.TEXTJOIN("",TRUE,A1218:C1218)</f>
        <v>"New Kent County School Board"</v>
      </c>
      <c r="M1218" t="s">
        <v>302</v>
      </c>
      <c r="N1218" t="s">
        <v>303</v>
      </c>
      <c r="O1218" s="4" t="s">
        <v>300</v>
      </c>
      <c r="P1218" t="str">
        <f t="shared" ref="P1218:P1281" si="39">_xlfn.TEXTJOIN("",TRUE,E1218:G1218)</f>
        <v>"40163"</v>
      </c>
    </row>
    <row r="1219" spans="1:16" x14ac:dyDescent="0.2">
      <c r="A1219" t="s">
        <v>301</v>
      </c>
      <c r="B1219" s="5" t="s">
        <v>93</v>
      </c>
      <c r="C1219" t="s">
        <v>301</v>
      </c>
      <c r="E1219" s="4" t="s">
        <v>301</v>
      </c>
      <c r="F1219">
        <v>40165</v>
      </c>
      <c r="G1219" t="s">
        <v>301</v>
      </c>
      <c r="I1219" t="s">
        <v>298</v>
      </c>
      <c r="J1219" t="s">
        <v>299</v>
      </c>
      <c r="K1219" s="4" t="s">
        <v>304</v>
      </c>
      <c r="L1219" t="str">
        <f t="shared" si="38"/>
        <v>"Northampton County Schools"</v>
      </c>
      <c r="M1219" t="s">
        <v>302</v>
      </c>
      <c r="N1219" t="s">
        <v>303</v>
      </c>
      <c r="O1219" s="4" t="s">
        <v>300</v>
      </c>
      <c r="P1219" t="str">
        <f t="shared" si="39"/>
        <v>"40165"</v>
      </c>
    </row>
    <row r="1220" spans="1:16" x14ac:dyDescent="0.2">
      <c r="A1220" t="s">
        <v>301</v>
      </c>
      <c r="B1220" s="5" t="s">
        <v>94</v>
      </c>
      <c r="C1220" t="s">
        <v>301</v>
      </c>
      <c r="E1220" s="4" t="s">
        <v>301</v>
      </c>
      <c r="F1220">
        <v>40166</v>
      </c>
      <c r="G1220" t="s">
        <v>301</v>
      </c>
      <c r="I1220" t="s">
        <v>298</v>
      </c>
      <c r="J1220" t="s">
        <v>299</v>
      </c>
      <c r="K1220" s="4" t="s">
        <v>304</v>
      </c>
      <c r="L1220" t="str">
        <f t="shared" si="38"/>
        <v>"Northumberland County School Board"</v>
      </c>
      <c r="M1220" t="s">
        <v>302</v>
      </c>
      <c r="N1220" t="s">
        <v>303</v>
      </c>
      <c r="O1220" s="4" t="s">
        <v>300</v>
      </c>
      <c r="P1220" t="str">
        <f t="shared" si="39"/>
        <v>"40166"</v>
      </c>
    </row>
    <row r="1221" spans="1:16" x14ac:dyDescent="0.2">
      <c r="A1221" t="s">
        <v>301</v>
      </c>
      <c r="B1221" s="5" t="s">
        <v>95</v>
      </c>
      <c r="C1221" t="s">
        <v>301</v>
      </c>
      <c r="E1221" s="4" t="s">
        <v>301</v>
      </c>
      <c r="F1221">
        <v>40167</v>
      </c>
      <c r="G1221" t="s">
        <v>301</v>
      </c>
      <c r="I1221" t="s">
        <v>298</v>
      </c>
      <c r="J1221" t="s">
        <v>299</v>
      </c>
      <c r="K1221" s="4" t="s">
        <v>304</v>
      </c>
      <c r="L1221" t="str">
        <f t="shared" si="38"/>
        <v>"Nottoway County School Board"</v>
      </c>
      <c r="M1221" t="s">
        <v>302</v>
      </c>
      <c r="N1221" t="s">
        <v>303</v>
      </c>
      <c r="O1221" s="4" t="s">
        <v>300</v>
      </c>
      <c r="P1221" t="str">
        <f t="shared" si="39"/>
        <v>"40167"</v>
      </c>
    </row>
    <row r="1222" spans="1:16" x14ac:dyDescent="0.2">
      <c r="A1222" t="s">
        <v>301</v>
      </c>
      <c r="B1222" s="5" t="s">
        <v>96</v>
      </c>
      <c r="C1222" t="s">
        <v>301</v>
      </c>
      <c r="E1222" s="4" t="s">
        <v>301</v>
      </c>
      <c r="F1222">
        <v>40168</v>
      </c>
      <c r="G1222" t="s">
        <v>301</v>
      </c>
      <c r="I1222" t="s">
        <v>298</v>
      </c>
      <c r="J1222" t="s">
        <v>299</v>
      </c>
      <c r="K1222" s="4" t="s">
        <v>304</v>
      </c>
      <c r="L1222" t="str">
        <f t="shared" si="38"/>
        <v>"Orange County Public Schools"</v>
      </c>
      <c r="M1222" t="s">
        <v>302</v>
      </c>
      <c r="N1222" t="s">
        <v>303</v>
      </c>
      <c r="O1222" s="4" t="s">
        <v>300</v>
      </c>
      <c r="P1222" t="str">
        <f t="shared" si="39"/>
        <v>"40168"</v>
      </c>
    </row>
    <row r="1223" spans="1:16" x14ac:dyDescent="0.2">
      <c r="A1223" t="s">
        <v>301</v>
      </c>
      <c r="B1223" s="5" t="s">
        <v>130</v>
      </c>
      <c r="C1223" t="s">
        <v>301</v>
      </c>
      <c r="E1223" s="4" t="s">
        <v>301</v>
      </c>
      <c r="F1223">
        <v>40169</v>
      </c>
      <c r="G1223" t="s">
        <v>301</v>
      </c>
      <c r="I1223" t="s">
        <v>298</v>
      </c>
      <c r="J1223" t="s">
        <v>299</v>
      </c>
      <c r="K1223" s="4" t="s">
        <v>304</v>
      </c>
      <c r="L1223" t="str">
        <f t="shared" si="38"/>
        <v>"Page County Public Schools"</v>
      </c>
      <c r="M1223" t="s">
        <v>302</v>
      </c>
      <c r="N1223" t="s">
        <v>303</v>
      </c>
      <c r="O1223" s="4" t="s">
        <v>300</v>
      </c>
      <c r="P1223" t="str">
        <f t="shared" si="39"/>
        <v>"40169"</v>
      </c>
    </row>
    <row r="1224" spans="1:16" x14ac:dyDescent="0.2">
      <c r="A1224" t="s">
        <v>301</v>
      </c>
      <c r="B1224" s="5" t="s">
        <v>131</v>
      </c>
      <c r="C1224" t="s">
        <v>301</v>
      </c>
      <c r="E1224" s="4" t="s">
        <v>301</v>
      </c>
      <c r="F1224">
        <v>40170</v>
      </c>
      <c r="G1224" t="s">
        <v>301</v>
      </c>
      <c r="I1224" t="s">
        <v>298</v>
      </c>
      <c r="J1224" t="s">
        <v>299</v>
      </c>
      <c r="K1224" s="4" t="s">
        <v>304</v>
      </c>
      <c r="L1224" t="str">
        <f t="shared" si="38"/>
        <v>"Patrick County School Board"</v>
      </c>
      <c r="M1224" t="s">
        <v>302</v>
      </c>
      <c r="N1224" t="s">
        <v>303</v>
      </c>
      <c r="O1224" s="4" t="s">
        <v>300</v>
      </c>
      <c r="P1224" t="str">
        <f t="shared" si="39"/>
        <v>"40170"</v>
      </c>
    </row>
    <row r="1225" spans="1:16" x14ac:dyDescent="0.2">
      <c r="A1225" t="s">
        <v>301</v>
      </c>
      <c r="B1225" s="5" t="s">
        <v>132</v>
      </c>
      <c r="C1225" t="s">
        <v>301</v>
      </c>
      <c r="E1225" s="4" t="s">
        <v>301</v>
      </c>
      <c r="F1225">
        <v>40171</v>
      </c>
      <c r="G1225" t="s">
        <v>301</v>
      </c>
      <c r="I1225" t="s">
        <v>298</v>
      </c>
      <c r="J1225" t="s">
        <v>299</v>
      </c>
      <c r="K1225" s="4" t="s">
        <v>304</v>
      </c>
      <c r="L1225" t="str">
        <f t="shared" si="38"/>
        <v>"Pittsylvania County School Board"</v>
      </c>
      <c r="M1225" t="s">
        <v>302</v>
      </c>
      <c r="N1225" t="s">
        <v>303</v>
      </c>
      <c r="O1225" s="4" t="s">
        <v>300</v>
      </c>
      <c r="P1225" t="str">
        <f t="shared" si="39"/>
        <v>"40171"</v>
      </c>
    </row>
    <row r="1226" spans="1:16" x14ac:dyDescent="0.2">
      <c r="A1226" t="s">
        <v>301</v>
      </c>
      <c r="B1226" s="5" t="s">
        <v>133</v>
      </c>
      <c r="C1226" t="s">
        <v>301</v>
      </c>
      <c r="E1226" s="4" t="s">
        <v>301</v>
      </c>
      <c r="F1226">
        <v>40172</v>
      </c>
      <c r="G1226" t="s">
        <v>301</v>
      </c>
      <c r="I1226" t="s">
        <v>298</v>
      </c>
      <c r="J1226" t="s">
        <v>299</v>
      </c>
      <c r="K1226" s="4" t="s">
        <v>304</v>
      </c>
      <c r="L1226" t="str">
        <f t="shared" si="38"/>
        <v>"Powhatan County School Board"</v>
      </c>
      <c r="M1226" t="s">
        <v>302</v>
      </c>
      <c r="N1226" t="s">
        <v>303</v>
      </c>
      <c r="O1226" s="4" t="s">
        <v>300</v>
      </c>
      <c r="P1226" t="str">
        <f t="shared" si="39"/>
        <v>"40172"</v>
      </c>
    </row>
    <row r="1227" spans="1:16" x14ac:dyDescent="0.2">
      <c r="A1227" t="s">
        <v>301</v>
      </c>
      <c r="B1227" s="5" t="s">
        <v>134</v>
      </c>
      <c r="C1227" t="s">
        <v>301</v>
      </c>
      <c r="E1227" s="4" t="s">
        <v>301</v>
      </c>
      <c r="F1227">
        <v>40173</v>
      </c>
      <c r="G1227" t="s">
        <v>301</v>
      </c>
      <c r="I1227" t="s">
        <v>298</v>
      </c>
      <c r="J1227" t="s">
        <v>299</v>
      </c>
      <c r="K1227" s="4" t="s">
        <v>304</v>
      </c>
      <c r="L1227" t="str">
        <f t="shared" si="38"/>
        <v>"Prince Edward County School Board"</v>
      </c>
      <c r="M1227" t="s">
        <v>302</v>
      </c>
      <c r="N1227" t="s">
        <v>303</v>
      </c>
      <c r="O1227" s="4" t="s">
        <v>300</v>
      </c>
      <c r="P1227" t="str">
        <f t="shared" si="39"/>
        <v>"40173"</v>
      </c>
    </row>
    <row r="1228" spans="1:16" x14ac:dyDescent="0.2">
      <c r="A1228" t="s">
        <v>301</v>
      </c>
      <c r="B1228" s="5" t="s">
        <v>135</v>
      </c>
      <c r="C1228" t="s">
        <v>301</v>
      </c>
      <c r="E1228" s="4" t="s">
        <v>301</v>
      </c>
      <c r="F1228">
        <v>40174</v>
      </c>
      <c r="G1228" t="s">
        <v>301</v>
      </c>
      <c r="I1228" t="s">
        <v>298</v>
      </c>
      <c r="J1228" t="s">
        <v>299</v>
      </c>
      <c r="K1228" s="4" t="s">
        <v>304</v>
      </c>
      <c r="L1228" t="str">
        <f t="shared" si="38"/>
        <v>"Prince George County School Board"</v>
      </c>
      <c r="M1228" t="s">
        <v>302</v>
      </c>
      <c r="N1228" t="s">
        <v>303</v>
      </c>
      <c r="O1228" s="4" t="s">
        <v>300</v>
      </c>
      <c r="P1228" t="str">
        <f t="shared" si="39"/>
        <v>"40174"</v>
      </c>
    </row>
    <row r="1229" spans="1:16" x14ac:dyDescent="0.2">
      <c r="A1229" t="s">
        <v>301</v>
      </c>
      <c r="B1229" s="5" t="s">
        <v>136</v>
      </c>
      <c r="C1229" t="s">
        <v>301</v>
      </c>
      <c r="E1229" s="4" t="s">
        <v>301</v>
      </c>
      <c r="F1229">
        <v>40176</v>
      </c>
      <c r="G1229" t="s">
        <v>301</v>
      </c>
      <c r="I1229" t="s">
        <v>298</v>
      </c>
      <c r="J1229" t="s">
        <v>299</v>
      </c>
      <c r="K1229" s="4" t="s">
        <v>304</v>
      </c>
      <c r="L1229" t="str">
        <f t="shared" si="38"/>
        <v>"Prince William County School Board"</v>
      </c>
      <c r="M1229" t="s">
        <v>302</v>
      </c>
      <c r="N1229" t="s">
        <v>303</v>
      </c>
      <c r="O1229" s="4" t="s">
        <v>300</v>
      </c>
      <c r="P1229" t="str">
        <f t="shared" si="39"/>
        <v>"40176"</v>
      </c>
    </row>
    <row r="1230" spans="1:16" x14ac:dyDescent="0.2">
      <c r="A1230" t="s">
        <v>301</v>
      </c>
      <c r="B1230" s="5" t="s">
        <v>137</v>
      </c>
      <c r="C1230" t="s">
        <v>301</v>
      </c>
      <c r="E1230" s="4" t="s">
        <v>301</v>
      </c>
      <c r="F1230">
        <v>40177</v>
      </c>
      <c r="G1230" t="s">
        <v>301</v>
      </c>
      <c r="I1230" t="s">
        <v>298</v>
      </c>
      <c r="J1230" t="s">
        <v>299</v>
      </c>
      <c r="K1230" s="4" t="s">
        <v>304</v>
      </c>
      <c r="L1230" t="str">
        <f t="shared" si="38"/>
        <v>"Pulaski County School Board"</v>
      </c>
      <c r="M1230" t="s">
        <v>302</v>
      </c>
      <c r="N1230" t="s">
        <v>303</v>
      </c>
      <c r="O1230" s="4" t="s">
        <v>300</v>
      </c>
      <c r="P1230" t="str">
        <f t="shared" si="39"/>
        <v>"40177"</v>
      </c>
    </row>
    <row r="1231" spans="1:16" x14ac:dyDescent="0.2">
      <c r="A1231" t="s">
        <v>301</v>
      </c>
      <c r="B1231" s="5" t="s">
        <v>138</v>
      </c>
      <c r="C1231" t="s">
        <v>301</v>
      </c>
      <c r="E1231" s="4" t="s">
        <v>301</v>
      </c>
      <c r="F1231">
        <v>40178</v>
      </c>
      <c r="G1231" t="s">
        <v>301</v>
      </c>
      <c r="I1231" t="s">
        <v>298</v>
      </c>
      <c r="J1231" t="s">
        <v>299</v>
      </c>
      <c r="K1231" s="4" t="s">
        <v>304</v>
      </c>
      <c r="L1231" t="str">
        <f t="shared" si="38"/>
        <v>"Rappahannock County School Board"</v>
      </c>
      <c r="M1231" t="s">
        <v>302</v>
      </c>
      <c r="N1231" t="s">
        <v>303</v>
      </c>
      <c r="O1231" s="4" t="s">
        <v>300</v>
      </c>
      <c r="P1231" t="str">
        <f t="shared" si="39"/>
        <v>"40178"</v>
      </c>
    </row>
    <row r="1232" spans="1:16" x14ac:dyDescent="0.2">
      <c r="A1232" t="s">
        <v>301</v>
      </c>
      <c r="B1232" s="5" t="s">
        <v>139</v>
      </c>
      <c r="C1232" t="s">
        <v>301</v>
      </c>
      <c r="E1232" s="4" t="s">
        <v>301</v>
      </c>
      <c r="F1232">
        <v>40179</v>
      </c>
      <c r="G1232" t="s">
        <v>301</v>
      </c>
      <c r="I1232" t="s">
        <v>298</v>
      </c>
      <c r="J1232" t="s">
        <v>299</v>
      </c>
      <c r="K1232" s="4" t="s">
        <v>304</v>
      </c>
      <c r="L1232" t="str">
        <f t="shared" si="38"/>
        <v>"Richmond County School Board"</v>
      </c>
      <c r="M1232" t="s">
        <v>302</v>
      </c>
      <c r="N1232" t="s">
        <v>303</v>
      </c>
      <c r="O1232" s="4" t="s">
        <v>300</v>
      </c>
      <c r="P1232" t="str">
        <f t="shared" si="39"/>
        <v>"40179"</v>
      </c>
    </row>
    <row r="1233" spans="1:16" x14ac:dyDescent="0.2">
      <c r="A1233" t="s">
        <v>301</v>
      </c>
      <c r="B1233" s="5" t="s">
        <v>140</v>
      </c>
      <c r="C1233" t="s">
        <v>301</v>
      </c>
      <c r="E1233" s="4" t="s">
        <v>301</v>
      </c>
      <c r="F1233">
        <v>40180</v>
      </c>
      <c r="G1233" t="s">
        <v>301</v>
      </c>
      <c r="I1233" t="s">
        <v>298</v>
      </c>
      <c r="J1233" t="s">
        <v>299</v>
      </c>
      <c r="K1233" s="4" t="s">
        <v>304</v>
      </c>
      <c r="L1233" t="str">
        <f t="shared" si="38"/>
        <v>"Roanoke County School Board"</v>
      </c>
      <c r="M1233" t="s">
        <v>302</v>
      </c>
      <c r="N1233" t="s">
        <v>303</v>
      </c>
      <c r="O1233" s="4" t="s">
        <v>300</v>
      </c>
      <c r="P1233" t="str">
        <f t="shared" si="39"/>
        <v>"40180"</v>
      </c>
    </row>
    <row r="1234" spans="1:16" x14ac:dyDescent="0.2">
      <c r="A1234" t="s">
        <v>301</v>
      </c>
      <c r="B1234" s="5" t="s">
        <v>141</v>
      </c>
      <c r="C1234" t="s">
        <v>301</v>
      </c>
      <c r="E1234" s="4" t="s">
        <v>301</v>
      </c>
      <c r="F1234">
        <v>40181</v>
      </c>
      <c r="G1234" t="s">
        <v>301</v>
      </c>
      <c r="I1234" t="s">
        <v>298</v>
      </c>
      <c r="J1234" t="s">
        <v>299</v>
      </c>
      <c r="K1234" s="4" t="s">
        <v>304</v>
      </c>
      <c r="L1234" t="str">
        <f t="shared" si="38"/>
        <v>"Rockbridge County School Board"</v>
      </c>
      <c r="M1234" t="s">
        <v>302</v>
      </c>
      <c r="N1234" t="s">
        <v>303</v>
      </c>
      <c r="O1234" s="4" t="s">
        <v>300</v>
      </c>
      <c r="P1234" t="str">
        <f t="shared" si="39"/>
        <v>"40181"</v>
      </c>
    </row>
    <row r="1235" spans="1:16" x14ac:dyDescent="0.2">
      <c r="A1235" t="s">
        <v>301</v>
      </c>
      <c r="B1235" s="5" t="s">
        <v>142</v>
      </c>
      <c r="C1235" t="s">
        <v>301</v>
      </c>
      <c r="E1235" s="4" t="s">
        <v>301</v>
      </c>
      <c r="F1235">
        <v>40182</v>
      </c>
      <c r="G1235" t="s">
        <v>301</v>
      </c>
      <c r="I1235" t="s">
        <v>298</v>
      </c>
      <c r="J1235" t="s">
        <v>299</v>
      </c>
      <c r="K1235" s="4" t="s">
        <v>304</v>
      </c>
      <c r="L1235" t="str">
        <f t="shared" si="38"/>
        <v>"Rockingham County School Board"</v>
      </c>
      <c r="M1235" t="s">
        <v>302</v>
      </c>
      <c r="N1235" t="s">
        <v>303</v>
      </c>
      <c r="O1235" s="4" t="s">
        <v>300</v>
      </c>
      <c r="P1235" t="str">
        <f t="shared" si="39"/>
        <v>"40182"</v>
      </c>
    </row>
    <row r="1236" spans="1:16" x14ac:dyDescent="0.2">
      <c r="A1236" t="s">
        <v>301</v>
      </c>
      <c r="B1236" s="5" t="s">
        <v>143</v>
      </c>
      <c r="C1236" t="s">
        <v>301</v>
      </c>
      <c r="E1236" s="4" t="s">
        <v>301</v>
      </c>
      <c r="F1236">
        <v>40183</v>
      </c>
      <c r="G1236" t="s">
        <v>301</v>
      </c>
      <c r="I1236" t="s">
        <v>298</v>
      </c>
      <c r="J1236" t="s">
        <v>299</v>
      </c>
      <c r="K1236" s="4" t="s">
        <v>304</v>
      </c>
      <c r="L1236" t="str">
        <f t="shared" si="38"/>
        <v>"Russell County School Board"</v>
      </c>
      <c r="M1236" t="s">
        <v>302</v>
      </c>
      <c r="N1236" t="s">
        <v>303</v>
      </c>
      <c r="O1236" s="4" t="s">
        <v>300</v>
      </c>
      <c r="P1236" t="str">
        <f t="shared" si="39"/>
        <v>"40183"</v>
      </c>
    </row>
    <row r="1237" spans="1:16" x14ac:dyDescent="0.2">
      <c r="A1237" t="s">
        <v>301</v>
      </c>
      <c r="B1237" s="5" t="s">
        <v>144</v>
      </c>
      <c r="C1237" t="s">
        <v>301</v>
      </c>
      <c r="E1237" s="4" t="s">
        <v>301</v>
      </c>
      <c r="F1237">
        <v>40184</v>
      </c>
      <c r="G1237" t="s">
        <v>301</v>
      </c>
      <c r="I1237" t="s">
        <v>298</v>
      </c>
      <c r="J1237" t="s">
        <v>299</v>
      </c>
      <c r="K1237" s="4" t="s">
        <v>304</v>
      </c>
      <c r="L1237" t="str">
        <f t="shared" si="38"/>
        <v>"Scott County School Board"</v>
      </c>
      <c r="M1237" t="s">
        <v>302</v>
      </c>
      <c r="N1237" t="s">
        <v>303</v>
      </c>
      <c r="O1237" s="4" t="s">
        <v>300</v>
      </c>
      <c r="P1237" t="str">
        <f t="shared" si="39"/>
        <v>"40184"</v>
      </c>
    </row>
    <row r="1238" spans="1:16" x14ac:dyDescent="0.2">
      <c r="A1238" t="s">
        <v>301</v>
      </c>
      <c r="B1238" s="5" t="s">
        <v>145</v>
      </c>
      <c r="C1238" t="s">
        <v>301</v>
      </c>
      <c r="E1238" s="4" t="s">
        <v>301</v>
      </c>
      <c r="F1238">
        <v>40185</v>
      </c>
      <c r="G1238" t="s">
        <v>301</v>
      </c>
      <c r="I1238" t="s">
        <v>298</v>
      </c>
      <c r="J1238" t="s">
        <v>299</v>
      </c>
      <c r="K1238" s="4" t="s">
        <v>304</v>
      </c>
      <c r="L1238" t="str">
        <f t="shared" si="38"/>
        <v>"Shenandoah County School Board"</v>
      </c>
      <c r="M1238" t="s">
        <v>302</v>
      </c>
      <c r="N1238" t="s">
        <v>303</v>
      </c>
      <c r="O1238" s="4" t="s">
        <v>300</v>
      </c>
      <c r="P1238" t="str">
        <f t="shared" si="39"/>
        <v>"40185"</v>
      </c>
    </row>
    <row r="1239" spans="1:16" x14ac:dyDescent="0.2">
      <c r="A1239" t="s">
        <v>301</v>
      </c>
      <c r="B1239" s="5" t="s">
        <v>146</v>
      </c>
      <c r="C1239" t="s">
        <v>301</v>
      </c>
      <c r="E1239" s="4" t="s">
        <v>301</v>
      </c>
      <c r="F1239">
        <v>40186</v>
      </c>
      <c r="G1239" t="s">
        <v>301</v>
      </c>
      <c r="I1239" t="s">
        <v>298</v>
      </c>
      <c r="J1239" t="s">
        <v>299</v>
      </c>
      <c r="K1239" s="4" t="s">
        <v>304</v>
      </c>
      <c r="L1239" t="str">
        <f t="shared" si="38"/>
        <v>"Smyth County School Board"</v>
      </c>
      <c r="M1239" t="s">
        <v>302</v>
      </c>
      <c r="N1239" t="s">
        <v>303</v>
      </c>
      <c r="O1239" s="4" t="s">
        <v>300</v>
      </c>
      <c r="P1239" t="str">
        <f t="shared" si="39"/>
        <v>"40186"</v>
      </c>
    </row>
    <row r="1240" spans="1:16" x14ac:dyDescent="0.2">
      <c r="A1240" t="s">
        <v>301</v>
      </c>
      <c r="B1240" s="5" t="s">
        <v>147</v>
      </c>
      <c r="C1240" t="s">
        <v>301</v>
      </c>
      <c r="E1240" s="4" t="s">
        <v>301</v>
      </c>
      <c r="F1240">
        <v>40187</v>
      </c>
      <c r="G1240" t="s">
        <v>301</v>
      </c>
      <c r="I1240" t="s">
        <v>298</v>
      </c>
      <c r="J1240" t="s">
        <v>299</v>
      </c>
      <c r="K1240" s="4" t="s">
        <v>304</v>
      </c>
      <c r="L1240" t="str">
        <f t="shared" si="38"/>
        <v>"Southampton County School Board"</v>
      </c>
      <c r="M1240" t="s">
        <v>302</v>
      </c>
      <c r="N1240" t="s">
        <v>303</v>
      </c>
      <c r="O1240" s="4" t="s">
        <v>300</v>
      </c>
      <c r="P1240" t="str">
        <f t="shared" si="39"/>
        <v>"40187"</v>
      </c>
    </row>
    <row r="1241" spans="1:16" x14ac:dyDescent="0.2">
      <c r="A1241" t="s">
        <v>301</v>
      </c>
      <c r="B1241" s="5" t="s">
        <v>148</v>
      </c>
      <c r="C1241" t="s">
        <v>301</v>
      </c>
      <c r="E1241" s="4" t="s">
        <v>301</v>
      </c>
      <c r="F1241">
        <v>40188</v>
      </c>
      <c r="G1241" t="s">
        <v>301</v>
      </c>
      <c r="I1241" t="s">
        <v>298</v>
      </c>
      <c r="J1241" t="s">
        <v>299</v>
      </c>
      <c r="K1241" s="4" t="s">
        <v>304</v>
      </c>
      <c r="L1241" t="str">
        <f t="shared" si="38"/>
        <v>"Spotsylvania County School Board"</v>
      </c>
      <c r="M1241" t="s">
        <v>302</v>
      </c>
      <c r="N1241" t="s">
        <v>303</v>
      </c>
      <c r="O1241" s="4" t="s">
        <v>300</v>
      </c>
      <c r="P1241" t="str">
        <f t="shared" si="39"/>
        <v>"40188"</v>
      </c>
    </row>
    <row r="1242" spans="1:16" x14ac:dyDescent="0.2">
      <c r="A1242" t="s">
        <v>301</v>
      </c>
      <c r="B1242" s="5" t="s">
        <v>149</v>
      </c>
      <c r="C1242" t="s">
        <v>301</v>
      </c>
      <c r="E1242" s="4" t="s">
        <v>301</v>
      </c>
      <c r="F1242">
        <v>40189</v>
      </c>
      <c r="G1242" t="s">
        <v>301</v>
      </c>
      <c r="I1242" t="s">
        <v>298</v>
      </c>
      <c r="J1242" t="s">
        <v>299</v>
      </c>
      <c r="K1242" s="4" t="s">
        <v>304</v>
      </c>
      <c r="L1242" t="str">
        <f t="shared" si="38"/>
        <v>"Stafford County School Board"</v>
      </c>
      <c r="M1242" t="s">
        <v>302</v>
      </c>
      <c r="N1242" t="s">
        <v>303</v>
      </c>
      <c r="O1242" s="4" t="s">
        <v>300</v>
      </c>
      <c r="P1242" t="str">
        <f t="shared" si="39"/>
        <v>"40189"</v>
      </c>
    </row>
    <row r="1243" spans="1:16" x14ac:dyDescent="0.2">
      <c r="A1243" t="s">
        <v>301</v>
      </c>
      <c r="B1243" s="5" t="s">
        <v>150</v>
      </c>
      <c r="C1243" t="s">
        <v>301</v>
      </c>
      <c r="E1243" s="4" t="s">
        <v>301</v>
      </c>
      <c r="F1243">
        <v>40190</v>
      </c>
      <c r="G1243" t="s">
        <v>301</v>
      </c>
      <c r="I1243" t="s">
        <v>298</v>
      </c>
      <c r="J1243" t="s">
        <v>299</v>
      </c>
      <c r="K1243" s="4" t="s">
        <v>304</v>
      </c>
      <c r="L1243" t="str">
        <f t="shared" si="38"/>
        <v>"Surry County Schools"</v>
      </c>
      <c r="M1243" t="s">
        <v>302</v>
      </c>
      <c r="N1243" t="s">
        <v>303</v>
      </c>
      <c r="O1243" s="4" t="s">
        <v>300</v>
      </c>
      <c r="P1243" t="str">
        <f t="shared" si="39"/>
        <v>"40190"</v>
      </c>
    </row>
    <row r="1244" spans="1:16" x14ac:dyDescent="0.2">
      <c r="A1244" t="s">
        <v>301</v>
      </c>
      <c r="B1244" s="5" t="s">
        <v>151</v>
      </c>
      <c r="C1244" t="s">
        <v>301</v>
      </c>
      <c r="E1244" s="4" t="s">
        <v>301</v>
      </c>
      <c r="F1244">
        <v>40191</v>
      </c>
      <c r="G1244" t="s">
        <v>301</v>
      </c>
      <c r="I1244" t="s">
        <v>298</v>
      </c>
      <c r="J1244" t="s">
        <v>299</v>
      </c>
      <c r="K1244" s="4" t="s">
        <v>304</v>
      </c>
      <c r="L1244" t="str">
        <f t="shared" si="38"/>
        <v>"Sussex County School Board"</v>
      </c>
      <c r="M1244" t="s">
        <v>302</v>
      </c>
      <c r="N1244" t="s">
        <v>303</v>
      </c>
      <c r="O1244" s="4" t="s">
        <v>300</v>
      </c>
      <c r="P1244" t="str">
        <f t="shared" si="39"/>
        <v>"40191"</v>
      </c>
    </row>
    <row r="1245" spans="1:16" x14ac:dyDescent="0.2">
      <c r="A1245" t="s">
        <v>301</v>
      </c>
      <c r="B1245" s="5" t="s">
        <v>152</v>
      </c>
      <c r="C1245" t="s">
        <v>301</v>
      </c>
      <c r="E1245" s="4" t="s">
        <v>301</v>
      </c>
      <c r="F1245">
        <v>40192</v>
      </c>
      <c r="G1245" t="s">
        <v>301</v>
      </c>
      <c r="I1245" t="s">
        <v>298</v>
      </c>
      <c r="J1245" t="s">
        <v>299</v>
      </c>
      <c r="K1245" s="4" t="s">
        <v>304</v>
      </c>
      <c r="L1245" t="str">
        <f t="shared" si="38"/>
        <v>"Tazewell County Schools"</v>
      </c>
      <c r="M1245" t="s">
        <v>302</v>
      </c>
      <c r="N1245" t="s">
        <v>303</v>
      </c>
      <c r="O1245" s="4" t="s">
        <v>300</v>
      </c>
      <c r="P1245" t="str">
        <f t="shared" si="39"/>
        <v>"40192"</v>
      </c>
    </row>
    <row r="1246" spans="1:16" x14ac:dyDescent="0.2">
      <c r="A1246" t="s">
        <v>301</v>
      </c>
      <c r="B1246" s="5" t="s">
        <v>153</v>
      </c>
      <c r="C1246" t="s">
        <v>301</v>
      </c>
      <c r="E1246" s="4" t="s">
        <v>301</v>
      </c>
      <c r="F1246">
        <v>40193</v>
      </c>
      <c r="G1246" t="s">
        <v>301</v>
      </c>
      <c r="I1246" t="s">
        <v>298</v>
      </c>
      <c r="J1246" t="s">
        <v>299</v>
      </c>
      <c r="K1246" s="4" t="s">
        <v>304</v>
      </c>
      <c r="L1246" t="str">
        <f t="shared" si="38"/>
        <v>"Warren County School Board"</v>
      </c>
      <c r="M1246" t="s">
        <v>302</v>
      </c>
      <c r="N1246" t="s">
        <v>303</v>
      </c>
      <c r="O1246" s="4" t="s">
        <v>300</v>
      </c>
      <c r="P1246" t="str">
        <f t="shared" si="39"/>
        <v>"40193"</v>
      </c>
    </row>
    <row r="1247" spans="1:16" x14ac:dyDescent="0.2">
      <c r="A1247" t="s">
        <v>301</v>
      </c>
      <c r="B1247" s="5" t="s">
        <v>154</v>
      </c>
      <c r="C1247" t="s">
        <v>301</v>
      </c>
      <c r="E1247" s="4" t="s">
        <v>301</v>
      </c>
      <c r="F1247">
        <v>40195</v>
      </c>
      <c r="G1247" t="s">
        <v>301</v>
      </c>
      <c r="I1247" t="s">
        <v>298</v>
      </c>
      <c r="J1247" t="s">
        <v>299</v>
      </c>
      <c r="K1247" s="4" t="s">
        <v>304</v>
      </c>
      <c r="L1247" t="str">
        <f t="shared" si="38"/>
        <v>"Washington County School Board"</v>
      </c>
      <c r="M1247" t="s">
        <v>302</v>
      </c>
      <c r="N1247" t="s">
        <v>303</v>
      </c>
      <c r="O1247" s="4" t="s">
        <v>300</v>
      </c>
      <c r="P1247" t="str">
        <f t="shared" si="39"/>
        <v>"40195"</v>
      </c>
    </row>
    <row r="1248" spans="1:16" x14ac:dyDescent="0.2">
      <c r="A1248" t="s">
        <v>301</v>
      </c>
      <c r="B1248" s="5" t="s">
        <v>155</v>
      </c>
      <c r="C1248" t="s">
        <v>301</v>
      </c>
      <c r="E1248" s="4" t="s">
        <v>301</v>
      </c>
      <c r="F1248">
        <v>40196</v>
      </c>
      <c r="G1248" t="s">
        <v>301</v>
      </c>
      <c r="I1248" t="s">
        <v>298</v>
      </c>
      <c r="J1248" t="s">
        <v>299</v>
      </c>
      <c r="K1248" s="4" t="s">
        <v>304</v>
      </c>
      <c r="L1248" t="str">
        <f t="shared" si="38"/>
        <v>"Westmoreland County School Board"</v>
      </c>
      <c r="M1248" t="s">
        <v>302</v>
      </c>
      <c r="N1248" t="s">
        <v>303</v>
      </c>
      <c r="O1248" s="4" t="s">
        <v>300</v>
      </c>
      <c r="P1248" t="str">
        <f t="shared" si="39"/>
        <v>"40196"</v>
      </c>
    </row>
    <row r="1249" spans="1:16" x14ac:dyDescent="0.2">
      <c r="A1249" t="s">
        <v>301</v>
      </c>
      <c r="B1249" s="5" t="s">
        <v>156</v>
      </c>
      <c r="C1249" t="s">
        <v>301</v>
      </c>
      <c r="E1249" s="4" t="s">
        <v>301</v>
      </c>
      <c r="F1249">
        <v>40197</v>
      </c>
      <c r="G1249" t="s">
        <v>301</v>
      </c>
      <c r="I1249" t="s">
        <v>298</v>
      </c>
      <c r="J1249" t="s">
        <v>299</v>
      </c>
      <c r="K1249" s="4" t="s">
        <v>304</v>
      </c>
      <c r="L1249" t="str">
        <f t="shared" si="38"/>
        <v>"Wise County School Board"</v>
      </c>
      <c r="M1249" t="s">
        <v>302</v>
      </c>
      <c r="N1249" t="s">
        <v>303</v>
      </c>
      <c r="O1249" s="4" t="s">
        <v>300</v>
      </c>
      <c r="P1249" t="str">
        <f t="shared" si="39"/>
        <v>"40197"</v>
      </c>
    </row>
    <row r="1250" spans="1:16" x14ac:dyDescent="0.2">
      <c r="A1250" t="s">
        <v>301</v>
      </c>
      <c r="B1250" s="5" t="s">
        <v>157</v>
      </c>
      <c r="C1250" t="s">
        <v>301</v>
      </c>
      <c r="E1250" s="4" t="s">
        <v>301</v>
      </c>
      <c r="F1250">
        <v>40198</v>
      </c>
      <c r="G1250" t="s">
        <v>301</v>
      </c>
      <c r="I1250" t="s">
        <v>298</v>
      </c>
      <c r="J1250" t="s">
        <v>299</v>
      </c>
      <c r="K1250" s="4" t="s">
        <v>304</v>
      </c>
      <c r="L1250" t="str">
        <f t="shared" si="38"/>
        <v>"Wythe County School Board"</v>
      </c>
      <c r="M1250" t="s">
        <v>302</v>
      </c>
      <c r="N1250" t="s">
        <v>303</v>
      </c>
      <c r="O1250" s="4" t="s">
        <v>300</v>
      </c>
      <c r="P1250" t="str">
        <f t="shared" si="39"/>
        <v>"40198"</v>
      </c>
    </row>
    <row r="1251" spans="1:16" x14ac:dyDescent="0.2">
      <c r="A1251" t="s">
        <v>301</v>
      </c>
      <c r="B1251" s="5" t="s">
        <v>158</v>
      </c>
      <c r="C1251" t="s">
        <v>301</v>
      </c>
      <c r="E1251" s="4" t="s">
        <v>301</v>
      </c>
      <c r="F1251">
        <v>40199</v>
      </c>
      <c r="G1251" t="s">
        <v>301</v>
      </c>
      <c r="I1251" t="s">
        <v>298</v>
      </c>
      <c r="J1251" t="s">
        <v>299</v>
      </c>
      <c r="K1251" s="4" t="s">
        <v>304</v>
      </c>
      <c r="L1251" t="str">
        <f t="shared" si="38"/>
        <v>"York County School Board"</v>
      </c>
      <c r="M1251" t="s">
        <v>302</v>
      </c>
      <c r="N1251" t="s">
        <v>303</v>
      </c>
      <c r="O1251" s="4" t="s">
        <v>300</v>
      </c>
      <c r="P1251" t="str">
        <f t="shared" si="39"/>
        <v>"40199"</v>
      </c>
    </row>
    <row r="1252" spans="1:16" x14ac:dyDescent="0.2">
      <c r="A1252" t="s">
        <v>301</v>
      </c>
      <c r="B1252" s="5" t="s">
        <v>159</v>
      </c>
      <c r="C1252" t="s">
        <v>301</v>
      </c>
      <c r="E1252" s="4" t="s">
        <v>301</v>
      </c>
      <c r="F1252">
        <v>40200</v>
      </c>
      <c r="G1252" t="s">
        <v>301</v>
      </c>
      <c r="I1252" t="s">
        <v>298</v>
      </c>
      <c r="J1252" t="s">
        <v>299</v>
      </c>
      <c r="K1252" s="4" t="s">
        <v>304</v>
      </c>
      <c r="L1252" t="str">
        <f t="shared" si="38"/>
        <v>"Alexandria City School Board"</v>
      </c>
      <c r="M1252" t="s">
        <v>302</v>
      </c>
      <c r="N1252" t="s">
        <v>303</v>
      </c>
      <c r="O1252" s="4" t="s">
        <v>300</v>
      </c>
      <c r="P1252" t="str">
        <f t="shared" si="39"/>
        <v>"40200"</v>
      </c>
    </row>
    <row r="1253" spans="1:16" x14ac:dyDescent="0.2">
      <c r="A1253" t="s">
        <v>301</v>
      </c>
      <c r="B1253" s="5" t="s">
        <v>160</v>
      </c>
      <c r="C1253" t="s">
        <v>301</v>
      </c>
      <c r="E1253" s="4" t="s">
        <v>301</v>
      </c>
      <c r="F1253">
        <v>40201</v>
      </c>
      <c r="G1253" t="s">
        <v>301</v>
      </c>
      <c r="I1253" t="s">
        <v>298</v>
      </c>
      <c r="J1253" t="s">
        <v>299</v>
      </c>
      <c r="K1253" s="4" t="s">
        <v>304</v>
      </c>
      <c r="L1253" t="str">
        <f t="shared" si="38"/>
        <v>"Bristol City School Board"</v>
      </c>
      <c r="M1253" t="s">
        <v>302</v>
      </c>
      <c r="N1253" t="s">
        <v>303</v>
      </c>
      <c r="O1253" s="4" t="s">
        <v>300</v>
      </c>
      <c r="P1253" t="str">
        <f t="shared" si="39"/>
        <v>"40201"</v>
      </c>
    </row>
    <row r="1254" spans="1:16" x14ac:dyDescent="0.2">
      <c r="A1254" t="s">
        <v>301</v>
      </c>
      <c r="B1254" s="5" t="s">
        <v>161</v>
      </c>
      <c r="C1254" t="s">
        <v>301</v>
      </c>
      <c r="E1254" s="4" t="s">
        <v>301</v>
      </c>
      <c r="F1254">
        <v>40202</v>
      </c>
      <c r="G1254" t="s">
        <v>301</v>
      </c>
      <c r="I1254" t="s">
        <v>298</v>
      </c>
      <c r="J1254" t="s">
        <v>299</v>
      </c>
      <c r="K1254" s="4" t="s">
        <v>304</v>
      </c>
      <c r="L1254" t="str">
        <f t="shared" si="38"/>
        <v>"Buena Vista City Schools"</v>
      </c>
      <c r="M1254" t="s">
        <v>302</v>
      </c>
      <c r="N1254" t="s">
        <v>303</v>
      </c>
      <c r="O1254" s="4" t="s">
        <v>300</v>
      </c>
      <c r="P1254" t="str">
        <f t="shared" si="39"/>
        <v>"40202"</v>
      </c>
    </row>
    <row r="1255" spans="1:16" x14ac:dyDescent="0.2">
      <c r="A1255" t="s">
        <v>301</v>
      </c>
      <c r="B1255" s="5" t="s">
        <v>162</v>
      </c>
      <c r="C1255" t="s">
        <v>301</v>
      </c>
      <c r="E1255" s="4" t="s">
        <v>301</v>
      </c>
      <c r="F1255">
        <v>40203</v>
      </c>
      <c r="G1255" t="s">
        <v>301</v>
      </c>
      <c r="I1255" t="s">
        <v>298</v>
      </c>
      <c r="J1255" t="s">
        <v>299</v>
      </c>
      <c r="K1255" s="4" t="s">
        <v>304</v>
      </c>
      <c r="L1255" t="str">
        <f t="shared" si="38"/>
        <v>"Charlottesville Public Schools"</v>
      </c>
      <c r="M1255" t="s">
        <v>302</v>
      </c>
      <c r="N1255" t="s">
        <v>303</v>
      </c>
      <c r="O1255" s="4" t="s">
        <v>300</v>
      </c>
      <c r="P1255" t="str">
        <f t="shared" si="39"/>
        <v>"40203"</v>
      </c>
    </row>
    <row r="1256" spans="1:16" x14ac:dyDescent="0.2">
      <c r="A1256" t="s">
        <v>301</v>
      </c>
      <c r="B1256" s="5" t="s">
        <v>196</v>
      </c>
      <c r="C1256" t="s">
        <v>301</v>
      </c>
      <c r="E1256" s="4" t="s">
        <v>301</v>
      </c>
      <c r="F1256">
        <v>40205</v>
      </c>
      <c r="G1256" t="s">
        <v>301</v>
      </c>
      <c r="I1256" t="s">
        <v>298</v>
      </c>
      <c r="J1256" t="s">
        <v>299</v>
      </c>
      <c r="K1256" s="4" t="s">
        <v>304</v>
      </c>
      <c r="L1256" t="str">
        <f t="shared" si="38"/>
        <v>"Danville City Schools"</v>
      </c>
      <c r="M1256" t="s">
        <v>302</v>
      </c>
      <c r="N1256" t="s">
        <v>303</v>
      </c>
      <c r="O1256" s="4" t="s">
        <v>300</v>
      </c>
      <c r="P1256" t="str">
        <f t="shared" si="39"/>
        <v>"40205"</v>
      </c>
    </row>
    <row r="1257" spans="1:16" x14ac:dyDescent="0.2">
      <c r="A1257" t="s">
        <v>301</v>
      </c>
      <c r="B1257" s="5" t="s">
        <v>197</v>
      </c>
      <c r="C1257" t="s">
        <v>301</v>
      </c>
      <c r="E1257" s="4" t="s">
        <v>301</v>
      </c>
      <c r="F1257">
        <v>40206</v>
      </c>
      <c r="G1257" t="s">
        <v>301</v>
      </c>
      <c r="I1257" t="s">
        <v>298</v>
      </c>
      <c r="J1257" t="s">
        <v>299</v>
      </c>
      <c r="K1257" s="4" t="s">
        <v>304</v>
      </c>
      <c r="L1257" t="str">
        <f t="shared" si="38"/>
        <v>"Fredericksburg City Schools"</v>
      </c>
      <c r="M1257" t="s">
        <v>302</v>
      </c>
      <c r="N1257" t="s">
        <v>303</v>
      </c>
      <c r="O1257" s="4" t="s">
        <v>300</v>
      </c>
      <c r="P1257" t="str">
        <f t="shared" si="39"/>
        <v>"40206"</v>
      </c>
    </row>
    <row r="1258" spans="1:16" x14ac:dyDescent="0.2">
      <c r="A1258" t="s">
        <v>301</v>
      </c>
      <c r="B1258" s="5" t="s">
        <v>198</v>
      </c>
      <c r="C1258" t="s">
        <v>301</v>
      </c>
      <c r="E1258" s="4" t="s">
        <v>301</v>
      </c>
      <c r="F1258">
        <v>40207</v>
      </c>
      <c r="G1258" t="s">
        <v>301</v>
      </c>
      <c r="I1258" t="s">
        <v>298</v>
      </c>
      <c r="J1258" t="s">
        <v>299</v>
      </c>
      <c r="K1258" s="4" t="s">
        <v>304</v>
      </c>
      <c r="L1258" t="str">
        <f t="shared" si="38"/>
        <v>"Hampton City Schools"</v>
      </c>
      <c r="M1258" t="s">
        <v>302</v>
      </c>
      <c r="N1258" t="s">
        <v>303</v>
      </c>
      <c r="O1258" s="4" t="s">
        <v>300</v>
      </c>
      <c r="P1258" t="str">
        <f t="shared" si="39"/>
        <v>"40207"</v>
      </c>
    </row>
    <row r="1259" spans="1:16" x14ac:dyDescent="0.2">
      <c r="A1259" t="s">
        <v>301</v>
      </c>
      <c r="B1259" s="5" t="s">
        <v>199</v>
      </c>
      <c r="C1259" t="s">
        <v>301</v>
      </c>
      <c r="E1259" s="4" t="s">
        <v>301</v>
      </c>
      <c r="F1259">
        <v>40208</v>
      </c>
      <c r="G1259" t="s">
        <v>301</v>
      </c>
      <c r="I1259" t="s">
        <v>298</v>
      </c>
      <c r="J1259" t="s">
        <v>299</v>
      </c>
      <c r="K1259" s="4" t="s">
        <v>304</v>
      </c>
      <c r="L1259" t="str">
        <f t="shared" si="38"/>
        <v>"Harrisonburg City School Board"</v>
      </c>
      <c r="M1259" t="s">
        <v>302</v>
      </c>
      <c r="N1259" t="s">
        <v>303</v>
      </c>
      <c r="O1259" s="4" t="s">
        <v>300</v>
      </c>
      <c r="P1259" t="str">
        <f t="shared" si="39"/>
        <v>"40208"</v>
      </c>
    </row>
    <row r="1260" spans="1:16" x14ac:dyDescent="0.2">
      <c r="A1260" t="s">
        <v>301</v>
      </c>
      <c r="B1260" s="5" t="s">
        <v>200</v>
      </c>
      <c r="C1260" t="s">
        <v>301</v>
      </c>
      <c r="E1260" s="4" t="s">
        <v>301</v>
      </c>
      <c r="F1260">
        <v>40209</v>
      </c>
      <c r="G1260" t="s">
        <v>301</v>
      </c>
      <c r="I1260" t="s">
        <v>298</v>
      </c>
      <c r="J1260" t="s">
        <v>299</v>
      </c>
      <c r="K1260" s="4" t="s">
        <v>304</v>
      </c>
      <c r="L1260" t="str">
        <f t="shared" si="38"/>
        <v>"Hopewell City School Board"</v>
      </c>
      <c r="M1260" t="s">
        <v>302</v>
      </c>
      <c r="N1260" t="s">
        <v>303</v>
      </c>
      <c r="O1260" s="4" t="s">
        <v>300</v>
      </c>
      <c r="P1260" t="str">
        <f t="shared" si="39"/>
        <v>"40209"</v>
      </c>
    </row>
    <row r="1261" spans="1:16" x14ac:dyDescent="0.2">
      <c r="A1261" t="s">
        <v>301</v>
      </c>
      <c r="B1261" s="5" t="s">
        <v>201</v>
      </c>
      <c r="C1261" t="s">
        <v>301</v>
      </c>
      <c r="E1261" s="4" t="s">
        <v>301</v>
      </c>
      <c r="F1261">
        <v>40210</v>
      </c>
      <c r="G1261" t="s">
        <v>301</v>
      </c>
      <c r="I1261" t="s">
        <v>298</v>
      </c>
      <c r="J1261" t="s">
        <v>299</v>
      </c>
      <c r="K1261" s="4" t="s">
        <v>304</v>
      </c>
      <c r="L1261" t="str">
        <f t="shared" si="38"/>
        <v>"Lynchburg Public Schools"</v>
      </c>
      <c r="M1261" t="s">
        <v>302</v>
      </c>
      <c r="N1261" t="s">
        <v>303</v>
      </c>
      <c r="O1261" s="4" t="s">
        <v>300</v>
      </c>
      <c r="P1261" t="str">
        <f t="shared" si="39"/>
        <v>"40210"</v>
      </c>
    </row>
    <row r="1262" spans="1:16" x14ac:dyDescent="0.2">
      <c r="A1262" t="s">
        <v>301</v>
      </c>
      <c r="B1262" s="5" t="s">
        <v>202</v>
      </c>
      <c r="C1262" t="s">
        <v>301</v>
      </c>
      <c r="E1262" s="4" t="s">
        <v>301</v>
      </c>
      <c r="F1262">
        <v>40211</v>
      </c>
      <c r="G1262" t="s">
        <v>301</v>
      </c>
      <c r="I1262" t="s">
        <v>298</v>
      </c>
      <c r="J1262" t="s">
        <v>299</v>
      </c>
      <c r="K1262" s="4" t="s">
        <v>304</v>
      </c>
      <c r="L1262" t="str">
        <f t="shared" si="38"/>
        <v>"Newport News Public Schools"</v>
      </c>
      <c r="M1262" t="s">
        <v>302</v>
      </c>
      <c r="N1262" t="s">
        <v>303</v>
      </c>
      <c r="O1262" s="4" t="s">
        <v>300</v>
      </c>
      <c r="P1262" t="str">
        <f t="shared" si="39"/>
        <v>"40211"</v>
      </c>
    </row>
    <row r="1263" spans="1:16" x14ac:dyDescent="0.2">
      <c r="A1263" t="s">
        <v>301</v>
      </c>
      <c r="B1263" s="5" t="s">
        <v>203</v>
      </c>
      <c r="C1263" t="s">
        <v>301</v>
      </c>
      <c r="E1263" s="4" t="s">
        <v>301</v>
      </c>
      <c r="F1263">
        <v>40212</v>
      </c>
      <c r="G1263" t="s">
        <v>301</v>
      </c>
      <c r="I1263" t="s">
        <v>298</v>
      </c>
      <c r="J1263" t="s">
        <v>299</v>
      </c>
      <c r="K1263" s="4" t="s">
        <v>304</v>
      </c>
      <c r="L1263" t="str">
        <f t="shared" si="38"/>
        <v>"Norfolk Public Schools"</v>
      </c>
      <c r="M1263" t="s">
        <v>302</v>
      </c>
      <c r="N1263" t="s">
        <v>303</v>
      </c>
      <c r="O1263" s="4" t="s">
        <v>300</v>
      </c>
      <c r="P1263" t="str">
        <f t="shared" si="39"/>
        <v>"40212"</v>
      </c>
    </row>
    <row r="1264" spans="1:16" x14ac:dyDescent="0.2">
      <c r="A1264" t="s">
        <v>301</v>
      </c>
      <c r="B1264" s="5" t="s">
        <v>204</v>
      </c>
      <c r="C1264" t="s">
        <v>301</v>
      </c>
      <c r="E1264" s="4" t="s">
        <v>301</v>
      </c>
      <c r="F1264">
        <v>40213</v>
      </c>
      <c r="G1264" t="s">
        <v>301</v>
      </c>
      <c r="I1264" t="s">
        <v>298</v>
      </c>
      <c r="J1264" t="s">
        <v>299</v>
      </c>
      <c r="K1264" s="4" t="s">
        <v>304</v>
      </c>
      <c r="L1264" t="str">
        <f t="shared" si="38"/>
        <v>"Petersburg City Schools"</v>
      </c>
      <c r="M1264" t="s">
        <v>302</v>
      </c>
      <c r="N1264" t="s">
        <v>303</v>
      </c>
      <c r="O1264" s="4" t="s">
        <v>300</v>
      </c>
      <c r="P1264" t="str">
        <f t="shared" si="39"/>
        <v>"40213"</v>
      </c>
    </row>
    <row r="1265" spans="1:16" x14ac:dyDescent="0.2">
      <c r="A1265" t="s">
        <v>301</v>
      </c>
      <c r="B1265" s="5" t="s">
        <v>205</v>
      </c>
      <c r="C1265" t="s">
        <v>301</v>
      </c>
      <c r="E1265" s="4" t="s">
        <v>301</v>
      </c>
      <c r="F1265">
        <v>40214</v>
      </c>
      <c r="G1265" t="s">
        <v>301</v>
      </c>
      <c r="I1265" t="s">
        <v>298</v>
      </c>
      <c r="J1265" t="s">
        <v>299</v>
      </c>
      <c r="K1265" s="4" t="s">
        <v>304</v>
      </c>
      <c r="L1265" t="str">
        <f t="shared" si="38"/>
        <v>"Portsmouth School Board"</v>
      </c>
      <c r="M1265" t="s">
        <v>302</v>
      </c>
      <c r="N1265" t="s">
        <v>303</v>
      </c>
      <c r="O1265" s="4" t="s">
        <v>300</v>
      </c>
      <c r="P1265" t="str">
        <f t="shared" si="39"/>
        <v>"40214"</v>
      </c>
    </row>
    <row r="1266" spans="1:16" x14ac:dyDescent="0.2">
      <c r="A1266" t="s">
        <v>301</v>
      </c>
      <c r="B1266" s="5" t="s">
        <v>206</v>
      </c>
      <c r="C1266" t="s">
        <v>301</v>
      </c>
      <c r="E1266" s="4" t="s">
        <v>301</v>
      </c>
      <c r="F1266">
        <v>40215</v>
      </c>
      <c r="G1266" t="s">
        <v>301</v>
      </c>
      <c r="I1266" t="s">
        <v>298</v>
      </c>
      <c r="J1266" t="s">
        <v>299</v>
      </c>
      <c r="K1266" s="4" t="s">
        <v>304</v>
      </c>
      <c r="L1266" t="str">
        <f t="shared" si="38"/>
        <v>"Radford City School Board"</v>
      </c>
      <c r="M1266" t="s">
        <v>302</v>
      </c>
      <c r="N1266" t="s">
        <v>303</v>
      </c>
      <c r="O1266" s="4" t="s">
        <v>300</v>
      </c>
      <c r="P1266" t="str">
        <f t="shared" si="39"/>
        <v>"40215"</v>
      </c>
    </row>
    <row r="1267" spans="1:16" x14ac:dyDescent="0.2">
      <c r="A1267" t="s">
        <v>301</v>
      </c>
      <c r="B1267" s="5" t="s">
        <v>207</v>
      </c>
      <c r="C1267" t="s">
        <v>301</v>
      </c>
      <c r="E1267" s="4" t="s">
        <v>301</v>
      </c>
      <c r="F1267">
        <v>40216</v>
      </c>
      <c r="G1267" t="s">
        <v>301</v>
      </c>
      <c r="I1267" t="s">
        <v>298</v>
      </c>
      <c r="J1267" t="s">
        <v>299</v>
      </c>
      <c r="K1267" s="4" t="s">
        <v>304</v>
      </c>
      <c r="L1267" t="str">
        <f t="shared" si="38"/>
        <v>"Richmond Public Schools"</v>
      </c>
      <c r="M1267" t="s">
        <v>302</v>
      </c>
      <c r="N1267" t="s">
        <v>303</v>
      </c>
      <c r="O1267" s="4" t="s">
        <v>300</v>
      </c>
      <c r="P1267" t="str">
        <f t="shared" si="39"/>
        <v>"40216"</v>
      </c>
    </row>
    <row r="1268" spans="1:16" x14ac:dyDescent="0.2">
      <c r="A1268" t="s">
        <v>301</v>
      </c>
      <c r="B1268" s="5" t="s">
        <v>208</v>
      </c>
      <c r="C1268" t="s">
        <v>301</v>
      </c>
      <c r="E1268" s="4" t="s">
        <v>301</v>
      </c>
      <c r="F1268">
        <v>40217</v>
      </c>
      <c r="G1268" t="s">
        <v>301</v>
      </c>
      <c r="I1268" t="s">
        <v>298</v>
      </c>
      <c r="J1268" t="s">
        <v>299</v>
      </c>
      <c r="K1268" s="4" t="s">
        <v>304</v>
      </c>
      <c r="L1268" t="str">
        <f t="shared" si="38"/>
        <v>"Roanoke City School Board"</v>
      </c>
      <c r="M1268" t="s">
        <v>302</v>
      </c>
      <c r="N1268" t="s">
        <v>303</v>
      </c>
      <c r="O1268" s="4" t="s">
        <v>300</v>
      </c>
      <c r="P1268" t="str">
        <f t="shared" si="39"/>
        <v>"40217"</v>
      </c>
    </row>
    <row r="1269" spans="1:16" x14ac:dyDescent="0.2">
      <c r="A1269" t="s">
        <v>301</v>
      </c>
      <c r="B1269" s="5" t="s">
        <v>209</v>
      </c>
      <c r="C1269" t="s">
        <v>301</v>
      </c>
      <c r="E1269" s="4" t="s">
        <v>301</v>
      </c>
      <c r="F1269">
        <v>40219</v>
      </c>
      <c r="G1269" t="s">
        <v>301</v>
      </c>
      <c r="I1269" t="s">
        <v>298</v>
      </c>
      <c r="J1269" t="s">
        <v>299</v>
      </c>
      <c r="K1269" s="4" t="s">
        <v>304</v>
      </c>
      <c r="L1269" t="str">
        <f t="shared" si="38"/>
        <v>"Staunton City Schools"</v>
      </c>
      <c r="M1269" t="s">
        <v>302</v>
      </c>
      <c r="N1269" t="s">
        <v>303</v>
      </c>
      <c r="O1269" s="4" t="s">
        <v>300</v>
      </c>
      <c r="P1269" t="str">
        <f t="shared" si="39"/>
        <v>"40219"</v>
      </c>
    </row>
    <row r="1270" spans="1:16" x14ac:dyDescent="0.2">
      <c r="A1270" t="s">
        <v>301</v>
      </c>
      <c r="B1270" s="5" t="s">
        <v>210</v>
      </c>
      <c r="C1270" t="s">
        <v>301</v>
      </c>
      <c r="E1270" s="4" t="s">
        <v>301</v>
      </c>
      <c r="F1270">
        <v>40220</v>
      </c>
      <c r="G1270" t="s">
        <v>301</v>
      </c>
      <c r="I1270" t="s">
        <v>298</v>
      </c>
      <c r="J1270" t="s">
        <v>299</v>
      </c>
      <c r="K1270" s="4" t="s">
        <v>304</v>
      </c>
      <c r="L1270" t="str">
        <f t="shared" si="38"/>
        <v>"Suffolk City School Board"</v>
      </c>
      <c r="M1270" t="s">
        <v>302</v>
      </c>
      <c r="N1270" t="s">
        <v>303</v>
      </c>
      <c r="O1270" s="4" t="s">
        <v>300</v>
      </c>
      <c r="P1270" t="str">
        <f t="shared" si="39"/>
        <v>"40220"</v>
      </c>
    </row>
    <row r="1271" spans="1:16" x14ac:dyDescent="0.2">
      <c r="A1271" t="s">
        <v>301</v>
      </c>
      <c r="B1271" s="5" t="s">
        <v>211</v>
      </c>
      <c r="C1271" t="s">
        <v>301</v>
      </c>
      <c r="E1271" s="4" t="s">
        <v>301</v>
      </c>
      <c r="F1271">
        <v>40222</v>
      </c>
      <c r="G1271" t="s">
        <v>301</v>
      </c>
      <c r="I1271" t="s">
        <v>298</v>
      </c>
      <c r="J1271" t="s">
        <v>299</v>
      </c>
      <c r="K1271" s="4" t="s">
        <v>304</v>
      </c>
      <c r="L1271" t="str">
        <f t="shared" si="38"/>
        <v>"Winchester Public Schools"</v>
      </c>
      <c r="M1271" t="s">
        <v>302</v>
      </c>
      <c r="N1271" t="s">
        <v>303</v>
      </c>
      <c r="O1271" s="4" t="s">
        <v>300</v>
      </c>
      <c r="P1271" t="str">
        <f t="shared" si="39"/>
        <v>"40222"</v>
      </c>
    </row>
    <row r="1272" spans="1:16" x14ac:dyDescent="0.2">
      <c r="A1272" t="s">
        <v>301</v>
      </c>
      <c r="B1272" s="5" t="s">
        <v>212</v>
      </c>
      <c r="C1272" t="s">
        <v>301</v>
      </c>
      <c r="E1272" s="4" t="s">
        <v>301</v>
      </c>
      <c r="F1272">
        <v>40223</v>
      </c>
      <c r="G1272" t="s">
        <v>301</v>
      </c>
      <c r="I1272" t="s">
        <v>298</v>
      </c>
      <c r="J1272" t="s">
        <v>299</v>
      </c>
      <c r="K1272" s="4" t="s">
        <v>304</v>
      </c>
      <c r="L1272" t="str">
        <f t="shared" si="38"/>
        <v>"Martinsville City Schools"</v>
      </c>
      <c r="M1272" t="s">
        <v>302</v>
      </c>
      <c r="N1272" t="s">
        <v>303</v>
      </c>
      <c r="O1272" s="4" t="s">
        <v>300</v>
      </c>
      <c r="P1272" t="str">
        <f t="shared" si="39"/>
        <v>"40223"</v>
      </c>
    </row>
    <row r="1273" spans="1:16" x14ac:dyDescent="0.2">
      <c r="A1273" t="s">
        <v>301</v>
      </c>
      <c r="B1273" s="5" t="s">
        <v>213</v>
      </c>
      <c r="C1273" t="s">
        <v>301</v>
      </c>
      <c r="E1273" s="4" t="s">
        <v>301</v>
      </c>
      <c r="F1273">
        <v>40224</v>
      </c>
      <c r="G1273" t="s">
        <v>301</v>
      </c>
      <c r="I1273" t="s">
        <v>298</v>
      </c>
      <c r="J1273" t="s">
        <v>299</v>
      </c>
      <c r="K1273" s="4" t="s">
        <v>304</v>
      </c>
      <c r="L1273" t="str">
        <f t="shared" si="38"/>
        <v>"Falls Church Public Schools"</v>
      </c>
      <c r="M1273" t="s">
        <v>302</v>
      </c>
      <c r="N1273" t="s">
        <v>303</v>
      </c>
      <c r="O1273" s="4" t="s">
        <v>300</v>
      </c>
      <c r="P1273" t="str">
        <f t="shared" si="39"/>
        <v>"40224"</v>
      </c>
    </row>
    <row r="1274" spans="1:16" x14ac:dyDescent="0.2">
      <c r="A1274" t="s">
        <v>301</v>
      </c>
      <c r="B1274" s="5" t="s">
        <v>214</v>
      </c>
      <c r="C1274" t="s">
        <v>301</v>
      </c>
      <c r="E1274" s="4" t="s">
        <v>301</v>
      </c>
      <c r="F1274">
        <v>40225</v>
      </c>
      <c r="G1274" t="s">
        <v>301</v>
      </c>
      <c r="I1274" t="s">
        <v>298</v>
      </c>
      <c r="J1274" t="s">
        <v>299</v>
      </c>
      <c r="K1274" s="4" t="s">
        <v>304</v>
      </c>
      <c r="L1274" t="str">
        <f t="shared" si="38"/>
        <v>"Colonial Heights City Schools"</v>
      </c>
      <c r="M1274" t="s">
        <v>302</v>
      </c>
      <c r="N1274" t="s">
        <v>303</v>
      </c>
      <c r="O1274" s="4" t="s">
        <v>300</v>
      </c>
      <c r="P1274" t="str">
        <f t="shared" si="39"/>
        <v>"40225"</v>
      </c>
    </row>
    <row r="1275" spans="1:16" x14ac:dyDescent="0.2">
      <c r="A1275" t="s">
        <v>301</v>
      </c>
      <c r="B1275" s="5" t="s">
        <v>216</v>
      </c>
      <c r="C1275" t="s">
        <v>301</v>
      </c>
      <c r="E1275" s="4" t="s">
        <v>301</v>
      </c>
      <c r="F1275">
        <v>40231</v>
      </c>
      <c r="G1275" t="s">
        <v>301</v>
      </c>
      <c r="I1275" t="s">
        <v>298</v>
      </c>
      <c r="J1275" t="s">
        <v>299</v>
      </c>
      <c r="K1275" s="4" t="s">
        <v>304</v>
      </c>
      <c r="L1275" t="str">
        <f t="shared" si="38"/>
        <v>"Fairfax City School Board"</v>
      </c>
      <c r="M1275" t="s">
        <v>302</v>
      </c>
      <c r="N1275" t="s">
        <v>303</v>
      </c>
      <c r="O1275" s="4" t="s">
        <v>300</v>
      </c>
      <c r="P1275" t="str">
        <f t="shared" si="39"/>
        <v>"40231"</v>
      </c>
    </row>
    <row r="1276" spans="1:16" x14ac:dyDescent="0.2">
      <c r="A1276" t="s">
        <v>301</v>
      </c>
      <c r="B1276" s="5" t="s">
        <v>217</v>
      </c>
      <c r="C1276" t="s">
        <v>301</v>
      </c>
      <c r="E1276" s="4" t="s">
        <v>301</v>
      </c>
      <c r="F1276">
        <v>40232</v>
      </c>
      <c r="G1276" t="s">
        <v>301</v>
      </c>
      <c r="I1276" t="s">
        <v>298</v>
      </c>
      <c r="J1276" t="s">
        <v>299</v>
      </c>
      <c r="K1276" s="4" t="s">
        <v>304</v>
      </c>
      <c r="L1276" t="str">
        <f t="shared" si="38"/>
        <v>"Franklin City Public Schools"</v>
      </c>
      <c r="M1276" t="s">
        <v>302</v>
      </c>
      <c r="N1276" t="s">
        <v>303</v>
      </c>
      <c r="O1276" s="4" t="s">
        <v>300</v>
      </c>
      <c r="P1276" t="str">
        <f t="shared" si="39"/>
        <v>"40232"</v>
      </c>
    </row>
    <row r="1277" spans="1:16" x14ac:dyDescent="0.2">
      <c r="A1277" t="s">
        <v>301</v>
      </c>
      <c r="B1277" s="5" t="s">
        <v>218</v>
      </c>
      <c r="C1277" t="s">
        <v>301</v>
      </c>
      <c r="E1277" s="4" t="s">
        <v>301</v>
      </c>
      <c r="F1277">
        <v>40233</v>
      </c>
      <c r="G1277" t="s">
        <v>301</v>
      </c>
      <c r="I1277" t="s">
        <v>298</v>
      </c>
      <c r="J1277" t="s">
        <v>299</v>
      </c>
      <c r="K1277" s="4" t="s">
        <v>304</v>
      </c>
      <c r="L1277" t="str">
        <f t="shared" si="38"/>
        <v>"Chesapeake Public Schools"</v>
      </c>
      <c r="M1277" t="s">
        <v>302</v>
      </c>
      <c r="N1277" t="s">
        <v>303</v>
      </c>
      <c r="O1277" s="4" t="s">
        <v>300</v>
      </c>
      <c r="P1277" t="str">
        <f t="shared" si="39"/>
        <v>"40233"</v>
      </c>
    </row>
    <row r="1278" spans="1:16" x14ac:dyDescent="0.2">
      <c r="A1278" t="s">
        <v>301</v>
      </c>
      <c r="B1278" s="5" t="s">
        <v>219</v>
      </c>
      <c r="C1278" t="s">
        <v>301</v>
      </c>
      <c r="E1278" s="4" t="s">
        <v>301</v>
      </c>
      <c r="F1278">
        <v>40234</v>
      </c>
      <c r="G1278" t="s">
        <v>301</v>
      </c>
      <c r="I1278" t="s">
        <v>298</v>
      </c>
      <c r="J1278" t="s">
        <v>299</v>
      </c>
      <c r="K1278" s="4" t="s">
        <v>304</v>
      </c>
      <c r="L1278" t="str">
        <f t="shared" si="38"/>
        <v>"Virginia Beach City School Board"</v>
      </c>
      <c r="M1278" t="s">
        <v>302</v>
      </c>
      <c r="N1278" t="s">
        <v>303</v>
      </c>
      <c r="O1278" s="4" t="s">
        <v>300</v>
      </c>
      <c r="P1278" t="str">
        <f t="shared" si="39"/>
        <v>"40234"</v>
      </c>
    </row>
    <row r="1279" spans="1:16" x14ac:dyDescent="0.2">
      <c r="A1279" t="s">
        <v>301</v>
      </c>
      <c r="B1279" s="5" t="s">
        <v>220</v>
      </c>
      <c r="C1279" t="s">
        <v>301</v>
      </c>
      <c r="E1279" s="4" t="s">
        <v>301</v>
      </c>
      <c r="F1279">
        <v>40236</v>
      </c>
      <c r="G1279" t="s">
        <v>301</v>
      </c>
      <c r="I1279" t="s">
        <v>298</v>
      </c>
      <c r="J1279" t="s">
        <v>299</v>
      </c>
      <c r="K1279" s="4" t="s">
        <v>304</v>
      </c>
      <c r="L1279" t="str">
        <f t="shared" si="38"/>
        <v>"Manassas Park City Schools"</v>
      </c>
      <c r="M1279" t="s">
        <v>302</v>
      </c>
      <c r="N1279" t="s">
        <v>303</v>
      </c>
      <c r="O1279" s="4" t="s">
        <v>300</v>
      </c>
      <c r="P1279" t="str">
        <f t="shared" si="39"/>
        <v>"40236"</v>
      </c>
    </row>
    <row r="1280" spans="1:16" x14ac:dyDescent="0.2">
      <c r="A1280" t="s">
        <v>301</v>
      </c>
      <c r="B1280" s="5" t="s">
        <v>221</v>
      </c>
      <c r="C1280" t="s">
        <v>301</v>
      </c>
      <c r="E1280" s="4" t="s">
        <v>301</v>
      </c>
      <c r="F1280">
        <v>40306</v>
      </c>
      <c r="G1280" t="s">
        <v>301</v>
      </c>
      <c r="I1280" t="s">
        <v>298</v>
      </c>
      <c r="J1280" t="s">
        <v>299</v>
      </c>
      <c r="K1280" s="4" t="s">
        <v>304</v>
      </c>
      <c r="L1280" t="str">
        <f t="shared" si="38"/>
        <v>"Town of West Point School Board"</v>
      </c>
      <c r="M1280" t="s">
        <v>302</v>
      </c>
      <c r="N1280" t="s">
        <v>303</v>
      </c>
      <c r="O1280" s="4" t="s">
        <v>300</v>
      </c>
      <c r="P1280" t="str">
        <f t="shared" si="39"/>
        <v>"40306"</v>
      </c>
    </row>
    <row r="1281" spans="1:16" x14ac:dyDescent="0.2">
      <c r="A1281" t="s">
        <v>301</v>
      </c>
      <c r="B1281" s="5" t="s">
        <v>222</v>
      </c>
      <c r="C1281" t="s">
        <v>301</v>
      </c>
      <c r="E1281" s="4" t="s">
        <v>301</v>
      </c>
      <c r="F1281">
        <v>40307</v>
      </c>
      <c r="G1281" t="s">
        <v>301</v>
      </c>
      <c r="I1281" t="s">
        <v>298</v>
      </c>
      <c r="J1281" t="s">
        <v>299</v>
      </c>
      <c r="K1281" s="4" t="s">
        <v>304</v>
      </c>
      <c r="L1281" t="str">
        <f t="shared" si="38"/>
        <v>"Lexington City School Board"</v>
      </c>
      <c r="M1281" t="s">
        <v>302</v>
      </c>
      <c r="N1281" t="s">
        <v>303</v>
      </c>
      <c r="O1281" s="4" t="s">
        <v>300</v>
      </c>
      <c r="P1281" t="str">
        <f t="shared" si="39"/>
        <v>"40307"</v>
      </c>
    </row>
    <row r="1282" spans="1:16" x14ac:dyDescent="0.2">
      <c r="A1282" t="s">
        <v>301</v>
      </c>
      <c r="B1282" s="5" t="s">
        <v>223</v>
      </c>
      <c r="C1282" t="s">
        <v>301</v>
      </c>
      <c r="E1282" s="4" t="s">
        <v>301</v>
      </c>
      <c r="F1282">
        <v>40308</v>
      </c>
      <c r="G1282" t="s">
        <v>301</v>
      </c>
      <c r="I1282" t="s">
        <v>298</v>
      </c>
      <c r="J1282" t="s">
        <v>299</v>
      </c>
      <c r="K1282" s="4" t="s">
        <v>304</v>
      </c>
      <c r="L1282" t="str">
        <f t="shared" ref="L1282:L1299" si="40">_xlfn.TEXTJOIN("",TRUE,A1282:C1282)</f>
        <v>"Waynesboro Public Schools"</v>
      </c>
      <c r="M1282" t="s">
        <v>302</v>
      </c>
      <c r="N1282" t="s">
        <v>303</v>
      </c>
      <c r="O1282" s="4" t="s">
        <v>300</v>
      </c>
      <c r="P1282" t="str">
        <f t="shared" ref="P1282:P1299" si="41">_xlfn.TEXTJOIN("",TRUE,E1282:G1282)</f>
        <v>"40308"</v>
      </c>
    </row>
    <row r="1283" spans="1:16" x14ac:dyDescent="0.2">
      <c r="A1283" t="s">
        <v>301</v>
      </c>
      <c r="B1283" s="5" t="s">
        <v>224</v>
      </c>
      <c r="C1283" t="s">
        <v>301</v>
      </c>
      <c r="E1283" s="4" t="s">
        <v>301</v>
      </c>
      <c r="F1283">
        <v>40309</v>
      </c>
      <c r="G1283" t="s">
        <v>301</v>
      </c>
      <c r="I1283" t="s">
        <v>298</v>
      </c>
      <c r="J1283" t="s">
        <v>299</v>
      </c>
      <c r="K1283" s="4" t="s">
        <v>304</v>
      </c>
      <c r="L1283" t="str">
        <f t="shared" si="40"/>
        <v>"Town of Colonial Beach Schools"</v>
      </c>
      <c r="M1283" t="s">
        <v>302</v>
      </c>
      <c r="N1283" t="s">
        <v>303</v>
      </c>
      <c r="O1283" s="4" t="s">
        <v>300</v>
      </c>
      <c r="P1283" t="str">
        <f t="shared" si="41"/>
        <v>"40309"</v>
      </c>
    </row>
    <row r="1284" spans="1:16" x14ac:dyDescent="0.2">
      <c r="A1284" t="s">
        <v>301</v>
      </c>
      <c r="B1284" s="5" t="s">
        <v>225</v>
      </c>
      <c r="C1284" t="s">
        <v>301</v>
      </c>
      <c r="E1284" s="4" t="s">
        <v>301</v>
      </c>
      <c r="F1284">
        <v>40313</v>
      </c>
      <c r="G1284" t="s">
        <v>301</v>
      </c>
      <c r="I1284" t="s">
        <v>298</v>
      </c>
      <c r="J1284" t="s">
        <v>299</v>
      </c>
      <c r="K1284" s="4" t="s">
        <v>304</v>
      </c>
      <c r="L1284" t="str">
        <f t="shared" si="40"/>
        <v>"Galax City Schools"</v>
      </c>
      <c r="M1284" t="s">
        <v>302</v>
      </c>
      <c r="N1284" t="s">
        <v>303</v>
      </c>
      <c r="O1284" s="4" t="s">
        <v>300</v>
      </c>
      <c r="P1284" t="str">
        <f t="shared" si="41"/>
        <v>"40313"</v>
      </c>
    </row>
    <row r="1285" spans="1:16" x14ac:dyDescent="0.2">
      <c r="A1285" t="s">
        <v>301</v>
      </c>
      <c r="B1285" s="5" t="s">
        <v>226</v>
      </c>
      <c r="C1285" t="s">
        <v>301</v>
      </c>
      <c r="E1285" s="4" t="s">
        <v>301</v>
      </c>
      <c r="F1285">
        <v>40314</v>
      </c>
      <c r="G1285" t="s">
        <v>301</v>
      </c>
      <c r="I1285" t="s">
        <v>298</v>
      </c>
      <c r="J1285" t="s">
        <v>299</v>
      </c>
      <c r="K1285" s="4" t="s">
        <v>304</v>
      </c>
      <c r="L1285" t="str">
        <f t="shared" si="40"/>
        <v>"Norton City Schools"</v>
      </c>
      <c r="M1285" t="s">
        <v>302</v>
      </c>
      <c r="N1285" t="s">
        <v>303</v>
      </c>
      <c r="O1285" s="4" t="s">
        <v>300</v>
      </c>
      <c r="P1285" t="str">
        <f t="shared" si="41"/>
        <v>"40314"</v>
      </c>
    </row>
    <row r="1286" spans="1:16" x14ac:dyDescent="0.2">
      <c r="A1286" t="s">
        <v>301</v>
      </c>
      <c r="B1286" s="5" t="s">
        <v>227</v>
      </c>
      <c r="C1286" t="s">
        <v>301</v>
      </c>
      <c r="E1286" s="4" t="s">
        <v>301</v>
      </c>
      <c r="F1286">
        <v>40332</v>
      </c>
      <c r="G1286" t="s">
        <v>301</v>
      </c>
      <c r="I1286" t="s">
        <v>298</v>
      </c>
      <c r="J1286" t="s">
        <v>299</v>
      </c>
      <c r="K1286" s="4" t="s">
        <v>304</v>
      </c>
      <c r="L1286" t="str">
        <f t="shared" si="40"/>
        <v>"Manassas City Schools"</v>
      </c>
      <c r="M1286" t="s">
        <v>302</v>
      </c>
      <c r="N1286" t="s">
        <v>303</v>
      </c>
      <c r="O1286" s="4" t="s">
        <v>300</v>
      </c>
      <c r="P1286" t="str">
        <f t="shared" si="41"/>
        <v>"40332"</v>
      </c>
    </row>
    <row r="1287" spans="1:16" x14ac:dyDescent="0.2">
      <c r="A1287" t="s">
        <v>301</v>
      </c>
      <c r="B1287" s="5" t="s">
        <v>228</v>
      </c>
      <c r="C1287" t="s">
        <v>301</v>
      </c>
      <c r="E1287" s="4" t="s">
        <v>301</v>
      </c>
      <c r="F1287">
        <v>40335</v>
      </c>
      <c r="G1287" t="s">
        <v>301</v>
      </c>
      <c r="I1287" t="s">
        <v>298</v>
      </c>
      <c r="J1287" t="s">
        <v>299</v>
      </c>
      <c r="K1287" s="4" t="s">
        <v>304</v>
      </c>
      <c r="L1287" t="str">
        <f t="shared" si="40"/>
        <v>"City of Salem Schools"</v>
      </c>
      <c r="M1287" t="s">
        <v>302</v>
      </c>
      <c r="N1287" t="s">
        <v>303</v>
      </c>
      <c r="O1287" s="4" t="s">
        <v>300</v>
      </c>
      <c r="P1287" t="str">
        <f t="shared" si="41"/>
        <v>"40335"</v>
      </c>
    </row>
    <row r="1288" spans="1:16" x14ac:dyDescent="0.2">
      <c r="A1288" t="s">
        <v>301</v>
      </c>
      <c r="B1288" s="5" t="s">
        <v>294</v>
      </c>
      <c r="C1288" t="s">
        <v>301</v>
      </c>
      <c r="E1288" s="4" t="s">
        <v>301</v>
      </c>
      <c r="F1288">
        <v>40402</v>
      </c>
      <c r="G1288" t="s">
        <v>301</v>
      </c>
      <c r="I1288" t="s">
        <v>298</v>
      </c>
      <c r="J1288" t="s">
        <v>299</v>
      </c>
      <c r="K1288" s="4" t="s">
        <v>304</v>
      </c>
      <c r="L1288" t="str">
        <f t="shared" si="40"/>
        <v>"Williamsburg-James City County School Board"</v>
      </c>
      <c r="M1288" t="s">
        <v>302</v>
      </c>
      <c r="N1288" t="s">
        <v>303</v>
      </c>
      <c r="O1288" s="4" t="s">
        <v>300</v>
      </c>
      <c r="P1288" t="str">
        <f t="shared" si="41"/>
        <v>"40402"</v>
      </c>
    </row>
    <row r="1289" spans="1:16" x14ac:dyDescent="0.2">
      <c r="A1289" t="s">
        <v>301</v>
      </c>
      <c r="B1289" s="5" t="s">
        <v>263</v>
      </c>
      <c r="C1289" t="s">
        <v>301</v>
      </c>
      <c r="E1289" s="4" t="s">
        <v>301</v>
      </c>
      <c r="F1289">
        <v>40403</v>
      </c>
      <c r="G1289" t="s">
        <v>301</v>
      </c>
      <c r="I1289" t="s">
        <v>298</v>
      </c>
      <c r="J1289" t="s">
        <v>299</v>
      </c>
      <c r="K1289" s="4" t="s">
        <v>304</v>
      </c>
      <c r="L1289" t="str">
        <f t="shared" si="40"/>
        <v>"Poquoson City Public Schools"</v>
      </c>
      <c r="M1289" t="s">
        <v>302</v>
      </c>
      <c r="N1289" t="s">
        <v>303</v>
      </c>
      <c r="O1289" s="4" t="s">
        <v>300</v>
      </c>
      <c r="P1289" t="str">
        <f t="shared" si="41"/>
        <v>"40403"</v>
      </c>
    </row>
    <row r="1290" spans="1:16" x14ac:dyDescent="0.2">
      <c r="A1290" t="s">
        <v>301</v>
      </c>
      <c r="B1290" s="5" t="s">
        <v>264</v>
      </c>
      <c r="C1290" t="s">
        <v>301</v>
      </c>
      <c r="E1290" s="4" t="s">
        <v>301</v>
      </c>
      <c r="F1290">
        <v>40410</v>
      </c>
      <c r="G1290" t="s">
        <v>301</v>
      </c>
      <c r="I1290" t="s">
        <v>298</v>
      </c>
      <c r="J1290" t="s">
        <v>299</v>
      </c>
      <c r="K1290" s="4" t="s">
        <v>304</v>
      </c>
      <c r="L1290" t="str">
        <f t="shared" si="40"/>
        <v>"Valley Vocational Technical Center"</v>
      </c>
      <c r="M1290" t="s">
        <v>302</v>
      </c>
      <c r="N1290" t="s">
        <v>303</v>
      </c>
      <c r="O1290" s="4" t="s">
        <v>300</v>
      </c>
      <c r="P1290" t="str">
        <f t="shared" si="41"/>
        <v>"40410"</v>
      </c>
    </row>
    <row r="1291" spans="1:16" x14ac:dyDescent="0.2">
      <c r="A1291" t="s">
        <v>301</v>
      </c>
      <c r="B1291" s="5" t="s">
        <v>295</v>
      </c>
      <c r="C1291" t="s">
        <v>301</v>
      </c>
      <c r="E1291" s="4" t="s">
        <v>301</v>
      </c>
      <c r="F1291">
        <v>40412</v>
      </c>
      <c r="G1291" t="s">
        <v>301</v>
      </c>
      <c r="I1291" t="s">
        <v>298</v>
      </c>
      <c r="J1291" t="s">
        <v>299</v>
      </c>
      <c r="K1291" s="4" t="s">
        <v>304</v>
      </c>
      <c r="L1291" t="str">
        <f t="shared" si="40"/>
        <v>"Charlottesville/Albemarle Vo-Tech Center"</v>
      </c>
      <c r="M1291" t="s">
        <v>302</v>
      </c>
      <c r="N1291" t="s">
        <v>303</v>
      </c>
      <c r="O1291" s="4" t="s">
        <v>300</v>
      </c>
      <c r="P1291" t="str">
        <f t="shared" si="41"/>
        <v>"40412"</v>
      </c>
    </row>
    <row r="1292" spans="1:16" x14ac:dyDescent="0.2">
      <c r="A1292" t="s">
        <v>301</v>
      </c>
      <c r="B1292" s="5" t="s">
        <v>268</v>
      </c>
      <c r="C1292" t="s">
        <v>301</v>
      </c>
      <c r="E1292" s="4" t="s">
        <v>301</v>
      </c>
      <c r="F1292">
        <v>40415</v>
      </c>
      <c r="G1292" t="s">
        <v>301</v>
      </c>
      <c r="I1292" t="s">
        <v>298</v>
      </c>
      <c r="J1292" t="s">
        <v>299</v>
      </c>
      <c r="K1292" s="4" t="s">
        <v>304</v>
      </c>
      <c r="L1292" t="str">
        <f t="shared" si="40"/>
        <v>"New Horizons Technical Center"</v>
      </c>
      <c r="M1292" t="s">
        <v>302</v>
      </c>
      <c r="N1292" t="s">
        <v>303</v>
      </c>
      <c r="O1292" s="4" t="s">
        <v>300</v>
      </c>
      <c r="P1292" t="str">
        <f t="shared" si="41"/>
        <v>"40415"</v>
      </c>
    </row>
    <row r="1293" spans="1:16" x14ac:dyDescent="0.2">
      <c r="A1293" t="s">
        <v>301</v>
      </c>
      <c r="B1293" s="5" t="s">
        <v>269</v>
      </c>
      <c r="C1293" t="s">
        <v>301</v>
      </c>
      <c r="E1293" s="4" t="s">
        <v>301</v>
      </c>
      <c r="F1293">
        <v>40416</v>
      </c>
      <c r="G1293" t="s">
        <v>301</v>
      </c>
      <c r="I1293" t="s">
        <v>298</v>
      </c>
      <c r="J1293" t="s">
        <v>299</v>
      </c>
      <c r="K1293" s="4" t="s">
        <v>304</v>
      </c>
      <c r="L1293" t="str">
        <f t="shared" si="40"/>
        <v>"Northern Neck Regional Vocational Center"</v>
      </c>
      <c r="M1293" t="s">
        <v>302</v>
      </c>
      <c r="N1293" t="s">
        <v>303</v>
      </c>
      <c r="O1293" s="4" t="s">
        <v>300</v>
      </c>
      <c r="P1293" t="str">
        <f t="shared" si="41"/>
        <v>"40416"</v>
      </c>
    </row>
    <row r="1294" spans="1:16" x14ac:dyDescent="0.2">
      <c r="A1294" t="s">
        <v>301</v>
      </c>
      <c r="B1294" s="5" t="s">
        <v>270</v>
      </c>
      <c r="C1294" t="s">
        <v>301</v>
      </c>
      <c r="E1294" s="4" t="s">
        <v>301</v>
      </c>
      <c r="F1294">
        <v>40417</v>
      </c>
      <c r="G1294" t="s">
        <v>301</v>
      </c>
      <c r="I1294" t="s">
        <v>298</v>
      </c>
      <c r="J1294" t="s">
        <v>299</v>
      </c>
      <c r="K1294" s="4" t="s">
        <v>304</v>
      </c>
      <c r="L1294" t="str">
        <f t="shared" si="40"/>
        <v>"Rowanty Vocational Technical Center"</v>
      </c>
      <c r="M1294" t="s">
        <v>302</v>
      </c>
      <c r="N1294" t="s">
        <v>303</v>
      </c>
      <c r="O1294" s="4" t="s">
        <v>300</v>
      </c>
      <c r="P1294" t="str">
        <f t="shared" si="41"/>
        <v>"40417"</v>
      </c>
    </row>
    <row r="1295" spans="1:16" x14ac:dyDescent="0.2">
      <c r="A1295" t="s">
        <v>301</v>
      </c>
      <c r="B1295" s="5" t="s">
        <v>296</v>
      </c>
      <c r="C1295" t="s">
        <v>301</v>
      </c>
      <c r="E1295" s="4" t="s">
        <v>301</v>
      </c>
      <c r="F1295">
        <v>40418</v>
      </c>
      <c r="G1295" t="s">
        <v>301</v>
      </c>
      <c r="I1295" t="s">
        <v>298</v>
      </c>
      <c r="J1295" t="s">
        <v>299</v>
      </c>
      <c r="K1295" s="4" t="s">
        <v>304</v>
      </c>
      <c r="L1295" t="str">
        <f t="shared" si="40"/>
        <v>"Amelia-Nottoway Vocational Center"</v>
      </c>
      <c r="M1295" t="s">
        <v>302</v>
      </c>
      <c r="N1295" t="s">
        <v>303</v>
      </c>
      <c r="O1295" s="4" t="s">
        <v>300</v>
      </c>
      <c r="P1295" t="str">
        <f t="shared" si="41"/>
        <v>"40418"</v>
      </c>
    </row>
    <row r="1296" spans="1:16" x14ac:dyDescent="0.2">
      <c r="A1296" t="s">
        <v>301</v>
      </c>
      <c r="B1296" s="5" t="s">
        <v>272</v>
      </c>
      <c r="C1296" t="s">
        <v>301</v>
      </c>
      <c r="E1296" s="4" t="s">
        <v>301</v>
      </c>
      <c r="F1296">
        <v>40421</v>
      </c>
      <c r="G1296" t="s">
        <v>301</v>
      </c>
      <c r="I1296" t="s">
        <v>298</v>
      </c>
      <c r="J1296" t="s">
        <v>299</v>
      </c>
      <c r="K1296" s="4" t="s">
        <v>304</v>
      </c>
      <c r="L1296" t="str">
        <f t="shared" si="40"/>
        <v>"Northern Neck Regional Special Education Program"</v>
      </c>
      <c r="M1296" t="s">
        <v>302</v>
      </c>
      <c r="N1296" t="s">
        <v>303</v>
      </c>
      <c r="O1296" s="4" t="s">
        <v>300</v>
      </c>
      <c r="P1296" t="str">
        <f t="shared" si="41"/>
        <v>"40421"</v>
      </c>
    </row>
    <row r="1297" spans="1:16" x14ac:dyDescent="0.2">
      <c r="A1297" t="s">
        <v>301</v>
      </c>
      <c r="B1297" s="5" t="s">
        <v>273</v>
      </c>
      <c r="C1297" t="s">
        <v>301</v>
      </c>
      <c r="E1297" s="4" t="s">
        <v>301</v>
      </c>
      <c r="F1297">
        <v>40423</v>
      </c>
      <c r="G1297" t="s">
        <v>301</v>
      </c>
      <c r="I1297" t="s">
        <v>298</v>
      </c>
      <c r="J1297" t="s">
        <v>299</v>
      </c>
      <c r="K1297" s="4" t="s">
        <v>304</v>
      </c>
      <c r="L1297" t="str">
        <f t="shared" si="40"/>
        <v>"Maggie Walker Governor's School for Govt &amp; Intl Studies"</v>
      </c>
      <c r="M1297" t="s">
        <v>302</v>
      </c>
      <c r="N1297" t="s">
        <v>303</v>
      </c>
      <c r="O1297" s="4" t="s">
        <v>300</v>
      </c>
      <c r="P1297" t="str">
        <f t="shared" si="41"/>
        <v>"40423"</v>
      </c>
    </row>
    <row r="1298" spans="1:16" x14ac:dyDescent="0.2">
      <c r="A1298" t="s">
        <v>301</v>
      </c>
      <c r="B1298" s="5" t="s">
        <v>274</v>
      </c>
      <c r="C1298" t="s">
        <v>301</v>
      </c>
      <c r="E1298" s="4" t="s">
        <v>301</v>
      </c>
      <c r="F1298">
        <v>40424</v>
      </c>
      <c r="G1298" t="s">
        <v>301</v>
      </c>
      <c r="I1298" t="s">
        <v>298</v>
      </c>
      <c r="J1298" t="s">
        <v>299</v>
      </c>
      <c r="K1298" s="4" t="s">
        <v>304</v>
      </c>
      <c r="L1298" t="str">
        <f t="shared" si="40"/>
        <v>"Appomattox Region Governor's School"</v>
      </c>
      <c r="M1298" t="s">
        <v>302</v>
      </c>
      <c r="N1298" t="s">
        <v>303</v>
      </c>
      <c r="O1298" s="4" t="s">
        <v>300</v>
      </c>
      <c r="P1298" t="str">
        <f t="shared" si="41"/>
        <v>"40424"</v>
      </c>
    </row>
    <row r="1299" spans="1:16" x14ac:dyDescent="0.2">
      <c r="A1299" t="s">
        <v>301</v>
      </c>
      <c r="B1299" s="5" t="s">
        <v>275</v>
      </c>
      <c r="C1299" t="s">
        <v>301</v>
      </c>
      <c r="E1299" s="4" t="s">
        <v>301</v>
      </c>
      <c r="F1299">
        <v>40425</v>
      </c>
      <c r="G1299" t="s">
        <v>301</v>
      </c>
      <c r="I1299" t="s">
        <v>298</v>
      </c>
      <c r="J1299" t="s">
        <v>299</v>
      </c>
      <c r="K1299" s="4" t="s">
        <v>304</v>
      </c>
      <c r="L1299" t="str">
        <f t="shared" si="40"/>
        <v>"Bridging Communities Regional Career and Tech Center"</v>
      </c>
      <c r="M1299" t="s">
        <v>302</v>
      </c>
      <c r="N1299" t="s">
        <v>303</v>
      </c>
      <c r="O1299" s="4" t="s">
        <v>300</v>
      </c>
      <c r="P1299" t="str">
        <f t="shared" si="41"/>
        <v>"40425"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</vt:lpstr>
      <vt:lpstr>LEAIDs</vt:lpstr>
      <vt:lpstr>Nonemployer</vt:lpstr>
      <vt:lpstr>Sheet1</vt:lpstr>
      <vt:lpstr>Name 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Michael Gelberg</dc:creator>
  <cp:lastModifiedBy>Gregory Kearney</cp:lastModifiedBy>
  <dcterms:created xsi:type="dcterms:W3CDTF">2025-01-21T17:35:19Z</dcterms:created>
  <dcterms:modified xsi:type="dcterms:W3CDTF">2025-01-23T00:05:38Z</dcterms:modified>
</cp:coreProperties>
</file>